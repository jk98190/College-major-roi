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ege Dashboard" sheetId="1" state="visible" r:id="rId3"/>
    <sheet name="AI Dashboard" sheetId="2" state="visible" r:id="rId4"/>
    <sheet name="College_Data" sheetId="3" state="visible" r:id="rId5"/>
    <sheet name="AI_Data" sheetId="4" state="visible" r:id="rId6"/>
  </sheets>
  <definedNames>
    <definedName function="false" hidden="true" localSheetId="3" name="_xlnm._FilterDatabase" vbProcedure="false">AI_Data!$A$1:$R$2001</definedName>
    <definedName function="false" hidden="true" localSheetId="2" name="_xlnm._FilterDatabase" vbProcedure="false">College_Data!$A$1:$N$1515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<sst xmlns="http://schemas.openxmlformats.org/spreadsheetml/2006/main" count="29278" uniqueCount="2164">
  <si>
    <t xml:space="preserve">College Major ROI Dashboard</t>
  </si>
  <si>
    <t xml:space="preserve">30,000 graduates | ROI = 10-yr added earnings - net cost | source: college_major_roi_cleaned.csv (via College_Data)</t>
  </si>
  <si>
    <t xml:space="preserve">FILTERS  (pick from the yellow dropdowns; "All" = no filter)</t>
  </si>
  <si>
    <t xml:space="preserve">criteria (helper)</t>
  </si>
  <si>
    <t xml:space="preserve">Category</t>
  </si>
  <si>
    <t xml:space="preserve">All</t>
  </si>
  <si>
    <t xml:space="preserve">Institution tier</t>
  </si>
  <si>
    <t xml:space="preserve">Region</t>
  </si>
  <si>
    <t xml:space="preserve">Internship</t>
  </si>
  <si>
    <t xml:space="preserve">On-time graduation</t>
  </si>
  <si>
    <t xml:space="preserve">GRADUATES</t>
  </si>
  <si>
    <t xml:space="preserve">AVG NET ROI</t>
  </si>
  <si>
    <t xml:space="preserve">% POSITIVE ROI</t>
  </si>
  <si>
    <t xml:space="preserve">% TOP-QUARTILE ROI</t>
  </si>
  <si>
    <t xml:space="preserve">AVG NET COST</t>
  </si>
  <si>
    <t xml:space="preserve">AVG DEBT</t>
  </si>
  <si>
    <t xml:space="preserve">Outcomes by major</t>
  </si>
  <si>
    <t xml:space="preserve">Major</t>
  </si>
  <si>
    <t xml:space="preserve">Graduates</t>
  </si>
  <si>
    <t xml:space="preserve">Avg net ROI</t>
  </si>
  <si>
    <t xml:space="preserve">% positive ROI</t>
  </si>
  <si>
    <t xml:space="preserve">Avg net cost</t>
  </si>
  <si>
    <t xml:space="preserve">Avg debt</t>
  </si>
  <si>
    <t xml:space="preserve">electrical_engineering</t>
  </si>
  <si>
    <t xml:space="preserve">STEM</t>
  </si>
  <si>
    <t xml:space="preserve">business_analytics</t>
  </si>
  <si>
    <t xml:space="preserve">business</t>
  </si>
  <si>
    <t xml:space="preserve">chemical_engineering</t>
  </si>
  <si>
    <t xml:space="preserve">computer_science</t>
  </si>
  <si>
    <t xml:space="preserve">computer_engineering</t>
  </si>
  <si>
    <t xml:space="preserve">economics</t>
  </si>
  <si>
    <t xml:space="preserve">mechanical_engineering</t>
  </si>
  <si>
    <t xml:space="preserve">finance</t>
  </si>
  <si>
    <t xml:space="preserve">nursing</t>
  </si>
  <si>
    <t xml:space="preserve">health</t>
  </si>
  <si>
    <t xml:space="preserve">marketing</t>
  </si>
  <si>
    <t xml:space="preserve">biology</t>
  </si>
  <si>
    <t xml:space="preserve">communications</t>
  </si>
  <si>
    <t xml:space="preserve">social_science</t>
  </si>
  <si>
    <t xml:space="preserve">criminal_justice</t>
  </si>
  <si>
    <t xml:space="preserve">education</t>
  </si>
  <si>
    <t xml:space="preserve">social_work</t>
  </si>
  <si>
    <t xml:space="preserve">psychology</t>
  </si>
  <si>
    <t xml:space="preserve">humanities</t>
  </si>
  <si>
    <t xml:space="preserve">fine_arts</t>
  </si>
  <si>
    <t xml:space="preserve">arts</t>
  </si>
  <si>
    <t xml:space="preserve">By institution tier</t>
  </si>
  <si>
    <t xml:space="preserve">By major category</t>
  </si>
  <si>
    <t xml:space="preserve">Tier</t>
  </si>
  <si>
    <t xml:space="preserve">Avg added earnings</t>
  </si>
  <si>
    <t xml:space="preserve">ivy_elite</t>
  </si>
  <si>
    <t xml:space="preserve">top_public</t>
  </si>
  <si>
    <t xml:space="preserve">mid_tier</t>
  </si>
  <si>
    <t xml:space="preserve">regional</t>
  </si>
  <si>
    <t xml:space="preserve">for_profit</t>
  </si>
  <si>
    <t xml:space="preserve">Internship &amp; on-time graduation (ignores those two filters)</t>
  </si>
  <si>
    <t xml:space="preserve">On time</t>
  </si>
  <si>
    <t xml:space="preserve">Label</t>
  </si>
  <si>
    <t xml:space="preserve">No</t>
  </si>
  <si>
    <t xml:space="preserve">Notes: table/chart values respond to the yellow filters. Averages are simple means per graduate; ROI figures are skewed by high earners, so medians would be lower. Internship / on-time flags are Yes/No.</t>
  </si>
  <si>
    <t xml:space="preserve">Yes</t>
  </si>
  <si>
    <t xml:space="preserve">AI Job Impact Dashboard</t>
  </si>
  <si>
    <t xml:space="preserve">2,000 employees | source: ai_job_impact_cleaned.csv (via AI_Data)</t>
  </si>
  <si>
    <t xml:space="preserve">Industry</t>
  </si>
  <si>
    <t xml:space="preserve">AI adoption</t>
  </si>
  <si>
    <t xml:space="preserve">Automation risk</t>
  </si>
  <si>
    <t xml:space="preserve">Remote work</t>
  </si>
  <si>
    <t xml:space="preserve">EMPLOYEES</t>
  </si>
  <si>
    <t xml:space="preserve">% REPLACED</t>
  </si>
  <si>
    <t xml:space="preserve">% MODIFIED</t>
  </si>
  <si>
    <t xml:space="preserve">AVG SALARY CHANGE</t>
  </si>
  <si>
    <t xml:space="preserve">AVG PRODUCTIVITY CHG (%)</t>
  </si>
  <si>
    <t xml:space="preserve">AVG SATISFACTION (1-10)</t>
  </si>
  <si>
    <t xml:space="preserve">Job outcome by AI adoption level</t>
  </si>
  <si>
    <t xml:space="preserve">Employees</t>
  </si>
  <si>
    <t xml:space="preserve">% Unchanged</t>
  </si>
  <si>
    <t xml:space="preserve">% Modified</t>
  </si>
  <si>
    <t xml:space="preserve">% Replaced</t>
  </si>
  <si>
    <t xml:space="preserve">Avg productivity chg (%)</t>
  </si>
  <si>
    <t xml:space="preserve">Avg satisfaction</t>
  </si>
  <si>
    <t xml:space="preserve">Low</t>
  </si>
  <si>
    <t xml:space="preserve">Medium</t>
  </si>
  <si>
    <t xml:space="preserve">High</t>
  </si>
  <si>
    <t xml:space="preserve">Impact by industry</t>
  </si>
  <si>
    <t xml:space="preserve">Avg salary before</t>
  </si>
  <si>
    <t xml:space="preserve">Avg salary after</t>
  </si>
  <si>
    <t xml:space="preserve">Avg salary change</t>
  </si>
  <si>
    <t xml:space="preserve">Education</t>
  </si>
  <si>
    <t xml:space="preserve">Finance</t>
  </si>
  <si>
    <t xml:space="preserve">Healthcare</t>
  </si>
  <si>
    <t xml:space="preserve">IT</t>
  </si>
  <si>
    <t xml:space="preserve">Manufacturing</t>
  </si>
  <si>
    <t xml:space="preserve">Marketing</t>
  </si>
  <si>
    <t xml:space="preserve">Retail</t>
  </si>
  <si>
    <t xml:space="preserve">Job outcome by automation risk</t>
  </si>
  <si>
    <t xml:space="preserve">Notes: Salary change = (after - before) / before, averaged per employee. Tables ignore their own dimension filter so all levels stay visible. Yellow cells are the filters.</t>
  </si>
  <si>
    <t xml:space="preserve">major</t>
  </si>
  <si>
    <t xml:space="preserve">major_category</t>
  </si>
  <si>
    <t xml:space="preserve">institution_tier</t>
  </si>
  <si>
    <t xml:space="preserve">region</t>
  </si>
  <si>
    <t xml:space="preserve">had_internship</t>
  </si>
  <si>
    <t xml:space="preserve">completed_on_time</t>
  </si>
  <si>
    <t xml:space="preserve">grads</t>
  </si>
  <si>
    <t xml:space="preserve">net_cost_usd_sum</t>
  </si>
  <si>
    <t xml:space="preserve">debt_usd_sum</t>
  </si>
  <si>
    <t xml:space="preserve">added_earnings_10yr_usd_sum</t>
  </si>
  <si>
    <t xml:space="preserve">net_roi_usd_sum</t>
  </si>
  <si>
    <t xml:space="preserve">positive_roi_count</t>
  </si>
  <si>
    <t xml:space="preserve">high_roi_count</t>
  </si>
  <si>
    <t xml:space="preserve">roi_pct_sum</t>
  </si>
  <si>
    <t xml:space="preserve">Note: college_major_roi_cleaned.csv (30,000 graduates) summarized by major/category/tier/region/internship/on-time into sums and counts so dashboard formulas stay fast. Internship / on-time flags shown as Yes/No.</t>
  </si>
  <si>
    <t xml:space="preserve">midwest</t>
  </si>
  <si>
    <t xml:space="preserve">northeast</t>
  </si>
  <si>
    <t xml:space="preserve">south</t>
  </si>
  <si>
    <t xml:space="preserve">west</t>
  </si>
  <si>
    <t xml:space="preserve">Employee_ID</t>
  </si>
  <si>
    <t xml:space="preserve">Age</t>
  </si>
  <si>
    <t xml:space="preserve">Gender</t>
  </si>
  <si>
    <t xml:space="preserve">Education_Level</t>
  </si>
  <si>
    <t xml:space="preserve">Job_Role</t>
  </si>
  <si>
    <t xml:space="preserve">Years_Experience</t>
  </si>
  <si>
    <t xml:space="preserve">AI_Adoption_Level</t>
  </si>
  <si>
    <t xml:space="preserve">Automation_Risk</t>
  </si>
  <si>
    <t xml:space="preserve">Upskilling_Required</t>
  </si>
  <si>
    <t xml:space="preserve">Salary_Before_AI</t>
  </si>
  <si>
    <t xml:space="preserve">Salary_After_AI</t>
  </si>
  <si>
    <t xml:space="preserve">Job_Status</t>
  </si>
  <si>
    <t xml:space="preserve">Work_Hours_Per_Week</t>
  </si>
  <si>
    <t xml:space="preserve">Remote_Work</t>
  </si>
  <si>
    <t xml:space="preserve">Job_Satisfaction</t>
  </si>
  <si>
    <t xml:space="preserve">Productivity_Change_Pct</t>
  </si>
  <si>
    <t xml:space="preserve">Salary_Change_Pct</t>
  </si>
  <si>
    <t xml:space="preserve">Note: Salary_Change_Pct is a formula = (Salary_After_AI - Salary_Before_AI) / Salary_Before_AI. All other columns are from ai_job_impact_cleaned.csv.</t>
  </si>
  <si>
    <t xml:space="preserve">E0001</t>
  </si>
  <si>
    <t xml:space="preserve">Female</t>
  </si>
  <si>
    <t xml:space="preserve">Bachelor</t>
  </si>
  <si>
    <t xml:space="preserve">Content Creator</t>
  </si>
  <si>
    <t xml:space="preserve">Replaced</t>
  </si>
  <si>
    <t xml:space="preserve">E0002</t>
  </si>
  <si>
    <t xml:space="preserve">Male</t>
  </si>
  <si>
    <t xml:space="preserve">High School</t>
  </si>
  <si>
    <t xml:space="preserve">Quality Inspector</t>
  </si>
  <si>
    <t xml:space="preserve">Unchanged</t>
  </si>
  <si>
    <t xml:space="preserve">E0003</t>
  </si>
  <si>
    <t xml:space="preserve">Master</t>
  </si>
  <si>
    <t xml:space="preserve">DevOps Engineer</t>
  </si>
  <si>
    <t xml:space="preserve">Modified</t>
  </si>
  <si>
    <t xml:space="preserve">E0004</t>
  </si>
  <si>
    <t xml:space="preserve">PhD</t>
  </si>
  <si>
    <t xml:space="preserve">Teacher</t>
  </si>
  <si>
    <t xml:space="preserve">E0005</t>
  </si>
  <si>
    <t xml:space="preserve">Doctor</t>
  </si>
  <si>
    <t xml:space="preserve">E0006</t>
  </si>
  <si>
    <t xml:space="preserve">Technician</t>
  </si>
  <si>
    <t xml:space="preserve">E0007</t>
  </si>
  <si>
    <t xml:space="preserve">Administrator</t>
  </si>
  <si>
    <t xml:space="preserve">E0008</t>
  </si>
  <si>
    <t xml:space="preserve">Auditor</t>
  </si>
  <si>
    <t xml:space="preserve">E0009</t>
  </si>
  <si>
    <t xml:space="preserve">Other</t>
  </si>
  <si>
    <t xml:space="preserve">Professor</t>
  </si>
  <si>
    <t xml:space="preserve">E0010</t>
  </si>
  <si>
    <t xml:space="preserve">Nurse</t>
  </si>
  <si>
    <t xml:space="preserve">E0011</t>
  </si>
  <si>
    <t xml:space="preserve">Store Manager</t>
  </si>
  <si>
    <t xml:space="preserve">E0012</t>
  </si>
  <si>
    <t xml:space="preserve">E0013</t>
  </si>
  <si>
    <t xml:space="preserve">E0014</t>
  </si>
  <si>
    <t xml:space="preserve">E0015</t>
  </si>
  <si>
    <t xml:space="preserve">E0016</t>
  </si>
  <si>
    <t xml:space="preserve">E0017</t>
  </si>
  <si>
    <t xml:space="preserve">E0018</t>
  </si>
  <si>
    <t xml:space="preserve">E0019</t>
  </si>
  <si>
    <t xml:space="preserve">E0020</t>
  </si>
  <si>
    <t xml:space="preserve">E0021</t>
  </si>
  <si>
    <t xml:space="preserve">E0022</t>
  </si>
  <si>
    <t xml:space="preserve">E0023</t>
  </si>
  <si>
    <t xml:space="preserve">E0024</t>
  </si>
  <si>
    <t xml:space="preserve">E0025</t>
  </si>
  <si>
    <t xml:space="preserve">Accountant</t>
  </si>
  <si>
    <t xml:space="preserve">E0026</t>
  </si>
  <si>
    <t xml:space="preserve">Sales Associate</t>
  </si>
  <si>
    <t xml:space="preserve">E0027</t>
  </si>
  <si>
    <t xml:space="preserve">E0028</t>
  </si>
  <si>
    <t xml:space="preserve">E0029</t>
  </si>
  <si>
    <t xml:space="preserve">E0030</t>
  </si>
  <si>
    <t xml:space="preserve">E0031</t>
  </si>
  <si>
    <t xml:space="preserve">E0032</t>
  </si>
  <si>
    <t xml:space="preserve">E0033</t>
  </si>
  <si>
    <t xml:space="preserve">E0034</t>
  </si>
  <si>
    <t xml:space="preserve">E0035</t>
  </si>
  <si>
    <t xml:space="preserve">E0036</t>
  </si>
  <si>
    <t xml:space="preserve">Digital Marketer</t>
  </si>
  <si>
    <t xml:space="preserve">E0037</t>
  </si>
  <si>
    <t xml:space="preserve">E0038</t>
  </si>
  <si>
    <t xml:space="preserve">E0039</t>
  </si>
  <si>
    <t xml:space="preserve">E0040</t>
  </si>
  <si>
    <t xml:space="preserve">Cashier</t>
  </si>
  <si>
    <t xml:space="preserve">E0041</t>
  </si>
  <si>
    <t xml:space="preserve">E0042</t>
  </si>
  <si>
    <t xml:space="preserve">E0043</t>
  </si>
  <si>
    <t xml:space="preserve">E0044</t>
  </si>
  <si>
    <t xml:space="preserve">Data Analyst</t>
  </si>
  <si>
    <t xml:space="preserve">E0045</t>
  </si>
  <si>
    <t xml:space="preserve">E0046</t>
  </si>
  <si>
    <t xml:space="preserve">E0047</t>
  </si>
  <si>
    <t xml:space="preserve">Supervisor</t>
  </si>
  <si>
    <t xml:space="preserve">E0048</t>
  </si>
  <si>
    <t xml:space="preserve">Machine Operator</t>
  </si>
  <si>
    <t xml:space="preserve">E0049</t>
  </si>
  <si>
    <t xml:space="preserve">E0050</t>
  </si>
  <si>
    <t xml:space="preserve">E0051</t>
  </si>
  <si>
    <t xml:space="preserve">E0052</t>
  </si>
  <si>
    <t xml:space="preserve">E0053</t>
  </si>
  <si>
    <t xml:space="preserve">E0054</t>
  </si>
  <si>
    <t xml:space="preserve">E0055</t>
  </si>
  <si>
    <t xml:space="preserve">E0056</t>
  </si>
  <si>
    <t xml:space="preserve">E0057</t>
  </si>
  <si>
    <t xml:space="preserve">E0058</t>
  </si>
  <si>
    <t xml:space="preserve">E0059</t>
  </si>
  <si>
    <t xml:space="preserve">E0060</t>
  </si>
  <si>
    <t xml:space="preserve">E0061</t>
  </si>
  <si>
    <t xml:space="preserve">SEO Specialist</t>
  </si>
  <si>
    <t xml:space="preserve">E0062</t>
  </si>
  <si>
    <t xml:space="preserve">E0063</t>
  </si>
  <si>
    <t xml:space="preserve">E0064</t>
  </si>
  <si>
    <t xml:space="preserve">E0065</t>
  </si>
  <si>
    <t xml:space="preserve">E0066</t>
  </si>
  <si>
    <t xml:space="preserve">E0067</t>
  </si>
  <si>
    <t xml:space="preserve">E0068</t>
  </si>
  <si>
    <t xml:space="preserve">E0069</t>
  </si>
  <si>
    <t xml:space="preserve">E0070</t>
  </si>
  <si>
    <t xml:space="preserve">E0071</t>
  </si>
  <si>
    <t xml:space="preserve">E0072</t>
  </si>
  <si>
    <t xml:space="preserve">Investment Analyst</t>
  </si>
  <si>
    <t xml:space="preserve">E0073</t>
  </si>
  <si>
    <t xml:space="preserve">Software Engineer</t>
  </si>
  <si>
    <t xml:space="preserve">E0074</t>
  </si>
  <si>
    <t xml:space="preserve">E0075</t>
  </si>
  <si>
    <t xml:space="preserve">E0076</t>
  </si>
  <si>
    <t xml:space="preserve">E0077</t>
  </si>
  <si>
    <t xml:space="preserve">E0078</t>
  </si>
  <si>
    <t xml:space="preserve">E0079</t>
  </si>
  <si>
    <t xml:space="preserve">E0080</t>
  </si>
  <si>
    <t xml:space="preserve">E0081</t>
  </si>
  <si>
    <t xml:space="preserve">E0082</t>
  </si>
  <si>
    <t xml:space="preserve">E0083</t>
  </si>
  <si>
    <t xml:space="preserve">E0084</t>
  </si>
  <si>
    <t xml:space="preserve">E0085</t>
  </si>
  <si>
    <t xml:space="preserve">E0086</t>
  </si>
  <si>
    <t xml:space="preserve">E0087</t>
  </si>
  <si>
    <t xml:space="preserve">E0088</t>
  </si>
  <si>
    <t xml:space="preserve">E0089</t>
  </si>
  <si>
    <t xml:space="preserve">E0090</t>
  </si>
  <si>
    <t xml:space="preserve">E0091</t>
  </si>
  <si>
    <t xml:space="preserve">E0092</t>
  </si>
  <si>
    <t xml:space="preserve">E0093</t>
  </si>
  <si>
    <t xml:space="preserve">E0094</t>
  </si>
  <si>
    <t xml:space="preserve">E0095</t>
  </si>
  <si>
    <t xml:space="preserve">E0096</t>
  </si>
  <si>
    <t xml:space="preserve">E0097</t>
  </si>
  <si>
    <t xml:space="preserve">E0098</t>
  </si>
  <si>
    <t xml:space="preserve">E0099</t>
  </si>
  <si>
    <t xml:space="preserve">E0100</t>
  </si>
  <si>
    <t xml:space="preserve">E0101</t>
  </si>
  <si>
    <t xml:space="preserve">E0102</t>
  </si>
  <si>
    <t xml:space="preserve">E0103</t>
  </si>
  <si>
    <t xml:space="preserve">E0104</t>
  </si>
  <si>
    <t xml:space="preserve">E0105</t>
  </si>
  <si>
    <t xml:space="preserve">E0106</t>
  </si>
  <si>
    <t xml:space="preserve">E0107</t>
  </si>
  <si>
    <t xml:space="preserve">E0108</t>
  </si>
  <si>
    <t xml:space="preserve">E0109</t>
  </si>
  <si>
    <t xml:space="preserve">E0110</t>
  </si>
  <si>
    <t xml:space="preserve">E0111</t>
  </si>
  <si>
    <t xml:space="preserve">E0112</t>
  </si>
  <si>
    <t xml:space="preserve">E0113</t>
  </si>
  <si>
    <t xml:space="preserve">E0114</t>
  </si>
  <si>
    <t xml:space="preserve">E0115</t>
  </si>
  <si>
    <t xml:space="preserve">E0116</t>
  </si>
  <si>
    <t xml:space="preserve">E0117</t>
  </si>
  <si>
    <t xml:space="preserve">E0118</t>
  </si>
  <si>
    <t xml:space="preserve">E0119</t>
  </si>
  <si>
    <t xml:space="preserve">E0120</t>
  </si>
  <si>
    <t xml:space="preserve">E0121</t>
  </si>
  <si>
    <t xml:space="preserve">E0122</t>
  </si>
  <si>
    <t xml:space="preserve">E0123</t>
  </si>
  <si>
    <t xml:space="preserve">E0124</t>
  </si>
  <si>
    <t xml:space="preserve">E0125</t>
  </si>
  <si>
    <t xml:space="preserve">E0126</t>
  </si>
  <si>
    <t xml:space="preserve">E0127</t>
  </si>
  <si>
    <t xml:space="preserve">E0128</t>
  </si>
  <si>
    <t xml:space="preserve">E0129</t>
  </si>
  <si>
    <t xml:space="preserve">E0130</t>
  </si>
  <si>
    <t xml:space="preserve">E0131</t>
  </si>
  <si>
    <t xml:space="preserve">E0132</t>
  </si>
  <si>
    <t xml:space="preserve">E0133</t>
  </si>
  <si>
    <t xml:space="preserve">E0134</t>
  </si>
  <si>
    <t xml:space="preserve">E0135</t>
  </si>
  <si>
    <t xml:space="preserve">E0136</t>
  </si>
  <si>
    <t xml:space="preserve">E0137</t>
  </si>
  <si>
    <t xml:space="preserve">E0138</t>
  </si>
  <si>
    <t xml:space="preserve">E0139</t>
  </si>
  <si>
    <t xml:space="preserve">E0140</t>
  </si>
  <si>
    <t xml:space="preserve">E0141</t>
  </si>
  <si>
    <t xml:space="preserve">E0142</t>
  </si>
  <si>
    <t xml:space="preserve">E0143</t>
  </si>
  <si>
    <t xml:space="preserve">E0144</t>
  </si>
  <si>
    <t xml:space="preserve">E0145</t>
  </si>
  <si>
    <t xml:space="preserve">E0146</t>
  </si>
  <si>
    <t xml:space="preserve">E0147</t>
  </si>
  <si>
    <t xml:space="preserve">E0148</t>
  </si>
  <si>
    <t xml:space="preserve">E0149</t>
  </si>
  <si>
    <t xml:space="preserve">E0150</t>
  </si>
  <si>
    <t xml:space="preserve">E0151</t>
  </si>
  <si>
    <t xml:space="preserve">E0152</t>
  </si>
  <si>
    <t xml:space="preserve">E0153</t>
  </si>
  <si>
    <t xml:space="preserve">E0154</t>
  </si>
  <si>
    <t xml:space="preserve">E0155</t>
  </si>
  <si>
    <t xml:space="preserve">E0156</t>
  </si>
  <si>
    <t xml:space="preserve">E0157</t>
  </si>
  <si>
    <t xml:space="preserve">E0158</t>
  </si>
  <si>
    <t xml:space="preserve">E0159</t>
  </si>
  <si>
    <t xml:space="preserve">E0160</t>
  </si>
  <si>
    <t xml:space="preserve">E0161</t>
  </si>
  <si>
    <t xml:space="preserve">E0162</t>
  </si>
  <si>
    <t xml:space="preserve">E0163</t>
  </si>
  <si>
    <t xml:space="preserve">E0164</t>
  </si>
  <si>
    <t xml:space="preserve">E0165</t>
  </si>
  <si>
    <t xml:space="preserve">E0166</t>
  </si>
  <si>
    <t xml:space="preserve">E0167</t>
  </si>
  <si>
    <t xml:space="preserve">E0168</t>
  </si>
  <si>
    <t xml:space="preserve">E0169</t>
  </si>
  <si>
    <t xml:space="preserve">E0170</t>
  </si>
  <si>
    <t xml:space="preserve">E0171</t>
  </si>
  <si>
    <t xml:space="preserve">E0172</t>
  </si>
  <si>
    <t xml:space="preserve">E0173</t>
  </si>
  <si>
    <t xml:space="preserve">E0174</t>
  </si>
  <si>
    <t xml:space="preserve">E0175</t>
  </si>
  <si>
    <t xml:space="preserve">E0176</t>
  </si>
  <si>
    <t xml:space="preserve">E0177</t>
  </si>
  <si>
    <t xml:space="preserve">E0178</t>
  </si>
  <si>
    <t xml:space="preserve">E0179</t>
  </si>
  <si>
    <t xml:space="preserve">E0180</t>
  </si>
  <si>
    <t xml:space="preserve">E0181</t>
  </si>
  <si>
    <t xml:space="preserve">E0182</t>
  </si>
  <si>
    <t xml:space="preserve">E0183</t>
  </si>
  <si>
    <t xml:space="preserve">E0184</t>
  </si>
  <si>
    <t xml:space="preserve">E0185</t>
  </si>
  <si>
    <t xml:space="preserve">E0186</t>
  </si>
  <si>
    <t xml:space="preserve">E0187</t>
  </si>
  <si>
    <t xml:space="preserve">E0188</t>
  </si>
  <si>
    <t xml:space="preserve">E0189</t>
  </si>
  <si>
    <t xml:space="preserve">E0190</t>
  </si>
  <si>
    <t xml:space="preserve">E0191</t>
  </si>
  <si>
    <t xml:space="preserve">E0192</t>
  </si>
  <si>
    <t xml:space="preserve">E0193</t>
  </si>
  <si>
    <t xml:space="preserve">E0194</t>
  </si>
  <si>
    <t xml:space="preserve">E0195</t>
  </si>
  <si>
    <t xml:space="preserve">E0196</t>
  </si>
  <si>
    <t xml:space="preserve">E0197</t>
  </si>
  <si>
    <t xml:space="preserve">E0198</t>
  </si>
  <si>
    <t xml:space="preserve">E0199</t>
  </si>
  <si>
    <t xml:space="preserve">E0200</t>
  </si>
  <si>
    <t xml:space="preserve">E0201</t>
  </si>
  <si>
    <t xml:space="preserve">E0202</t>
  </si>
  <si>
    <t xml:space="preserve">E0203</t>
  </si>
  <si>
    <t xml:space="preserve">E0204</t>
  </si>
  <si>
    <t xml:space="preserve">E0205</t>
  </si>
  <si>
    <t xml:space="preserve">E0206</t>
  </si>
  <si>
    <t xml:space="preserve">E0207</t>
  </si>
  <si>
    <t xml:space="preserve">E0208</t>
  </si>
  <si>
    <t xml:space="preserve">E0209</t>
  </si>
  <si>
    <t xml:space="preserve">E0210</t>
  </si>
  <si>
    <t xml:space="preserve">E0211</t>
  </si>
  <si>
    <t xml:space="preserve">E0212</t>
  </si>
  <si>
    <t xml:space="preserve">E0213</t>
  </si>
  <si>
    <t xml:space="preserve">E0214</t>
  </si>
  <si>
    <t xml:space="preserve">E0215</t>
  </si>
  <si>
    <t xml:space="preserve">E0216</t>
  </si>
  <si>
    <t xml:space="preserve">E0217</t>
  </si>
  <si>
    <t xml:space="preserve">E0218</t>
  </si>
  <si>
    <t xml:space="preserve">E0219</t>
  </si>
  <si>
    <t xml:space="preserve">E0220</t>
  </si>
  <si>
    <t xml:space="preserve">E0221</t>
  </si>
  <si>
    <t xml:space="preserve">E0222</t>
  </si>
  <si>
    <t xml:space="preserve">E0223</t>
  </si>
  <si>
    <t xml:space="preserve">E0224</t>
  </si>
  <si>
    <t xml:space="preserve">E0225</t>
  </si>
  <si>
    <t xml:space="preserve">E0226</t>
  </si>
  <si>
    <t xml:space="preserve">E0227</t>
  </si>
  <si>
    <t xml:space="preserve">E0228</t>
  </si>
  <si>
    <t xml:space="preserve">E0229</t>
  </si>
  <si>
    <t xml:space="preserve">E0230</t>
  </si>
  <si>
    <t xml:space="preserve">E0231</t>
  </si>
  <si>
    <t xml:space="preserve">E0232</t>
  </si>
  <si>
    <t xml:space="preserve">E0233</t>
  </si>
  <si>
    <t xml:space="preserve">E0234</t>
  </si>
  <si>
    <t xml:space="preserve">E0235</t>
  </si>
  <si>
    <t xml:space="preserve">E0236</t>
  </si>
  <si>
    <t xml:space="preserve">E0237</t>
  </si>
  <si>
    <t xml:space="preserve">E0238</t>
  </si>
  <si>
    <t xml:space="preserve">E0239</t>
  </si>
  <si>
    <t xml:space="preserve">E0240</t>
  </si>
  <si>
    <t xml:space="preserve">E0241</t>
  </si>
  <si>
    <t xml:space="preserve">E0242</t>
  </si>
  <si>
    <t xml:space="preserve">E0243</t>
  </si>
  <si>
    <t xml:space="preserve">E0244</t>
  </si>
  <si>
    <t xml:space="preserve">E0245</t>
  </si>
  <si>
    <t xml:space="preserve">E0246</t>
  </si>
  <si>
    <t xml:space="preserve">E0247</t>
  </si>
  <si>
    <t xml:space="preserve">E0248</t>
  </si>
  <si>
    <t xml:space="preserve">E0249</t>
  </si>
  <si>
    <t xml:space="preserve">E0250</t>
  </si>
  <si>
    <t xml:space="preserve">E0251</t>
  </si>
  <si>
    <t xml:space="preserve">E0252</t>
  </si>
  <si>
    <t xml:space="preserve">E0253</t>
  </si>
  <si>
    <t xml:space="preserve">E0254</t>
  </si>
  <si>
    <t xml:space="preserve">E0255</t>
  </si>
  <si>
    <t xml:space="preserve">E0256</t>
  </si>
  <si>
    <t xml:space="preserve">E0257</t>
  </si>
  <si>
    <t xml:space="preserve">E0258</t>
  </si>
  <si>
    <t xml:space="preserve">E0259</t>
  </si>
  <si>
    <t xml:space="preserve">E0260</t>
  </si>
  <si>
    <t xml:space="preserve">E0261</t>
  </si>
  <si>
    <t xml:space="preserve">E0262</t>
  </si>
  <si>
    <t xml:space="preserve">E0263</t>
  </si>
  <si>
    <t xml:space="preserve">E0264</t>
  </si>
  <si>
    <t xml:space="preserve">E0265</t>
  </si>
  <si>
    <t xml:space="preserve">E0266</t>
  </si>
  <si>
    <t xml:space="preserve">E0267</t>
  </si>
  <si>
    <t xml:space="preserve">E0268</t>
  </si>
  <si>
    <t xml:space="preserve">E0269</t>
  </si>
  <si>
    <t xml:space="preserve">E0270</t>
  </si>
  <si>
    <t xml:space="preserve">E0271</t>
  </si>
  <si>
    <t xml:space="preserve">E0272</t>
  </si>
  <si>
    <t xml:space="preserve">E0273</t>
  </si>
  <si>
    <t xml:space="preserve">E0274</t>
  </si>
  <si>
    <t xml:space="preserve">E0275</t>
  </si>
  <si>
    <t xml:space="preserve">E0276</t>
  </si>
  <si>
    <t xml:space="preserve">E0277</t>
  </si>
  <si>
    <t xml:space="preserve">E0278</t>
  </si>
  <si>
    <t xml:space="preserve">E0279</t>
  </si>
  <si>
    <t xml:space="preserve">E0280</t>
  </si>
  <si>
    <t xml:space="preserve">E0281</t>
  </si>
  <si>
    <t xml:space="preserve">E0282</t>
  </si>
  <si>
    <t xml:space="preserve">E0283</t>
  </si>
  <si>
    <t xml:space="preserve">E0284</t>
  </si>
  <si>
    <t xml:space="preserve">E0285</t>
  </si>
  <si>
    <t xml:space="preserve">E0286</t>
  </si>
  <si>
    <t xml:space="preserve">E0287</t>
  </si>
  <si>
    <t xml:space="preserve">E0288</t>
  </si>
  <si>
    <t xml:space="preserve">E0289</t>
  </si>
  <si>
    <t xml:space="preserve">E0290</t>
  </si>
  <si>
    <t xml:space="preserve">E0291</t>
  </si>
  <si>
    <t xml:space="preserve">E0292</t>
  </si>
  <si>
    <t xml:space="preserve">E0293</t>
  </si>
  <si>
    <t xml:space="preserve">E0294</t>
  </si>
  <si>
    <t xml:space="preserve">E0295</t>
  </si>
  <si>
    <t xml:space="preserve">E0296</t>
  </si>
  <si>
    <t xml:space="preserve">E0297</t>
  </si>
  <si>
    <t xml:space="preserve">E0298</t>
  </si>
  <si>
    <t xml:space="preserve">E0299</t>
  </si>
  <si>
    <t xml:space="preserve">E0300</t>
  </si>
  <si>
    <t xml:space="preserve">E0301</t>
  </si>
  <si>
    <t xml:space="preserve">E0302</t>
  </si>
  <si>
    <t xml:space="preserve">E0303</t>
  </si>
  <si>
    <t xml:space="preserve">E0304</t>
  </si>
  <si>
    <t xml:space="preserve">E0305</t>
  </si>
  <si>
    <t xml:space="preserve">E0306</t>
  </si>
  <si>
    <t xml:space="preserve">E0307</t>
  </si>
  <si>
    <t xml:space="preserve">E0308</t>
  </si>
  <si>
    <t xml:space="preserve">E0309</t>
  </si>
  <si>
    <t xml:space="preserve">E0310</t>
  </si>
  <si>
    <t xml:space="preserve">E0311</t>
  </si>
  <si>
    <t xml:space="preserve">E0312</t>
  </si>
  <si>
    <t xml:space="preserve">E0313</t>
  </si>
  <si>
    <t xml:space="preserve">E0314</t>
  </si>
  <si>
    <t xml:space="preserve">E0315</t>
  </si>
  <si>
    <t xml:space="preserve">E0316</t>
  </si>
  <si>
    <t xml:space="preserve">E0317</t>
  </si>
  <si>
    <t xml:space="preserve">E0318</t>
  </si>
  <si>
    <t xml:space="preserve">E0319</t>
  </si>
  <si>
    <t xml:space="preserve">E0320</t>
  </si>
  <si>
    <t xml:space="preserve">E0321</t>
  </si>
  <si>
    <t xml:space="preserve">E0322</t>
  </si>
  <si>
    <t xml:space="preserve">E0323</t>
  </si>
  <si>
    <t xml:space="preserve">E0324</t>
  </si>
  <si>
    <t xml:space="preserve">E0325</t>
  </si>
  <si>
    <t xml:space="preserve">E0326</t>
  </si>
  <si>
    <t xml:space="preserve">E0327</t>
  </si>
  <si>
    <t xml:space="preserve">E0328</t>
  </si>
  <si>
    <t xml:space="preserve">E0329</t>
  </si>
  <si>
    <t xml:space="preserve">E0330</t>
  </si>
  <si>
    <t xml:space="preserve">E0331</t>
  </si>
  <si>
    <t xml:space="preserve">E0332</t>
  </si>
  <si>
    <t xml:space="preserve">E0333</t>
  </si>
  <si>
    <t xml:space="preserve">E0334</t>
  </si>
  <si>
    <t xml:space="preserve">E0335</t>
  </si>
  <si>
    <t xml:space="preserve">E0336</t>
  </si>
  <si>
    <t xml:space="preserve">E0337</t>
  </si>
  <si>
    <t xml:space="preserve">E0338</t>
  </si>
  <si>
    <t xml:space="preserve">E0339</t>
  </si>
  <si>
    <t xml:space="preserve">E0340</t>
  </si>
  <si>
    <t xml:space="preserve">E0341</t>
  </si>
  <si>
    <t xml:space="preserve">E0342</t>
  </si>
  <si>
    <t xml:space="preserve">E0343</t>
  </si>
  <si>
    <t xml:space="preserve">E0344</t>
  </si>
  <si>
    <t xml:space="preserve">E0345</t>
  </si>
  <si>
    <t xml:space="preserve">E0346</t>
  </si>
  <si>
    <t xml:space="preserve">E0347</t>
  </si>
  <si>
    <t xml:space="preserve">E0348</t>
  </si>
  <si>
    <t xml:space="preserve">E0349</t>
  </si>
  <si>
    <t xml:space="preserve">E0350</t>
  </si>
  <si>
    <t xml:space="preserve">E0351</t>
  </si>
  <si>
    <t xml:space="preserve">E0352</t>
  </si>
  <si>
    <t xml:space="preserve">E0353</t>
  </si>
  <si>
    <t xml:space="preserve">E0354</t>
  </si>
  <si>
    <t xml:space="preserve">E0355</t>
  </si>
  <si>
    <t xml:space="preserve">E0356</t>
  </si>
  <si>
    <t xml:space="preserve">E0357</t>
  </si>
  <si>
    <t xml:space="preserve">E0358</t>
  </si>
  <si>
    <t xml:space="preserve">E0359</t>
  </si>
  <si>
    <t xml:space="preserve">E0360</t>
  </si>
  <si>
    <t xml:space="preserve">E0361</t>
  </si>
  <si>
    <t xml:space="preserve">E0362</t>
  </si>
  <si>
    <t xml:space="preserve">E0363</t>
  </si>
  <si>
    <t xml:space="preserve">E0364</t>
  </si>
  <si>
    <t xml:space="preserve">E0365</t>
  </si>
  <si>
    <t xml:space="preserve">E0366</t>
  </si>
  <si>
    <t xml:space="preserve">E0367</t>
  </si>
  <si>
    <t xml:space="preserve">E0368</t>
  </si>
  <si>
    <t xml:space="preserve">E0369</t>
  </si>
  <si>
    <t xml:space="preserve">E0370</t>
  </si>
  <si>
    <t xml:space="preserve">E0371</t>
  </si>
  <si>
    <t xml:space="preserve">E0372</t>
  </si>
  <si>
    <t xml:space="preserve">E0373</t>
  </si>
  <si>
    <t xml:space="preserve">E0374</t>
  </si>
  <si>
    <t xml:space="preserve">E0375</t>
  </si>
  <si>
    <t xml:space="preserve">E0376</t>
  </si>
  <si>
    <t xml:space="preserve">E0377</t>
  </si>
  <si>
    <t xml:space="preserve">E0378</t>
  </si>
  <si>
    <t xml:space="preserve">E0379</t>
  </si>
  <si>
    <t xml:space="preserve">E0380</t>
  </si>
  <si>
    <t xml:space="preserve">E0381</t>
  </si>
  <si>
    <t xml:space="preserve">E0382</t>
  </si>
  <si>
    <t xml:space="preserve">E0383</t>
  </si>
  <si>
    <t xml:space="preserve">E0384</t>
  </si>
  <si>
    <t xml:space="preserve">E0385</t>
  </si>
  <si>
    <t xml:space="preserve">E0386</t>
  </si>
  <si>
    <t xml:space="preserve">E0387</t>
  </si>
  <si>
    <t xml:space="preserve">E0388</t>
  </si>
  <si>
    <t xml:space="preserve">E0389</t>
  </si>
  <si>
    <t xml:space="preserve">E0390</t>
  </si>
  <si>
    <t xml:space="preserve">E0391</t>
  </si>
  <si>
    <t xml:space="preserve">E0392</t>
  </si>
  <si>
    <t xml:space="preserve">E0393</t>
  </si>
  <si>
    <t xml:space="preserve">E0394</t>
  </si>
  <si>
    <t xml:space="preserve">E0395</t>
  </si>
  <si>
    <t xml:space="preserve">E0396</t>
  </si>
  <si>
    <t xml:space="preserve">E0397</t>
  </si>
  <si>
    <t xml:space="preserve">E0398</t>
  </si>
  <si>
    <t xml:space="preserve">E0399</t>
  </si>
  <si>
    <t xml:space="preserve">E0400</t>
  </si>
  <si>
    <t xml:space="preserve">E0401</t>
  </si>
  <si>
    <t xml:space="preserve">E0402</t>
  </si>
  <si>
    <t xml:space="preserve">E0403</t>
  </si>
  <si>
    <t xml:space="preserve">E0404</t>
  </si>
  <si>
    <t xml:space="preserve">E0405</t>
  </si>
  <si>
    <t xml:space="preserve">E0406</t>
  </si>
  <si>
    <t xml:space="preserve">E0407</t>
  </si>
  <si>
    <t xml:space="preserve">E0408</t>
  </si>
  <si>
    <t xml:space="preserve">E0409</t>
  </si>
  <si>
    <t xml:space="preserve">E0410</t>
  </si>
  <si>
    <t xml:space="preserve">E0411</t>
  </si>
  <si>
    <t xml:space="preserve">E0412</t>
  </si>
  <si>
    <t xml:space="preserve">E0413</t>
  </si>
  <si>
    <t xml:space="preserve">E0414</t>
  </si>
  <si>
    <t xml:space="preserve">E0415</t>
  </si>
  <si>
    <t xml:space="preserve">E0416</t>
  </si>
  <si>
    <t xml:space="preserve">E0417</t>
  </si>
  <si>
    <t xml:space="preserve">E0418</t>
  </si>
  <si>
    <t xml:space="preserve">E0419</t>
  </si>
  <si>
    <t xml:space="preserve">E0420</t>
  </si>
  <si>
    <t xml:space="preserve">E0421</t>
  </si>
  <si>
    <t xml:space="preserve">E0422</t>
  </si>
  <si>
    <t xml:space="preserve">E0423</t>
  </si>
  <si>
    <t xml:space="preserve">E0424</t>
  </si>
  <si>
    <t xml:space="preserve">E0425</t>
  </si>
  <si>
    <t xml:space="preserve">E0426</t>
  </si>
  <si>
    <t xml:space="preserve">E0427</t>
  </si>
  <si>
    <t xml:space="preserve">E0428</t>
  </si>
  <si>
    <t xml:space="preserve">E0429</t>
  </si>
  <si>
    <t xml:space="preserve">E0430</t>
  </si>
  <si>
    <t xml:space="preserve">E0431</t>
  </si>
  <si>
    <t xml:space="preserve">E0432</t>
  </si>
  <si>
    <t xml:space="preserve">E0433</t>
  </si>
  <si>
    <t xml:space="preserve">E0434</t>
  </si>
  <si>
    <t xml:space="preserve">E0435</t>
  </si>
  <si>
    <t xml:space="preserve">E0436</t>
  </si>
  <si>
    <t xml:space="preserve">E0437</t>
  </si>
  <si>
    <t xml:space="preserve">E0438</t>
  </si>
  <si>
    <t xml:space="preserve">E0439</t>
  </si>
  <si>
    <t xml:space="preserve">E0440</t>
  </si>
  <si>
    <t xml:space="preserve">E0441</t>
  </si>
  <si>
    <t xml:space="preserve">E0442</t>
  </si>
  <si>
    <t xml:space="preserve">E0443</t>
  </si>
  <si>
    <t xml:space="preserve">E0444</t>
  </si>
  <si>
    <t xml:space="preserve">E0445</t>
  </si>
  <si>
    <t xml:space="preserve">E0446</t>
  </si>
  <si>
    <t xml:space="preserve">E0447</t>
  </si>
  <si>
    <t xml:space="preserve">E0448</t>
  </si>
  <si>
    <t xml:space="preserve">E0449</t>
  </si>
  <si>
    <t xml:space="preserve">E0450</t>
  </si>
  <si>
    <t xml:space="preserve">E0451</t>
  </si>
  <si>
    <t xml:space="preserve">E0452</t>
  </si>
  <si>
    <t xml:space="preserve">E0453</t>
  </si>
  <si>
    <t xml:space="preserve">E0454</t>
  </si>
  <si>
    <t xml:space="preserve">E0455</t>
  </si>
  <si>
    <t xml:space="preserve">E0456</t>
  </si>
  <si>
    <t xml:space="preserve">E0457</t>
  </si>
  <si>
    <t xml:space="preserve">E0458</t>
  </si>
  <si>
    <t xml:space="preserve">E0459</t>
  </si>
  <si>
    <t xml:space="preserve">E0460</t>
  </si>
  <si>
    <t xml:space="preserve">E0461</t>
  </si>
  <si>
    <t xml:space="preserve">E0462</t>
  </si>
  <si>
    <t xml:space="preserve">E0463</t>
  </si>
  <si>
    <t xml:space="preserve">E0464</t>
  </si>
  <si>
    <t xml:space="preserve">E0465</t>
  </si>
  <si>
    <t xml:space="preserve">E0466</t>
  </si>
  <si>
    <t xml:space="preserve">E0467</t>
  </si>
  <si>
    <t xml:space="preserve">E0468</t>
  </si>
  <si>
    <t xml:space="preserve">E0469</t>
  </si>
  <si>
    <t xml:space="preserve">E0470</t>
  </si>
  <si>
    <t xml:space="preserve">E0471</t>
  </si>
  <si>
    <t xml:space="preserve">E0472</t>
  </si>
  <si>
    <t xml:space="preserve">E0473</t>
  </si>
  <si>
    <t xml:space="preserve">E0474</t>
  </si>
  <si>
    <t xml:space="preserve">E0475</t>
  </si>
  <si>
    <t xml:space="preserve">E0476</t>
  </si>
  <si>
    <t xml:space="preserve">E0477</t>
  </si>
  <si>
    <t xml:space="preserve">E0478</t>
  </si>
  <si>
    <t xml:space="preserve">E0479</t>
  </si>
  <si>
    <t xml:space="preserve">E0480</t>
  </si>
  <si>
    <t xml:space="preserve">E0481</t>
  </si>
  <si>
    <t xml:space="preserve">E0482</t>
  </si>
  <si>
    <t xml:space="preserve">E0483</t>
  </si>
  <si>
    <t xml:space="preserve">E0484</t>
  </si>
  <si>
    <t xml:space="preserve">E0485</t>
  </si>
  <si>
    <t xml:space="preserve">E0486</t>
  </si>
  <si>
    <t xml:space="preserve">E0487</t>
  </si>
  <si>
    <t xml:space="preserve">E0488</t>
  </si>
  <si>
    <t xml:space="preserve">E0489</t>
  </si>
  <si>
    <t xml:space="preserve">E0490</t>
  </si>
  <si>
    <t xml:space="preserve">E0491</t>
  </si>
  <si>
    <t xml:space="preserve">E0492</t>
  </si>
  <si>
    <t xml:space="preserve">E0493</t>
  </si>
  <si>
    <t xml:space="preserve">E0494</t>
  </si>
  <si>
    <t xml:space="preserve">E0495</t>
  </si>
  <si>
    <t xml:space="preserve">E0496</t>
  </si>
  <si>
    <t xml:space="preserve">E0497</t>
  </si>
  <si>
    <t xml:space="preserve">E0498</t>
  </si>
  <si>
    <t xml:space="preserve">E0499</t>
  </si>
  <si>
    <t xml:space="preserve">E0500</t>
  </si>
  <si>
    <t xml:space="preserve">E0501</t>
  </si>
  <si>
    <t xml:space="preserve">E0502</t>
  </si>
  <si>
    <t xml:space="preserve">E0503</t>
  </si>
  <si>
    <t xml:space="preserve">E0504</t>
  </si>
  <si>
    <t xml:space="preserve">E0505</t>
  </si>
  <si>
    <t xml:space="preserve">E0506</t>
  </si>
  <si>
    <t xml:space="preserve">E0507</t>
  </si>
  <si>
    <t xml:space="preserve">E0508</t>
  </si>
  <si>
    <t xml:space="preserve">E0509</t>
  </si>
  <si>
    <t xml:space="preserve">E0510</t>
  </si>
  <si>
    <t xml:space="preserve">E0511</t>
  </si>
  <si>
    <t xml:space="preserve">E0512</t>
  </si>
  <si>
    <t xml:space="preserve">E0513</t>
  </si>
  <si>
    <t xml:space="preserve">E0514</t>
  </si>
  <si>
    <t xml:space="preserve">E0515</t>
  </si>
  <si>
    <t xml:space="preserve">E0516</t>
  </si>
  <si>
    <t xml:space="preserve">E0517</t>
  </si>
  <si>
    <t xml:space="preserve">E0518</t>
  </si>
  <si>
    <t xml:space="preserve">E0519</t>
  </si>
  <si>
    <t xml:space="preserve">E0520</t>
  </si>
  <si>
    <t xml:space="preserve">E0521</t>
  </si>
  <si>
    <t xml:space="preserve">E0522</t>
  </si>
  <si>
    <t xml:space="preserve">E0523</t>
  </si>
  <si>
    <t xml:space="preserve">E0524</t>
  </si>
  <si>
    <t xml:space="preserve">E0525</t>
  </si>
  <si>
    <t xml:space="preserve">E0526</t>
  </si>
  <si>
    <t xml:space="preserve">E0527</t>
  </si>
  <si>
    <t xml:space="preserve">E0528</t>
  </si>
  <si>
    <t xml:space="preserve">E0529</t>
  </si>
  <si>
    <t xml:space="preserve">E0530</t>
  </si>
  <si>
    <t xml:space="preserve">E0531</t>
  </si>
  <si>
    <t xml:space="preserve">E0532</t>
  </si>
  <si>
    <t xml:space="preserve">E0533</t>
  </si>
  <si>
    <t xml:space="preserve">E0534</t>
  </si>
  <si>
    <t xml:space="preserve">E0535</t>
  </si>
  <si>
    <t xml:space="preserve">E0536</t>
  </si>
  <si>
    <t xml:space="preserve">E0537</t>
  </si>
  <si>
    <t xml:space="preserve">E0538</t>
  </si>
  <si>
    <t xml:space="preserve">E0539</t>
  </si>
  <si>
    <t xml:space="preserve">E0540</t>
  </si>
  <si>
    <t xml:space="preserve">E0541</t>
  </si>
  <si>
    <t xml:space="preserve">E0542</t>
  </si>
  <si>
    <t xml:space="preserve">E0543</t>
  </si>
  <si>
    <t xml:space="preserve">E0544</t>
  </si>
  <si>
    <t xml:space="preserve">E0545</t>
  </si>
  <si>
    <t xml:space="preserve">E0546</t>
  </si>
  <si>
    <t xml:space="preserve">E0547</t>
  </si>
  <si>
    <t xml:space="preserve">E0548</t>
  </si>
  <si>
    <t xml:space="preserve">E0549</t>
  </si>
  <si>
    <t xml:space="preserve">E0550</t>
  </si>
  <si>
    <t xml:space="preserve">E0551</t>
  </si>
  <si>
    <t xml:space="preserve">E0552</t>
  </si>
  <si>
    <t xml:space="preserve">E0553</t>
  </si>
  <si>
    <t xml:space="preserve">E0554</t>
  </si>
  <si>
    <t xml:space="preserve">E0555</t>
  </si>
  <si>
    <t xml:space="preserve">E0556</t>
  </si>
  <si>
    <t xml:space="preserve">E0557</t>
  </si>
  <si>
    <t xml:space="preserve">E0558</t>
  </si>
  <si>
    <t xml:space="preserve">E0559</t>
  </si>
  <si>
    <t xml:space="preserve">E0560</t>
  </si>
  <si>
    <t xml:space="preserve">E0561</t>
  </si>
  <si>
    <t xml:space="preserve">E0562</t>
  </si>
  <si>
    <t xml:space="preserve">E0563</t>
  </si>
  <si>
    <t xml:space="preserve">E0564</t>
  </si>
  <si>
    <t xml:space="preserve">E0565</t>
  </si>
  <si>
    <t xml:space="preserve">E0566</t>
  </si>
  <si>
    <t xml:space="preserve">E0567</t>
  </si>
  <si>
    <t xml:space="preserve">E0568</t>
  </si>
  <si>
    <t xml:space="preserve">E0569</t>
  </si>
  <si>
    <t xml:space="preserve">E0570</t>
  </si>
  <si>
    <t xml:space="preserve">E0571</t>
  </si>
  <si>
    <t xml:space="preserve">E0572</t>
  </si>
  <si>
    <t xml:space="preserve">E0573</t>
  </si>
  <si>
    <t xml:space="preserve">E0574</t>
  </si>
  <si>
    <t xml:space="preserve">E0575</t>
  </si>
  <si>
    <t xml:space="preserve">E0576</t>
  </si>
  <si>
    <t xml:space="preserve">E0577</t>
  </si>
  <si>
    <t xml:space="preserve">E0578</t>
  </si>
  <si>
    <t xml:space="preserve">E0579</t>
  </si>
  <si>
    <t xml:space="preserve">E0580</t>
  </si>
  <si>
    <t xml:space="preserve">E0581</t>
  </si>
  <si>
    <t xml:space="preserve">E0582</t>
  </si>
  <si>
    <t xml:space="preserve">E0583</t>
  </si>
  <si>
    <t xml:space="preserve">E0584</t>
  </si>
  <si>
    <t xml:space="preserve">E0585</t>
  </si>
  <si>
    <t xml:space="preserve">E0586</t>
  </si>
  <si>
    <t xml:space="preserve">E0587</t>
  </si>
  <si>
    <t xml:space="preserve">E0588</t>
  </si>
  <si>
    <t xml:space="preserve">E0589</t>
  </si>
  <si>
    <t xml:space="preserve">E0590</t>
  </si>
  <si>
    <t xml:space="preserve">E0591</t>
  </si>
  <si>
    <t xml:space="preserve">E0592</t>
  </si>
  <si>
    <t xml:space="preserve">E0593</t>
  </si>
  <si>
    <t xml:space="preserve">E0594</t>
  </si>
  <si>
    <t xml:space="preserve">E0595</t>
  </si>
  <si>
    <t xml:space="preserve">E0596</t>
  </si>
  <si>
    <t xml:space="preserve">E0597</t>
  </si>
  <si>
    <t xml:space="preserve">E0598</t>
  </si>
  <si>
    <t xml:space="preserve">E0599</t>
  </si>
  <si>
    <t xml:space="preserve">E0600</t>
  </si>
  <si>
    <t xml:space="preserve">E0601</t>
  </si>
  <si>
    <t xml:space="preserve">E0602</t>
  </si>
  <si>
    <t xml:space="preserve">E0603</t>
  </si>
  <si>
    <t xml:space="preserve">E0604</t>
  </si>
  <si>
    <t xml:space="preserve">E0605</t>
  </si>
  <si>
    <t xml:space="preserve">E0606</t>
  </si>
  <si>
    <t xml:space="preserve">E0607</t>
  </si>
  <si>
    <t xml:space="preserve">E0608</t>
  </si>
  <si>
    <t xml:space="preserve">E0609</t>
  </si>
  <si>
    <t xml:space="preserve">E0610</t>
  </si>
  <si>
    <t xml:space="preserve">E0611</t>
  </si>
  <si>
    <t xml:space="preserve">E0612</t>
  </si>
  <si>
    <t xml:space="preserve">E0613</t>
  </si>
  <si>
    <t xml:space="preserve">E0614</t>
  </si>
  <si>
    <t xml:space="preserve">E0615</t>
  </si>
  <si>
    <t xml:space="preserve">E0616</t>
  </si>
  <si>
    <t xml:space="preserve">E0617</t>
  </si>
  <si>
    <t xml:space="preserve">E0618</t>
  </si>
  <si>
    <t xml:space="preserve">E0619</t>
  </si>
  <si>
    <t xml:space="preserve">E0620</t>
  </si>
  <si>
    <t xml:space="preserve">E0621</t>
  </si>
  <si>
    <t xml:space="preserve">E0622</t>
  </si>
  <si>
    <t xml:space="preserve">E0623</t>
  </si>
  <si>
    <t xml:space="preserve">E0624</t>
  </si>
  <si>
    <t xml:space="preserve">E0625</t>
  </si>
  <si>
    <t xml:space="preserve">E0626</t>
  </si>
  <si>
    <t xml:space="preserve">E0627</t>
  </si>
  <si>
    <t xml:space="preserve">E0628</t>
  </si>
  <si>
    <t xml:space="preserve">E0629</t>
  </si>
  <si>
    <t xml:space="preserve">E0630</t>
  </si>
  <si>
    <t xml:space="preserve">E0631</t>
  </si>
  <si>
    <t xml:space="preserve">E0632</t>
  </si>
  <si>
    <t xml:space="preserve">E0633</t>
  </si>
  <si>
    <t xml:space="preserve">E0634</t>
  </si>
  <si>
    <t xml:space="preserve">E0635</t>
  </si>
  <si>
    <t xml:space="preserve">E0636</t>
  </si>
  <si>
    <t xml:space="preserve">E0637</t>
  </si>
  <si>
    <t xml:space="preserve">E0638</t>
  </si>
  <si>
    <t xml:space="preserve">E0639</t>
  </si>
  <si>
    <t xml:space="preserve">E0640</t>
  </si>
  <si>
    <t xml:space="preserve">E0641</t>
  </si>
  <si>
    <t xml:space="preserve">E0642</t>
  </si>
  <si>
    <t xml:space="preserve">E0643</t>
  </si>
  <si>
    <t xml:space="preserve">E0644</t>
  </si>
  <si>
    <t xml:space="preserve">E0645</t>
  </si>
  <si>
    <t xml:space="preserve">E0646</t>
  </si>
  <si>
    <t xml:space="preserve">E0647</t>
  </si>
  <si>
    <t xml:space="preserve">E0648</t>
  </si>
  <si>
    <t xml:space="preserve">E0649</t>
  </si>
  <si>
    <t xml:space="preserve">E0650</t>
  </si>
  <si>
    <t xml:space="preserve">E0651</t>
  </si>
  <si>
    <t xml:space="preserve">E0652</t>
  </si>
  <si>
    <t xml:space="preserve">E0653</t>
  </si>
  <si>
    <t xml:space="preserve">E0654</t>
  </si>
  <si>
    <t xml:space="preserve">E0655</t>
  </si>
  <si>
    <t xml:space="preserve">E0656</t>
  </si>
  <si>
    <t xml:space="preserve">E0657</t>
  </si>
  <si>
    <t xml:space="preserve">E0658</t>
  </si>
  <si>
    <t xml:space="preserve">E0659</t>
  </si>
  <si>
    <t xml:space="preserve">E0660</t>
  </si>
  <si>
    <t xml:space="preserve">E0661</t>
  </si>
  <si>
    <t xml:space="preserve">E0662</t>
  </si>
  <si>
    <t xml:space="preserve">E0663</t>
  </si>
  <si>
    <t xml:space="preserve">E0664</t>
  </si>
  <si>
    <t xml:space="preserve">E0665</t>
  </si>
  <si>
    <t xml:space="preserve">E0666</t>
  </si>
  <si>
    <t xml:space="preserve">E0667</t>
  </si>
  <si>
    <t xml:space="preserve">E0668</t>
  </si>
  <si>
    <t xml:space="preserve">E0669</t>
  </si>
  <si>
    <t xml:space="preserve">E0670</t>
  </si>
  <si>
    <t xml:space="preserve">E0671</t>
  </si>
  <si>
    <t xml:space="preserve">E0672</t>
  </si>
  <si>
    <t xml:space="preserve">E0673</t>
  </si>
  <si>
    <t xml:space="preserve">E0674</t>
  </si>
  <si>
    <t xml:space="preserve">E0675</t>
  </si>
  <si>
    <t xml:space="preserve">E0676</t>
  </si>
  <si>
    <t xml:space="preserve">E0677</t>
  </si>
  <si>
    <t xml:space="preserve">E0678</t>
  </si>
  <si>
    <t xml:space="preserve">E0679</t>
  </si>
  <si>
    <t xml:space="preserve">E0680</t>
  </si>
  <si>
    <t xml:space="preserve">E0681</t>
  </si>
  <si>
    <t xml:space="preserve">E0682</t>
  </si>
  <si>
    <t xml:space="preserve">E0683</t>
  </si>
  <si>
    <t xml:space="preserve">E0684</t>
  </si>
  <si>
    <t xml:space="preserve">E0685</t>
  </si>
  <si>
    <t xml:space="preserve">E0686</t>
  </si>
  <si>
    <t xml:space="preserve">E0687</t>
  </si>
  <si>
    <t xml:space="preserve">E0688</t>
  </si>
  <si>
    <t xml:space="preserve">E0689</t>
  </si>
  <si>
    <t xml:space="preserve">E0690</t>
  </si>
  <si>
    <t xml:space="preserve">E0691</t>
  </si>
  <si>
    <t xml:space="preserve">E0692</t>
  </si>
  <si>
    <t xml:space="preserve">E0693</t>
  </si>
  <si>
    <t xml:space="preserve">E0694</t>
  </si>
  <si>
    <t xml:space="preserve">E0695</t>
  </si>
  <si>
    <t xml:space="preserve">E0696</t>
  </si>
  <si>
    <t xml:space="preserve">E0697</t>
  </si>
  <si>
    <t xml:space="preserve">E0698</t>
  </si>
  <si>
    <t xml:space="preserve">E0699</t>
  </si>
  <si>
    <t xml:space="preserve">E0700</t>
  </si>
  <si>
    <t xml:space="preserve">E0701</t>
  </si>
  <si>
    <t xml:space="preserve">E0702</t>
  </si>
  <si>
    <t xml:space="preserve">E0703</t>
  </si>
  <si>
    <t xml:space="preserve">E0704</t>
  </si>
  <si>
    <t xml:space="preserve">E0705</t>
  </si>
  <si>
    <t xml:space="preserve">E0706</t>
  </si>
  <si>
    <t xml:space="preserve">E0707</t>
  </si>
  <si>
    <t xml:space="preserve">E0708</t>
  </si>
  <si>
    <t xml:space="preserve">E0709</t>
  </si>
  <si>
    <t xml:space="preserve">E0710</t>
  </si>
  <si>
    <t xml:space="preserve">E0711</t>
  </si>
  <si>
    <t xml:space="preserve">E0712</t>
  </si>
  <si>
    <t xml:space="preserve">E0713</t>
  </si>
  <si>
    <t xml:space="preserve">E0714</t>
  </si>
  <si>
    <t xml:space="preserve">E0715</t>
  </si>
  <si>
    <t xml:space="preserve">E0716</t>
  </si>
  <si>
    <t xml:space="preserve">E0717</t>
  </si>
  <si>
    <t xml:space="preserve">E0718</t>
  </si>
  <si>
    <t xml:space="preserve">E0719</t>
  </si>
  <si>
    <t xml:space="preserve">E0720</t>
  </si>
  <si>
    <t xml:space="preserve">E0721</t>
  </si>
  <si>
    <t xml:space="preserve">E0722</t>
  </si>
  <si>
    <t xml:space="preserve">E0723</t>
  </si>
  <si>
    <t xml:space="preserve">E0724</t>
  </si>
  <si>
    <t xml:space="preserve">E0725</t>
  </si>
  <si>
    <t xml:space="preserve">E0726</t>
  </si>
  <si>
    <t xml:space="preserve">E0727</t>
  </si>
  <si>
    <t xml:space="preserve">E0728</t>
  </si>
  <si>
    <t xml:space="preserve">E0729</t>
  </si>
  <si>
    <t xml:space="preserve">E0730</t>
  </si>
  <si>
    <t xml:space="preserve">E0731</t>
  </si>
  <si>
    <t xml:space="preserve">E0732</t>
  </si>
  <si>
    <t xml:space="preserve">E0733</t>
  </si>
  <si>
    <t xml:space="preserve">E0734</t>
  </si>
  <si>
    <t xml:space="preserve">E0735</t>
  </si>
  <si>
    <t xml:space="preserve">E0736</t>
  </si>
  <si>
    <t xml:space="preserve">E0737</t>
  </si>
  <si>
    <t xml:space="preserve">E0738</t>
  </si>
  <si>
    <t xml:space="preserve">E0739</t>
  </si>
  <si>
    <t xml:space="preserve">E0740</t>
  </si>
  <si>
    <t xml:space="preserve">E0741</t>
  </si>
  <si>
    <t xml:space="preserve">E0742</t>
  </si>
  <si>
    <t xml:space="preserve">E0743</t>
  </si>
  <si>
    <t xml:space="preserve">E0744</t>
  </si>
  <si>
    <t xml:space="preserve">E0745</t>
  </si>
  <si>
    <t xml:space="preserve">E0746</t>
  </si>
  <si>
    <t xml:space="preserve">E0747</t>
  </si>
  <si>
    <t xml:space="preserve">E0748</t>
  </si>
  <si>
    <t xml:space="preserve">E0749</t>
  </si>
  <si>
    <t xml:space="preserve">E0750</t>
  </si>
  <si>
    <t xml:space="preserve">E0751</t>
  </si>
  <si>
    <t xml:space="preserve">E0752</t>
  </si>
  <si>
    <t xml:space="preserve">E0753</t>
  </si>
  <si>
    <t xml:space="preserve">E0754</t>
  </si>
  <si>
    <t xml:space="preserve">E0755</t>
  </si>
  <si>
    <t xml:space="preserve">E0756</t>
  </si>
  <si>
    <t xml:space="preserve">E0757</t>
  </si>
  <si>
    <t xml:space="preserve">E0758</t>
  </si>
  <si>
    <t xml:space="preserve">E0759</t>
  </si>
  <si>
    <t xml:space="preserve">E0760</t>
  </si>
  <si>
    <t xml:space="preserve">E0761</t>
  </si>
  <si>
    <t xml:space="preserve">E0762</t>
  </si>
  <si>
    <t xml:space="preserve">E0763</t>
  </si>
  <si>
    <t xml:space="preserve">E0764</t>
  </si>
  <si>
    <t xml:space="preserve">E0765</t>
  </si>
  <si>
    <t xml:space="preserve">E0766</t>
  </si>
  <si>
    <t xml:space="preserve">E0767</t>
  </si>
  <si>
    <t xml:space="preserve">E0768</t>
  </si>
  <si>
    <t xml:space="preserve">E0769</t>
  </si>
  <si>
    <t xml:space="preserve">E0770</t>
  </si>
  <si>
    <t xml:space="preserve">E0771</t>
  </si>
  <si>
    <t xml:space="preserve">E0772</t>
  </si>
  <si>
    <t xml:space="preserve">E0773</t>
  </si>
  <si>
    <t xml:space="preserve">E0774</t>
  </si>
  <si>
    <t xml:space="preserve">E0775</t>
  </si>
  <si>
    <t xml:space="preserve">E0776</t>
  </si>
  <si>
    <t xml:space="preserve">E0777</t>
  </si>
  <si>
    <t xml:space="preserve">E0778</t>
  </si>
  <si>
    <t xml:space="preserve">E0779</t>
  </si>
  <si>
    <t xml:space="preserve">E0780</t>
  </si>
  <si>
    <t xml:space="preserve">E0781</t>
  </si>
  <si>
    <t xml:space="preserve">E0782</t>
  </si>
  <si>
    <t xml:space="preserve">E0783</t>
  </si>
  <si>
    <t xml:space="preserve">E0784</t>
  </si>
  <si>
    <t xml:space="preserve">E0785</t>
  </si>
  <si>
    <t xml:space="preserve">E0786</t>
  </si>
  <si>
    <t xml:space="preserve">E0787</t>
  </si>
  <si>
    <t xml:space="preserve">E0788</t>
  </si>
  <si>
    <t xml:space="preserve">E0789</t>
  </si>
  <si>
    <t xml:space="preserve">E0790</t>
  </si>
  <si>
    <t xml:space="preserve">E0791</t>
  </si>
  <si>
    <t xml:space="preserve">E0792</t>
  </si>
  <si>
    <t xml:space="preserve">E0793</t>
  </si>
  <si>
    <t xml:space="preserve">E0794</t>
  </si>
  <si>
    <t xml:space="preserve">E0795</t>
  </si>
  <si>
    <t xml:space="preserve">E0796</t>
  </si>
  <si>
    <t xml:space="preserve">E0797</t>
  </si>
  <si>
    <t xml:space="preserve">E0798</t>
  </si>
  <si>
    <t xml:space="preserve">E0799</t>
  </si>
  <si>
    <t xml:space="preserve">E0800</t>
  </si>
  <si>
    <t xml:space="preserve">E0801</t>
  </si>
  <si>
    <t xml:space="preserve">E0802</t>
  </si>
  <si>
    <t xml:space="preserve">E0803</t>
  </si>
  <si>
    <t xml:space="preserve">E0804</t>
  </si>
  <si>
    <t xml:space="preserve">E0805</t>
  </si>
  <si>
    <t xml:space="preserve">E0806</t>
  </si>
  <si>
    <t xml:space="preserve">E0807</t>
  </si>
  <si>
    <t xml:space="preserve">E0808</t>
  </si>
  <si>
    <t xml:space="preserve">E0809</t>
  </si>
  <si>
    <t xml:space="preserve">E0810</t>
  </si>
  <si>
    <t xml:space="preserve">E0811</t>
  </si>
  <si>
    <t xml:space="preserve">E0812</t>
  </si>
  <si>
    <t xml:space="preserve">E0813</t>
  </si>
  <si>
    <t xml:space="preserve">E0814</t>
  </si>
  <si>
    <t xml:space="preserve">E0815</t>
  </si>
  <si>
    <t xml:space="preserve">E0816</t>
  </si>
  <si>
    <t xml:space="preserve">E0817</t>
  </si>
  <si>
    <t xml:space="preserve">E0818</t>
  </si>
  <si>
    <t xml:space="preserve">E0819</t>
  </si>
  <si>
    <t xml:space="preserve">E0820</t>
  </si>
  <si>
    <t xml:space="preserve">E0821</t>
  </si>
  <si>
    <t xml:space="preserve">E0822</t>
  </si>
  <si>
    <t xml:space="preserve">E0823</t>
  </si>
  <si>
    <t xml:space="preserve">E0824</t>
  </si>
  <si>
    <t xml:space="preserve">E0825</t>
  </si>
  <si>
    <t xml:space="preserve">E0826</t>
  </si>
  <si>
    <t xml:space="preserve">E0827</t>
  </si>
  <si>
    <t xml:space="preserve">E0828</t>
  </si>
  <si>
    <t xml:space="preserve">E0829</t>
  </si>
  <si>
    <t xml:space="preserve">E0830</t>
  </si>
  <si>
    <t xml:space="preserve">E0831</t>
  </si>
  <si>
    <t xml:space="preserve">E0832</t>
  </si>
  <si>
    <t xml:space="preserve">E0833</t>
  </si>
  <si>
    <t xml:space="preserve">E0834</t>
  </si>
  <si>
    <t xml:space="preserve">E0835</t>
  </si>
  <si>
    <t xml:space="preserve">E0836</t>
  </si>
  <si>
    <t xml:space="preserve">E0837</t>
  </si>
  <si>
    <t xml:space="preserve">E0838</t>
  </si>
  <si>
    <t xml:space="preserve">E0839</t>
  </si>
  <si>
    <t xml:space="preserve">E0840</t>
  </si>
  <si>
    <t xml:space="preserve">E0841</t>
  </si>
  <si>
    <t xml:space="preserve">E0842</t>
  </si>
  <si>
    <t xml:space="preserve">E0843</t>
  </si>
  <si>
    <t xml:space="preserve">E0844</t>
  </si>
  <si>
    <t xml:space="preserve">E0845</t>
  </si>
  <si>
    <t xml:space="preserve">E0846</t>
  </si>
  <si>
    <t xml:space="preserve">E0847</t>
  </si>
  <si>
    <t xml:space="preserve">E0848</t>
  </si>
  <si>
    <t xml:space="preserve">E0849</t>
  </si>
  <si>
    <t xml:space="preserve">E0850</t>
  </si>
  <si>
    <t xml:space="preserve">E0851</t>
  </si>
  <si>
    <t xml:space="preserve">E0852</t>
  </si>
  <si>
    <t xml:space="preserve">E0853</t>
  </si>
  <si>
    <t xml:space="preserve">E0854</t>
  </si>
  <si>
    <t xml:space="preserve">E0855</t>
  </si>
  <si>
    <t xml:space="preserve">E0856</t>
  </si>
  <si>
    <t xml:space="preserve">E0857</t>
  </si>
  <si>
    <t xml:space="preserve">E0858</t>
  </si>
  <si>
    <t xml:space="preserve">E0859</t>
  </si>
  <si>
    <t xml:space="preserve">E0860</t>
  </si>
  <si>
    <t xml:space="preserve">E0861</t>
  </si>
  <si>
    <t xml:space="preserve">E0862</t>
  </si>
  <si>
    <t xml:space="preserve">E0863</t>
  </si>
  <si>
    <t xml:space="preserve">E0864</t>
  </si>
  <si>
    <t xml:space="preserve">E0865</t>
  </si>
  <si>
    <t xml:space="preserve">E0866</t>
  </si>
  <si>
    <t xml:space="preserve">E0867</t>
  </si>
  <si>
    <t xml:space="preserve">E0868</t>
  </si>
  <si>
    <t xml:space="preserve">E0869</t>
  </si>
  <si>
    <t xml:space="preserve">E0870</t>
  </si>
  <si>
    <t xml:space="preserve">E0871</t>
  </si>
  <si>
    <t xml:space="preserve">E0872</t>
  </si>
  <si>
    <t xml:space="preserve">E0873</t>
  </si>
  <si>
    <t xml:space="preserve">E0874</t>
  </si>
  <si>
    <t xml:space="preserve">E0875</t>
  </si>
  <si>
    <t xml:space="preserve">E0876</t>
  </si>
  <si>
    <t xml:space="preserve">E0877</t>
  </si>
  <si>
    <t xml:space="preserve">E0878</t>
  </si>
  <si>
    <t xml:space="preserve">E0879</t>
  </si>
  <si>
    <t xml:space="preserve">E0880</t>
  </si>
  <si>
    <t xml:space="preserve">E0881</t>
  </si>
  <si>
    <t xml:space="preserve">E0882</t>
  </si>
  <si>
    <t xml:space="preserve">E0883</t>
  </si>
  <si>
    <t xml:space="preserve">E0884</t>
  </si>
  <si>
    <t xml:space="preserve">E0885</t>
  </si>
  <si>
    <t xml:space="preserve">E0886</t>
  </si>
  <si>
    <t xml:space="preserve">E0887</t>
  </si>
  <si>
    <t xml:space="preserve">E0888</t>
  </si>
  <si>
    <t xml:space="preserve">E0889</t>
  </si>
  <si>
    <t xml:space="preserve">E0890</t>
  </si>
  <si>
    <t xml:space="preserve">E0891</t>
  </si>
  <si>
    <t xml:space="preserve">E0892</t>
  </si>
  <si>
    <t xml:space="preserve">E0893</t>
  </si>
  <si>
    <t xml:space="preserve">E0894</t>
  </si>
  <si>
    <t xml:space="preserve">E0895</t>
  </si>
  <si>
    <t xml:space="preserve">E0896</t>
  </si>
  <si>
    <t xml:space="preserve">E0897</t>
  </si>
  <si>
    <t xml:space="preserve">E0898</t>
  </si>
  <si>
    <t xml:space="preserve">E0899</t>
  </si>
  <si>
    <t xml:space="preserve">E0900</t>
  </si>
  <si>
    <t xml:space="preserve">E0901</t>
  </si>
  <si>
    <t xml:space="preserve">E0902</t>
  </si>
  <si>
    <t xml:space="preserve">E0903</t>
  </si>
  <si>
    <t xml:space="preserve">E0904</t>
  </si>
  <si>
    <t xml:space="preserve">E0905</t>
  </si>
  <si>
    <t xml:space="preserve">E0906</t>
  </si>
  <si>
    <t xml:space="preserve">E0907</t>
  </si>
  <si>
    <t xml:space="preserve">E0908</t>
  </si>
  <si>
    <t xml:space="preserve">E0909</t>
  </si>
  <si>
    <t xml:space="preserve">E0910</t>
  </si>
  <si>
    <t xml:space="preserve">E0911</t>
  </si>
  <si>
    <t xml:space="preserve">E0912</t>
  </si>
  <si>
    <t xml:space="preserve">E0913</t>
  </si>
  <si>
    <t xml:space="preserve">E0914</t>
  </si>
  <si>
    <t xml:space="preserve">E0915</t>
  </si>
  <si>
    <t xml:space="preserve">E0916</t>
  </si>
  <si>
    <t xml:space="preserve">E0917</t>
  </si>
  <si>
    <t xml:space="preserve">E0918</t>
  </si>
  <si>
    <t xml:space="preserve">E0919</t>
  </si>
  <si>
    <t xml:space="preserve">E0920</t>
  </si>
  <si>
    <t xml:space="preserve">E0921</t>
  </si>
  <si>
    <t xml:space="preserve">E0922</t>
  </si>
  <si>
    <t xml:space="preserve">E0923</t>
  </si>
  <si>
    <t xml:space="preserve">E0924</t>
  </si>
  <si>
    <t xml:space="preserve">E0925</t>
  </si>
  <si>
    <t xml:space="preserve">E0926</t>
  </si>
  <si>
    <t xml:space="preserve">E0927</t>
  </si>
  <si>
    <t xml:space="preserve">E0928</t>
  </si>
  <si>
    <t xml:space="preserve">E0929</t>
  </si>
  <si>
    <t xml:space="preserve">E0930</t>
  </si>
  <si>
    <t xml:space="preserve">E0931</t>
  </si>
  <si>
    <t xml:space="preserve">E0932</t>
  </si>
  <si>
    <t xml:space="preserve">E0933</t>
  </si>
  <si>
    <t xml:space="preserve">E0934</t>
  </si>
  <si>
    <t xml:space="preserve">E0935</t>
  </si>
  <si>
    <t xml:space="preserve">E0936</t>
  </si>
  <si>
    <t xml:space="preserve">E0937</t>
  </si>
  <si>
    <t xml:space="preserve">E0938</t>
  </si>
  <si>
    <t xml:space="preserve">E0939</t>
  </si>
  <si>
    <t xml:space="preserve">E0940</t>
  </si>
  <si>
    <t xml:space="preserve">E0941</t>
  </si>
  <si>
    <t xml:space="preserve">E0942</t>
  </si>
  <si>
    <t xml:space="preserve">E0943</t>
  </si>
  <si>
    <t xml:space="preserve">E0944</t>
  </si>
  <si>
    <t xml:space="preserve">E0945</t>
  </si>
  <si>
    <t xml:space="preserve">E0946</t>
  </si>
  <si>
    <t xml:space="preserve">E0947</t>
  </si>
  <si>
    <t xml:space="preserve">E0948</t>
  </si>
  <si>
    <t xml:space="preserve">E0949</t>
  </si>
  <si>
    <t xml:space="preserve">E0950</t>
  </si>
  <si>
    <t xml:space="preserve">E0951</t>
  </si>
  <si>
    <t xml:space="preserve">E0952</t>
  </si>
  <si>
    <t xml:space="preserve">E0953</t>
  </si>
  <si>
    <t xml:space="preserve">E0954</t>
  </si>
  <si>
    <t xml:space="preserve">E0955</t>
  </si>
  <si>
    <t xml:space="preserve">E0956</t>
  </si>
  <si>
    <t xml:space="preserve">E0957</t>
  </si>
  <si>
    <t xml:space="preserve">E0958</t>
  </si>
  <si>
    <t xml:space="preserve">E0959</t>
  </si>
  <si>
    <t xml:space="preserve">E0960</t>
  </si>
  <si>
    <t xml:space="preserve">E0961</t>
  </si>
  <si>
    <t xml:space="preserve">E0962</t>
  </si>
  <si>
    <t xml:space="preserve">E0963</t>
  </si>
  <si>
    <t xml:space="preserve">E0964</t>
  </si>
  <si>
    <t xml:space="preserve">E0965</t>
  </si>
  <si>
    <t xml:space="preserve">E0966</t>
  </si>
  <si>
    <t xml:space="preserve">E0967</t>
  </si>
  <si>
    <t xml:space="preserve">E0968</t>
  </si>
  <si>
    <t xml:space="preserve">E0969</t>
  </si>
  <si>
    <t xml:space="preserve">E0970</t>
  </si>
  <si>
    <t xml:space="preserve">E0971</t>
  </si>
  <si>
    <t xml:space="preserve">E0972</t>
  </si>
  <si>
    <t xml:space="preserve">E0973</t>
  </si>
  <si>
    <t xml:space="preserve">E0974</t>
  </si>
  <si>
    <t xml:space="preserve">E0975</t>
  </si>
  <si>
    <t xml:space="preserve">E0976</t>
  </si>
  <si>
    <t xml:space="preserve">E0977</t>
  </si>
  <si>
    <t xml:space="preserve">E0978</t>
  </si>
  <si>
    <t xml:space="preserve">E0979</t>
  </si>
  <si>
    <t xml:space="preserve">E0980</t>
  </si>
  <si>
    <t xml:space="preserve">E0981</t>
  </si>
  <si>
    <t xml:space="preserve">E0982</t>
  </si>
  <si>
    <t xml:space="preserve">E0983</t>
  </si>
  <si>
    <t xml:space="preserve">E0984</t>
  </si>
  <si>
    <t xml:space="preserve">E0985</t>
  </si>
  <si>
    <t xml:space="preserve">E0986</t>
  </si>
  <si>
    <t xml:space="preserve">E0987</t>
  </si>
  <si>
    <t xml:space="preserve">E0988</t>
  </si>
  <si>
    <t xml:space="preserve">E0989</t>
  </si>
  <si>
    <t xml:space="preserve">E0990</t>
  </si>
  <si>
    <t xml:space="preserve">E0991</t>
  </si>
  <si>
    <t xml:space="preserve">E0992</t>
  </si>
  <si>
    <t xml:space="preserve">E0993</t>
  </si>
  <si>
    <t xml:space="preserve">E0994</t>
  </si>
  <si>
    <t xml:space="preserve">E0995</t>
  </si>
  <si>
    <t xml:space="preserve">E0996</t>
  </si>
  <si>
    <t xml:space="preserve">E0997</t>
  </si>
  <si>
    <t xml:space="preserve">E0998</t>
  </si>
  <si>
    <t xml:space="preserve">E0999</t>
  </si>
  <si>
    <t xml:space="preserve">E1000</t>
  </si>
  <si>
    <t xml:space="preserve">E1001</t>
  </si>
  <si>
    <t xml:space="preserve">E1002</t>
  </si>
  <si>
    <t xml:space="preserve">E1003</t>
  </si>
  <si>
    <t xml:space="preserve">E1004</t>
  </si>
  <si>
    <t xml:space="preserve">E1005</t>
  </si>
  <si>
    <t xml:space="preserve">E1006</t>
  </si>
  <si>
    <t xml:space="preserve">E1007</t>
  </si>
  <si>
    <t xml:space="preserve">E1008</t>
  </si>
  <si>
    <t xml:space="preserve">E1009</t>
  </si>
  <si>
    <t xml:space="preserve">E1010</t>
  </si>
  <si>
    <t xml:space="preserve">E1011</t>
  </si>
  <si>
    <t xml:space="preserve">E1012</t>
  </si>
  <si>
    <t xml:space="preserve">E1013</t>
  </si>
  <si>
    <t xml:space="preserve">E1014</t>
  </si>
  <si>
    <t xml:space="preserve">E1015</t>
  </si>
  <si>
    <t xml:space="preserve">E1016</t>
  </si>
  <si>
    <t xml:space="preserve">E1017</t>
  </si>
  <si>
    <t xml:space="preserve">E1018</t>
  </si>
  <si>
    <t xml:space="preserve">E1019</t>
  </si>
  <si>
    <t xml:space="preserve">E1020</t>
  </si>
  <si>
    <t xml:space="preserve">E1021</t>
  </si>
  <si>
    <t xml:space="preserve">E1022</t>
  </si>
  <si>
    <t xml:space="preserve">E1023</t>
  </si>
  <si>
    <t xml:space="preserve">E1024</t>
  </si>
  <si>
    <t xml:space="preserve">E1025</t>
  </si>
  <si>
    <t xml:space="preserve">E1026</t>
  </si>
  <si>
    <t xml:space="preserve">E1027</t>
  </si>
  <si>
    <t xml:space="preserve">E1028</t>
  </si>
  <si>
    <t xml:space="preserve">E1029</t>
  </si>
  <si>
    <t xml:space="preserve">E1030</t>
  </si>
  <si>
    <t xml:space="preserve">E1031</t>
  </si>
  <si>
    <t xml:space="preserve">E1032</t>
  </si>
  <si>
    <t xml:space="preserve">E1033</t>
  </si>
  <si>
    <t xml:space="preserve">E1034</t>
  </si>
  <si>
    <t xml:space="preserve">E1035</t>
  </si>
  <si>
    <t xml:space="preserve">E1036</t>
  </si>
  <si>
    <t xml:space="preserve">E1037</t>
  </si>
  <si>
    <t xml:space="preserve">E1038</t>
  </si>
  <si>
    <t xml:space="preserve">E1039</t>
  </si>
  <si>
    <t xml:space="preserve">E1040</t>
  </si>
  <si>
    <t xml:space="preserve">E1041</t>
  </si>
  <si>
    <t xml:space="preserve">E1042</t>
  </si>
  <si>
    <t xml:space="preserve">E1043</t>
  </si>
  <si>
    <t xml:space="preserve">E1044</t>
  </si>
  <si>
    <t xml:space="preserve">E1045</t>
  </si>
  <si>
    <t xml:space="preserve">E1046</t>
  </si>
  <si>
    <t xml:space="preserve">E1047</t>
  </si>
  <si>
    <t xml:space="preserve">E1048</t>
  </si>
  <si>
    <t xml:space="preserve">E1049</t>
  </si>
  <si>
    <t xml:space="preserve">E1050</t>
  </si>
  <si>
    <t xml:space="preserve">E1051</t>
  </si>
  <si>
    <t xml:space="preserve">E1052</t>
  </si>
  <si>
    <t xml:space="preserve">E1053</t>
  </si>
  <si>
    <t xml:space="preserve">E1054</t>
  </si>
  <si>
    <t xml:space="preserve">E1055</t>
  </si>
  <si>
    <t xml:space="preserve">E1056</t>
  </si>
  <si>
    <t xml:space="preserve">E1057</t>
  </si>
  <si>
    <t xml:space="preserve">E1058</t>
  </si>
  <si>
    <t xml:space="preserve">E1059</t>
  </si>
  <si>
    <t xml:space="preserve">E1060</t>
  </si>
  <si>
    <t xml:space="preserve">E1061</t>
  </si>
  <si>
    <t xml:space="preserve">E1062</t>
  </si>
  <si>
    <t xml:space="preserve">E1063</t>
  </si>
  <si>
    <t xml:space="preserve">E1064</t>
  </si>
  <si>
    <t xml:space="preserve">E1065</t>
  </si>
  <si>
    <t xml:space="preserve">E1066</t>
  </si>
  <si>
    <t xml:space="preserve">E1067</t>
  </si>
  <si>
    <t xml:space="preserve">E1068</t>
  </si>
  <si>
    <t xml:space="preserve">E1069</t>
  </si>
  <si>
    <t xml:space="preserve">E1070</t>
  </si>
  <si>
    <t xml:space="preserve">E1071</t>
  </si>
  <si>
    <t xml:space="preserve">E1072</t>
  </si>
  <si>
    <t xml:space="preserve">E1073</t>
  </si>
  <si>
    <t xml:space="preserve">E1074</t>
  </si>
  <si>
    <t xml:space="preserve">E1075</t>
  </si>
  <si>
    <t xml:space="preserve">E1076</t>
  </si>
  <si>
    <t xml:space="preserve">E1077</t>
  </si>
  <si>
    <t xml:space="preserve">E1078</t>
  </si>
  <si>
    <t xml:space="preserve">E1079</t>
  </si>
  <si>
    <t xml:space="preserve">E1080</t>
  </si>
  <si>
    <t xml:space="preserve">E1081</t>
  </si>
  <si>
    <t xml:space="preserve">E1082</t>
  </si>
  <si>
    <t xml:space="preserve">E1083</t>
  </si>
  <si>
    <t xml:space="preserve">E1084</t>
  </si>
  <si>
    <t xml:space="preserve">E1085</t>
  </si>
  <si>
    <t xml:space="preserve">E1086</t>
  </si>
  <si>
    <t xml:space="preserve">E1087</t>
  </si>
  <si>
    <t xml:space="preserve">E1088</t>
  </si>
  <si>
    <t xml:space="preserve">E1089</t>
  </si>
  <si>
    <t xml:space="preserve">E1090</t>
  </si>
  <si>
    <t xml:space="preserve">E1091</t>
  </si>
  <si>
    <t xml:space="preserve">E1092</t>
  </si>
  <si>
    <t xml:space="preserve">E1093</t>
  </si>
  <si>
    <t xml:space="preserve">E1094</t>
  </si>
  <si>
    <t xml:space="preserve">E1095</t>
  </si>
  <si>
    <t xml:space="preserve">E1096</t>
  </si>
  <si>
    <t xml:space="preserve">E1097</t>
  </si>
  <si>
    <t xml:space="preserve">E1098</t>
  </si>
  <si>
    <t xml:space="preserve">E1099</t>
  </si>
  <si>
    <t xml:space="preserve">E1100</t>
  </si>
  <si>
    <t xml:space="preserve">E1101</t>
  </si>
  <si>
    <t xml:space="preserve">E1102</t>
  </si>
  <si>
    <t xml:space="preserve">E1103</t>
  </si>
  <si>
    <t xml:space="preserve">E1104</t>
  </si>
  <si>
    <t xml:space="preserve">E1105</t>
  </si>
  <si>
    <t xml:space="preserve">E1106</t>
  </si>
  <si>
    <t xml:space="preserve">E1107</t>
  </si>
  <si>
    <t xml:space="preserve">E1108</t>
  </si>
  <si>
    <t xml:space="preserve">E1109</t>
  </si>
  <si>
    <t xml:space="preserve">E1110</t>
  </si>
  <si>
    <t xml:space="preserve">E1111</t>
  </si>
  <si>
    <t xml:space="preserve">E1112</t>
  </si>
  <si>
    <t xml:space="preserve">E1113</t>
  </si>
  <si>
    <t xml:space="preserve">E1114</t>
  </si>
  <si>
    <t xml:space="preserve">E1115</t>
  </si>
  <si>
    <t xml:space="preserve">E1116</t>
  </si>
  <si>
    <t xml:space="preserve">E1117</t>
  </si>
  <si>
    <t xml:space="preserve">E1118</t>
  </si>
  <si>
    <t xml:space="preserve">E1119</t>
  </si>
  <si>
    <t xml:space="preserve">E1120</t>
  </si>
  <si>
    <t xml:space="preserve">E1121</t>
  </si>
  <si>
    <t xml:space="preserve">E1122</t>
  </si>
  <si>
    <t xml:space="preserve">E1123</t>
  </si>
  <si>
    <t xml:space="preserve">E1124</t>
  </si>
  <si>
    <t xml:space="preserve">E1125</t>
  </si>
  <si>
    <t xml:space="preserve">E1126</t>
  </si>
  <si>
    <t xml:space="preserve">E1127</t>
  </si>
  <si>
    <t xml:space="preserve">E1128</t>
  </si>
  <si>
    <t xml:space="preserve">E1129</t>
  </si>
  <si>
    <t xml:space="preserve">E1130</t>
  </si>
  <si>
    <t xml:space="preserve">E1131</t>
  </si>
  <si>
    <t xml:space="preserve">E1132</t>
  </si>
  <si>
    <t xml:space="preserve">E1133</t>
  </si>
  <si>
    <t xml:space="preserve">E1134</t>
  </si>
  <si>
    <t xml:space="preserve">E1135</t>
  </si>
  <si>
    <t xml:space="preserve">E1136</t>
  </si>
  <si>
    <t xml:space="preserve">E1137</t>
  </si>
  <si>
    <t xml:space="preserve">E1138</t>
  </si>
  <si>
    <t xml:space="preserve">E1139</t>
  </si>
  <si>
    <t xml:space="preserve">E1140</t>
  </si>
  <si>
    <t xml:space="preserve">E1141</t>
  </si>
  <si>
    <t xml:space="preserve">E1142</t>
  </si>
  <si>
    <t xml:space="preserve">E1143</t>
  </si>
  <si>
    <t xml:space="preserve">E1144</t>
  </si>
  <si>
    <t xml:space="preserve">E1145</t>
  </si>
  <si>
    <t xml:space="preserve">E1146</t>
  </si>
  <si>
    <t xml:space="preserve">E1147</t>
  </si>
  <si>
    <t xml:space="preserve">E1148</t>
  </si>
  <si>
    <t xml:space="preserve">E1149</t>
  </si>
  <si>
    <t xml:space="preserve">E1150</t>
  </si>
  <si>
    <t xml:space="preserve">E1151</t>
  </si>
  <si>
    <t xml:space="preserve">E1152</t>
  </si>
  <si>
    <t xml:space="preserve">E1153</t>
  </si>
  <si>
    <t xml:space="preserve">E1154</t>
  </si>
  <si>
    <t xml:space="preserve">E1155</t>
  </si>
  <si>
    <t xml:space="preserve">E1156</t>
  </si>
  <si>
    <t xml:space="preserve">E1157</t>
  </si>
  <si>
    <t xml:space="preserve">E1158</t>
  </si>
  <si>
    <t xml:space="preserve">E1159</t>
  </si>
  <si>
    <t xml:space="preserve">E1160</t>
  </si>
  <si>
    <t xml:space="preserve">E1161</t>
  </si>
  <si>
    <t xml:space="preserve">E1162</t>
  </si>
  <si>
    <t xml:space="preserve">E1163</t>
  </si>
  <si>
    <t xml:space="preserve">E1164</t>
  </si>
  <si>
    <t xml:space="preserve">E1165</t>
  </si>
  <si>
    <t xml:space="preserve">E1166</t>
  </si>
  <si>
    <t xml:space="preserve">E1167</t>
  </si>
  <si>
    <t xml:space="preserve">E1168</t>
  </si>
  <si>
    <t xml:space="preserve">E1169</t>
  </si>
  <si>
    <t xml:space="preserve">E1170</t>
  </si>
  <si>
    <t xml:space="preserve">E1171</t>
  </si>
  <si>
    <t xml:space="preserve">E1172</t>
  </si>
  <si>
    <t xml:space="preserve">E1173</t>
  </si>
  <si>
    <t xml:space="preserve">E1174</t>
  </si>
  <si>
    <t xml:space="preserve">E1175</t>
  </si>
  <si>
    <t xml:space="preserve">E1176</t>
  </si>
  <si>
    <t xml:space="preserve">E1177</t>
  </si>
  <si>
    <t xml:space="preserve">E1178</t>
  </si>
  <si>
    <t xml:space="preserve">E1179</t>
  </si>
  <si>
    <t xml:space="preserve">E1180</t>
  </si>
  <si>
    <t xml:space="preserve">E1181</t>
  </si>
  <si>
    <t xml:space="preserve">E1182</t>
  </si>
  <si>
    <t xml:space="preserve">E1183</t>
  </si>
  <si>
    <t xml:space="preserve">E1184</t>
  </si>
  <si>
    <t xml:space="preserve">E1185</t>
  </si>
  <si>
    <t xml:space="preserve">E1186</t>
  </si>
  <si>
    <t xml:space="preserve">E1187</t>
  </si>
  <si>
    <t xml:space="preserve">E1188</t>
  </si>
  <si>
    <t xml:space="preserve">E1189</t>
  </si>
  <si>
    <t xml:space="preserve">E1190</t>
  </si>
  <si>
    <t xml:space="preserve">E1191</t>
  </si>
  <si>
    <t xml:space="preserve">E1192</t>
  </si>
  <si>
    <t xml:space="preserve">E1193</t>
  </si>
  <si>
    <t xml:space="preserve">E1194</t>
  </si>
  <si>
    <t xml:space="preserve">E1195</t>
  </si>
  <si>
    <t xml:space="preserve">E1196</t>
  </si>
  <si>
    <t xml:space="preserve">E1197</t>
  </si>
  <si>
    <t xml:space="preserve">E1198</t>
  </si>
  <si>
    <t xml:space="preserve">E1199</t>
  </si>
  <si>
    <t xml:space="preserve">E1200</t>
  </si>
  <si>
    <t xml:space="preserve">E1201</t>
  </si>
  <si>
    <t xml:space="preserve">E1202</t>
  </si>
  <si>
    <t xml:space="preserve">E1203</t>
  </si>
  <si>
    <t xml:space="preserve">E1204</t>
  </si>
  <si>
    <t xml:space="preserve">E1205</t>
  </si>
  <si>
    <t xml:space="preserve">E1206</t>
  </si>
  <si>
    <t xml:space="preserve">E1207</t>
  </si>
  <si>
    <t xml:space="preserve">E1208</t>
  </si>
  <si>
    <t xml:space="preserve">E1209</t>
  </si>
  <si>
    <t xml:space="preserve">E1210</t>
  </si>
  <si>
    <t xml:space="preserve">E1211</t>
  </si>
  <si>
    <t xml:space="preserve">E1212</t>
  </si>
  <si>
    <t xml:space="preserve">E1213</t>
  </si>
  <si>
    <t xml:space="preserve">E1214</t>
  </si>
  <si>
    <t xml:space="preserve">E1215</t>
  </si>
  <si>
    <t xml:space="preserve">E1216</t>
  </si>
  <si>
    <t xml:space="preserve">E1217</t>
  </si>
  <si>
    <t xml:space="preserve">E1218</t>
  </si>
  <si>
    <t xml:space="preserve">E1219</t>
  </si>
  <si>
    <t xml:space="preserve">E1220</t>
  </si>
  <si>
    <t xml:space="preserve">E1221</t>
  </si>
  <si>
    <t xml:space="preserve">E1222</t>
  </si>
  <si>
    <t xml:space="preserve">E1223</t>
  </si>
  <si>
    <t xml:space="preserve">E1224</t>
  </si>
  <si>
    <t xml:space="preserve">E1225</t>
  </si>
  <si>
    <t xml:space="preserve">E1226</t>
  </si>
  <si>
    <t xml:space="preserve">E1227</t>
  </si>
  <si>
    <t xml:space="preserve">E1228</t>
  </si>
  <si>
    <t xml:space="preserve">E1229</t>
  </si>
  <si>
    <t xml:space="preserve">E1230</t>
  </si>
  <si>
    <t xml:space="preserve">E1231</t>
  </si>
  <si>
    <t xml:space="preserve">E1232</t>
  </si>
  <si>
    <t xml:space="preserve">E1233</t>
  </si>
  <si>
    <t xml:space="preserve">E1234</t>
  </si>
  <si>
    <t xml:space="preserve">E1235</t>
  </si>
  <si>
    <t xml:space="preserve">E1236</t>
  </si>
  <si>
    <t xml:space="preserve">E1237</t>
  </si>
  <si>
    <t xml:space="preserve">E1238</t>
  </si>
  <si>
    <t xml:space="preserve">E1239</t>
  </si>
  <si>
    <t xml:space="preserve">E1240</t>
  </si>
  <si>
    <t xml:space="preserve">E1241</t>
  </si>
  <si>
    <t xml:space="preserve">E1242</t>
  </si>
  <si>
    <t xml:space="preserve">E1243</t>
  </si>
  <si>
    <t xml:space="preserve">E1244</t>
  </si>
  <si>
    <t xml:space="preserve">E1245</t>
  </si>
  <si>
    <t xml:space="preserve">E1246</t>
  </si>
  <si>
    <t xml:space="preserve">E1247</t>
  </si>
  <si>
    <t xml:space="preserve">E1248</t>
  </si>
  <si>
    <t xml:space="preserve">E1249</t>
  </si>
  <si>
    <t xml:space="preserve">E1250</t>
  </si>
  <si>
    <t xml:space="preserve">E1251</t>
  </si>
  <si>
    <t xml:space="preserve">E1252</t>
  </si>
  <si>
    <t xml:space="preserve">E1253</t>
  </si>
  <si>
    <t xml:space="preserve">E1254</t>
  </si>
  <si>
    <t xml:space="preserve">E1255</t>
  </si>
  <si>
    <t xml:space="preserve">E1256</t>
  </si>
  <si>
    <t xml:space="preserve">E1257</t>
  </si>
  <si>
    <t xml:space="preserve">E1258</t>
  </si>
  <si>
    <t xml:space="preserve">E1259</t>
  </si>
  <si>
    <t xml:space="preserve">E1260</t>
  </si>
  <si>
    <t xml:space="preserve">E1261</t>
  </si>
  <si>
    <t xml:space="preserve">E1262</t>
  </si>
  <si>
    <t xml:space="preserve">E1263</t>
  </si>
  <si>
    <t xml:space="preserve">E1264</t>
  </si>
  <si>
    <t xml:space="preserve">E1265</t>
  </si>
  <si>
    <t xml:space="preserve">E1266</t>
  </si>
  <si>
    <t xml:space="preserve">E1267</t>
  </si>
  <si>
    <t xml:space="preserve">E1268</t>
  </si>
  <si>
    <t xml:space="preserve">E1269</t>
  </si>
  <si>
    <t xml:space="preserve">E1270</t>
  </si>
  <si>
    <t xml:space="preserve">E1271</t>
  </si>
  <si>
    <t xml:space="preserve">E1272</t>
  </si>
  <si>
    <t xml:space="preserve">E1273</t>
  </si>
  <si>
    <t xml:space="preserve">E1274</t>
  </si>
  <si>
    <t xml:space="preserve">E1275</t>
  </si>
  <si>
    <t xml:space="preserve">E1276</t>
  </si>
  <si>
    <t xml:space="preserve">E1277</t>
  </si>
  <si>
    <t xml:space="preserve">E1278</t>
  </si>
  <si>
    <t xml:space="preserve">E1279</t>
  </si>
  <si>
    <t xml:space="preserve">E1280</t>
  </si>
  <si>
    <t xml:space="preserve">E1281</t>
  </si>
  <si>
    <t xml:space="preserve">E1282</t>
  </si>
  <si>
    <t xml:space="preserve">E1283</t>
  </si>
  <si>
    <t xml:space="preserve">E1284</t>
  </si>
  <si>
    <t xml:space="preserve">E1285</t>
  </si>
  <si>
    <t xml:space="preserve">E1286</t>
  </si>
  <si>
    <t xml:space="preserve">E1287</t>
  </si>
  <si>
    <t xml:space="preserve">E1288</t>
  </si>
  <si>
    <t xml:space="preserve">E1289</t>
  </si>
  <si>
    <t xml:space="preserve">E1290</t>
  </si>
  <si>
    <t xml:space="preserve">E1291</t>
  </si>
  <si>
    <t xml:space="preserve">E1292</t>
  </si>
  <si>
    <t xml:space="preserve">E1293</t>
  </si>
  <si>
    <t xml:space="preserve">E1294</t>
  </si>
  <si>
    <t xml:space="preserve">E1295</t>
  </si>
  <si>
    <t xml:space="preserve">E1296</t>
  </si>
  <si>
    <t xml:space="preserve">E1297</t>
  </si>
  <si>
    <t xml:space="preserve">E1298</t>
  </si>
  <si>
    <t xml:space="preserve">E1299</t>
  </si>
  <si>
    <t xml:space="preserve">E1300</t>
  </si>
  <si>
    <t xml:space="preserve">E1301</t>
  </si>
  <si>
    <t xml:space="preserve">E1302</t>
  </si>
  <si>
    <t xml:space="preserve">E1303</t>
  </si>
  <si>
    <t xml:space="preserve">E1304</t>
  </si>
  <si>
    <t xml:space="preserve">E1305</t>
  </si>
  <si>
    <t xml:space="preserve">E1306</t>
  </si>
  <si>
    <t xml:space="preserve">E1307</t>
  </si>
  <si>
    <t xml:space="preserve">E1308</t>
  </si>
  <si>
    <t xml:space="preserve">E1309</t>
  </si>
  <si>
    <t xml:space="preserve">E1310</t>
  </si>
  <si>
    <t xml:space="preserve">E1311</t>
  </si>
  <si>
    <t xml:space="preserve">E1312</t>
  </si>
  <si>
    <t xml:space="preserve">E1313</t>
  </si>
  <si>
    <t xml:space="preserve">E1314</t>
  </si>
  <si>
    <t xml:space="preserve">E1315</t>
  </si>
  <si>
    <t xml:space="preserve">E1316</t>
  </si>
  <si>
    <t xml:space="preserve">E1317</t>
  </si>
  <si>
    <t xml:space="preserve">E1318</t>
  </si>
  <si>
    <t xml:space="preserve">E1319</t>
  </si>
  <si>
    <t xml:space="preserve">E1320</t>
  </si>
  <si>
    <t xml:space="preserve">E1321</t>
  </si>
  <si>
    <t xml:space="preserve">E1322</t>
  </si>
  <si>
    <t xml:space="preserve">E1323</t>
  </si>
  <si>
    <t xml:space="preserve">E1324</t>
  </si>
  <si>
    <t xml:space="preserve">E1325</t>
  </si>
  <si>
    <t xml:space="preserve">E1326</t>
  </si>
  <si>
    <t xml:space="preserve">E1327</t>
  </si>
  <si>
    <t xml:space="preserve">E1328</t>
  </si>
  <si>
    <t xml:space="preserve">E1329</t>
  </si>
  <si>
    <t xml:space="preserve">E1330</t>
  </si>
  <si>
    <t xml:space="preserve">E1331</t>
  </si>
  <si>
    <t xml:space="preserve">E1332</t>
  </si>
  <si>
    <t xml:space="preserve">E1333</t>
  </si>
  <si>
    <t xml:space="preserve">E1334</t>
  </si>
  <si>
    <t xml:space="preserve">E1335</t>
  </si>
  <si>
    <t xml:space="preserve">E1336</t>
  </si>
  <si>
    <t xml:space="preserve">E1337</t>
  </si>
  <si>
    <t xml:space="preserve">E1338</t>
  </si>
  <si>
    <t xml:space="preserve">E1339</t>
  </si>
  <si>
    <t xml:space="preserve">E1340</t>
  </si>
  <si>
    <t xml:space="preserve">E1341</t>
  </si>
  <si>
    <t xml:space="preserve">E1342</t>
  </si>
  <si>
    <t xml:space="preserve">E1343</t>
  </si>
  <si>
    <t xml:space="preserve">E1344</t>
  </si>
  <si>
    <t xml:space="preserve">E1345</t>
  </si>
  <si>
    <t xml:space="preserve">E1346</t>
  </si>
  <si>
    <t xml:space="preserve">E1347</t>
  </si>
  <si>
    <t xml:space="preserve">E1348</t>
  </si>
  <si>
    <t xml:space="preserve">E1349</t>
  </si>
  <si>
    <t xml:space="preserve">E1350</t>
  </si>
  <si>
    <t xml:space="preserve">E1351</t>
  </si>
  <si>
    <t xml:space="preserve">E1352</t>
  </si>
  <si>
    <t xml:space="preserve">E1353</t>
  </si>
  <si>
    <t xml:space="preserve">E1354</t>
  </si>
  <si>
    <t xml:space="preserve">E1355</t>
  </si>
  <si>
    <t xml:space="preserve">E1356</t>
  </si>
  <si>
    <t xml:space="preserve">E1357</t>
  </si>
  <si>
    <t xml:space="preserve">E1358</t>
  </si>
  <si>
    <t xml:space="preserve">E1359</t>
  </si>
  <si>
    <t xml:space="preserve">E1360</t>
  </si>
  <si>
    <t xml:space="preserve">E1361</t>
  </si>
  <si>
    <t xml:space="preserve">E1362</t>
  </si>
  <si>
    <t xml:space="preserve">E1363</t>
  </si>
  <si>
    <t xml:space="preserve">E1364</t>
  </si>
  <si>
    <t xml:space="preserve">E1365</t>
  </si>
  <si>
    <t xml:space="preserve">E1366</t>
  </si>
  <si>
    <t xml:space="preserve">E1367</t>
  </si>
  <si>
    <t xml:space="preserve">E1368</t>
  </si>
  <si>
    <t xml:space="preserve">E1369</t>
  </si>
  <si>
    <t xml:space="preserve">E1370</t>
  </si>
  <si>
    <t xml:space="preserve">E1371</t>
  </si>
  <si>
    <t xml:space="preserve">E1372</t>
  </si>
  <si>
    <t xml:space="preserve">E1373</t>
  </si>
  <si>
    <t xml:space="preserve">E1374</t>
  </si>
  <si>
    <t xml:space="preserve">E1375</t>
  </si>
  <si>
    <t xml:space="preserve">E1376</t>
  </si>
  <si>
    <t xml:space="preserve">E1377</t>
  </si>
  <si>
    <t xml:space="preserve">E1378</t>
  </si>
  <si>
    <t xml:space="preserve">E1379</t>
  </si>
  <si>
    <t xml:space="preserve">E1380</t>
  </si>
  <si>
    <t xml:space="preserve">E1381</t>
  </si>
  <si>
    <t xml:space="preserve">E1382</t>
  </si>
  <si>
    <t xml:space="preserve">E1383</t>
  </si>
  <si>
    <t xml:space="preserve">E1384</t>
  </si>
  <si>
    <t xml:space="preserve">E1385</t>
  </si>
  <si>
    <t xml:space="preserve">E1386</t>
  </si>
  <si>
    <t xml:space="preserve">E1387</t>
  </si>
  <si>
    <t xml:space="preserve">E1388</t>
  </si>
  <si>
    <t xml:space="preserve">E1389</t>
  </si>
  <si>
    <t xml:space="preserve">E1390</t>
  </si>
  <si>
    <t xml:space="preserve">E1391</t>
  </si>
  <si>
    <t xml:space="preserve">E1392</t>
  </si>
  <si>
    <t xml:space="preserve">E1393</t>
  </si>
  <si>
    <t xml:space="preserve">E1394</t>
  </si>
  <si>
    <t xml:space="preserve">E1395</t>
  </si>
  <si>
    <t xml:space="preserve">E1396</t>
  </si>
  <si>
    <t xml:space="preserve">E1397</t>
  </si>
  <si>
    <t xml:space="preserve">E1398</t>
  </si>
  <si>
    <t xml:space="preserve">E1399</t>
  </si>
  <si>
    <t xml:space="preserve">E1400</t>
  </si>
  <si>
    <t xml:space="preserve">E1401</t>
  </si>
  <si>
    <t xml:space="preserve">E1402</t>
  </si>
  <si>
    <t xml:space="preserve">E1403</t>
  </si>
  <si>
    <t xml:space="preserve">E1404</t>
  </si>
  <si>
    <t xml:space="preserve">E1405</t>
  </si>
  <si>
    <t xml:space="preserve">E1406</t>
  </si>
  <si>
    <t xml:space="preserve">E1407</t>
  </si>
  <si>
    <t xml:space="preserve">E1408</t>
  </si>
  <si>
    <t xml:space="preserve">E1409</t>
  </si>
  <si>
    <t xml:space="preserve">E1410</t>
  </si>
  <si>
    <t xml:space="preserve">E1411</t>
  </si>
  <si>
    <t xml:space="preserve">E1412</t>
  </si>
  <si>
    <t xml:space="preserve">E1413</t>
  </si>
  <si>
    <t xml:space="preserve">E1414</t>
  </si>
  <si>
    <t xml:space="preserve">E1415</t>
  </si>
  <si>
    <t xml:space="preserve">E1416</t>
  </si>
  <si>
    <t xml:space="preserve">E1417</t>
  </si>
  <si>
    <t xml:space="preserve">E1418</t>
  </si>
  <si>
    <t xml:space="preserve">E1419</t>
  </si>
  <si>
    <t xml:space="preserve">E1420</t>
  </si>
  <si>
    <t xml:space="preserve">E1421</t>
  </si>
  <si>
    <t xml:space="preserve">E1422</t>
  </si>
  <si>
    <t xml:space="preserve">E1423</t>
  </si>
  <si>
    <t xml:space="preserve">E1424</t>
  </si>
  <si>
    <t xml:space="preserve">E1425</t>
  </si>
  <si>
    <t xml:space="preserve">E1426</t>
  </si>
  <si>
    <t xml:space="preserve">E1427</t>
  </si>
  <si>
    <t xml:space="preserve">E1428</t>
  </si>
  <si>
    <t xml:space="preserve">E1429</t>
  </si>
  <si>
    <t xml:space="preserve">E1430</t>
  </si>
  <si>
    <t xml:space="preserve">E1431</t>
  </si>
  <si>
    <t xml:space="preserve">E1432</t>
  </si>
  <si>
    <t xml:space="preserve">E1433</t>
  </si>
  <si>
    <t xml:space="preserve">E1434</t>
  </si>
  <si>
    <t xml:space="preserve">E1435</t>
  </si>
  <si>
    <t xml:space="preserve">E1436</t>
  </si>
  <si>
    <t xml:space="preserve">E1437</t>
  </si>
  <si>
    <t xml:space="preserve">E1438</t>
  </si>
  <si>
    <t xml:space="preserve">E1439</t>
  </si>
  <si>
    <t xml:space="preserve">E1440</t>
  </si>
  <si>
    <t xml:space="preserve">E1441</t>
  </si>
  <si>
    <t xml:space="preserve">E1442</t>
  </si>
  <si>
    <t xml:space="preserve">E1443</t>
  </si>
  <si>
    <t xml:space="preserve">E1444</t>
  </si>
  <si>
    <t xml:space="preserve">E1445</t>
  </si>
  <si>
    <t xml:space="preserve">E1446</t>
  </si>
  <si>
    <t xml:space="preserve">E1447</t>
  </si>
  <si>
    <t xml:space="preserve">E1448</t>
  </si>
  <si>
    <t xml:space="preserve">E1449</t>
  </si>
  <si>
    <t xml:space="preserve">E1450</t>
  </si>
  <si>
    <t xml:space="preserve">E1451</t>
  </si>
  <si>
    <t xml:space="preserve">E1452</t>
  </si>
  <si>
    <t xml:space="preserve">E1453</t>
  </si>
  <si>
    <t xml:space="preserve">E1454</t>
  </si>
  <si>
    <t xml:space="preserve">E1455</t>
  </si>
  <si>
    <t xml:space="preserve">E1456</t>
  </si>
  <si>
    <t xml:space="preserve">E1457</t>
  </si>
  <si>
    <t xml:space="preserve">E1458</t>
  </si>
  <si>
    <t xml:space="preserve">E1459</t>
  </si>
  <si>
    <t xml:space="preserve">E1460</t>
  </si>
  <si>
    <t xml:space="preserve">E1461</t>
  </si>
  <si>
    <t xml:space="preserve">E1462</t>
  </si>
  <si>
    <t xml:space="preserve">E1463</t>
  </si>
  <si>
    <t xml:space="preserve">E1464</t>
  </si>
  <si>
    <t xml:space="preserve">E1465</t>
  </si>
  <si>
    <t xml:space="preserve">E1466</t>
  </si>
  <si>
    <t xml:space="preserve">E1467</t>
  </si>
  <si>
    <t xml:space="preserve">E1468</t>
  </si>
  <si>
    <t xml:space="preserve">E1469</t>
  </si>
  <si>
    <t xml:space="preserve">E1470</t>
  </si>
  <si>
    <t xml:space="preserve">E1471</t>
  </si>
  <si>
    <t xml:space="preserve">E1472</t>
  </si>
  <si>
    <t xml:space="preserve">E1473</t>
  </si>
  <si>
    <t xml:space="preserve">E1474</t>
  </si>
  <si>
    <t xml:space="preserve">E1475</t>
  </si>
  <si>
    <t xml:space="preserve">E1476</t>
  </si>
  <si>
    <t xml:space="preserve">E1477</t>
  </si>
  <si>
    <t xml:space="preserve">E1478</t>
  </si>
  <si>
    <t xml:space="preserve">E1479</t>
  </si>
  <si>
    <t xml:space="preserve">E1480</t>
  </si>
  <si>
    <t xml:space="preserve">E1481</t>
  </si>
  <si>
    <t xml:space="preserve">E1482</t>
  </si>
  <si>
    <t xml:space="preserve">E1483</t>
  </si>
  <si>
    <t xml:space="preserve">E1484</t>
  </si>
  <si>
    <t xml:space="preserve">E1485</t>
  </si>
  <si>
    <t xml:space="preserve">E1486</t>
  </si>
  <si>
    <t xml:space="preserve">E1487</t>
  </si>
  <si>
    <t xml:space="preserve">E1488</t>
  </si>
  <si>
    <t xml:space="preserve">E1489</t>
  </si>
  <si>
    <t xml:space="preserve">E1490</t>
  </si>
  <si>
    <t xml:space="preserve">E1491</t>
  </si>
  <si>
    <t xml:space="preserve">E1492</t>
  </si>
  <si>
    <t xml:space="preserve">E1493</t>
  </si>
  <si>
    <t xml:space="preserve">E1494</t>
  </si>
  <si>
    <t xml:space="preserve">E1495</t>
  </si>
  <si>
    <t xml:space="preserve">E1496</t>
  </si>
  <si>
    <t xml:space="preserve">E1497</t>
  </si>
  <si>
    <t xml:space="preserve">E1498</t>
  </si>
  <si>
    <t xml:space="preserve">E1499</t>
  </si>
  <si>
    <t xml:space="preserve">E1500</t>
  </si>
  <si>
    <t xml:space="preserve">E1501</t>
  </si>
  <si>
    <t xml:space="preserve">E1502</t>
  </si>
  <si>
    <t xml:space="preserve">E1503</t>
  </si>
  <si>
    <t xml:space="preserve">E1504</t>
  </si>
  <si>
    <t xml:space="preserve">E1505</t>
  </si>
  <si>
    <t xml:space="preserve">E1506</t>
  </si>
  <si>
    <t xml:space="preserve">E1507</t>
  </si>
  <si>
    <t xml:space="preserve">E1508</t>
  </si>
  <si>
    <t xml:space="preserve">E1509</t>
  </si>
  <si>
    <t xml:space="preserve">E1510</t>
  </si>
  <si>
    <t xml:space="preserve">E1511</t>
  </si>
  <si>
    <t xml:space="preserve">E1512</t>
  </si>
  <si>
    <t xml:space="preserve">E1513</t>
  </si>
  <si>
    <t xml:space="preserve">E1514</t>
  </si>
  <si>
    <t xml:space="preserve">E1515</t>
  </si>
  <si>
    <t xml:space="preserve">E1516</t>
  </si>
  <si>
    <t xml:space="preserve">E1517</t>
  </si>
  <si>
    <t xml:space="preserve">E1518</t>
  </si>
  <si>
    <t xml:space="preserve">E1519</t>
  </si>
  <si>
    <t xml:space="preserve">E1520</t>
  </si>
  <si>
    <t xml:space="preserve">E1521</t>
  </si>
  <si>
    <t xml:space="preserve">E1522</t>
  </si>
  <si>
    <t xml:space="preserve">E1523</t>
  </si>
  <si>
    <t xml:space="preserve">E1524</t>
  </si>
  <si>
    <t xml:space="preserve">E1525</t>
  </si>
  <si>
    <t xml:space="preserve">E1526</t>
  </si>
  <si>
    <t xml:space="preserve">E1527</t>
  </si>
  <si>
    <t xml:space="preserve">E1528</t>
  </si>
  <si>
    <t xml:space="preserve">E1529</t>
  </si>
  <si>
    <t xml:space="preserve">E1530</t>
  </si>
  <si>
    <t xml:space="preserve">E1531</t>
  </si>
  <si>
    <t xml:space="preserve">E1532</t>
  </si>
  <si>
    <t xml:space="preserve">E1533</t>
  </si>
  <si>
    <t xml:space="preserve">E1534</t>
  </si>
  <si>
    <t xml:space="preserve">E1535</t>
  </si>
  <si>
    <t xml:space="preserve">E1536</t>
  </si>
  <si>
    <t xml:space="preserve">E1537</t>
  </si>
  <si>
    <t xml:space="preserve">E1538</t>
  </si>
  <si>
    <t xml:space="preserve">E1539</t>
  </si>
  <si>
    <t xml:space="preserve">E1540</t>
  </si>
  <si>
    <t xml:space="preserve">E1541</t>
  </si>
  <si>
    <t xml:space="preserve">E1542</t>
  </si>
  <si>
    <t xml:space="preserve">E1543</t>
  </si>
  <si>
    <t xml:space="preserve">E1544</t>
  </si>
  <si>
    <t xml:space="preserve">E1545</t>
  </si>
  <si>
    <t xml:space="preserve">E1546</t>
  </si>
  <si>
    <t xml:space="preserve">E1547</t>
  </si>
  <si>
    <t xml:space="preserve">E1548</t>
  </si>
  <si>
    <t xml:space="preserve">E1549</t>
  </si>
  <si>
    <t xml:space="preserve">E1550</t>
  </si>
  <si>
    <t xml:space="preserve">E1551</t>
  </si>
  <si>
    <t xml:space="preserve">E1552</t>
  </si>
  <si>
    <t xml:space="preserve">E1553</t>
  </si>
  <si>
    <t xml:space="preserve">E1554</t>
  </si>
  <si>
    <t xml:space="preserve">E1555</t>
  </si>
  <si>
    <t xml:space="preserve">E1556</t>
  </si>
  <si>
    <t xml:space="preserve">E1557</t>
  </si>
  <si>
    <t xml:space="preserve">E1558</t>
  </si>
  <si>
    <t xml:space="preserve">E1559</t>
  </si>
  <si>
    <t xml:space="preserve">E1560</t>
  </si>
  <si>
    <t xml:space="preserve">E1561</t>
  </si>
  <si>
    <t xml:space="preserve">E1562</t>
  </si>
  <si>
    <t xml:space="preserve">E1563</t>
  </si>
  <si>
    <t xml:space="preserve">E1564</t>
  </si>
  <si>
    <t xml:space="preserve">E1565</t>
  </si>
  <si>
    <t xml:space="preserve">E1566</t>
  </si>
  <si>
    <t xml:space="preserve">E1567</t>
  </si>
  <si>
    <t xml:space="preserve">E1568</t>
  </si>
  <si>
    <t xml:space="preserve">E1569</t>
  </si>
  <si>
    <t xml:space="preserve">E1570</t>
  </si>
  <si>
    <t xml:space="preserve">E1571</t>
  </si>
  <si>
    <t xml:space="preserve">E1572</t>
  </si>
  <si>
    <t xml:space="preserve">E1573</t>
  </si>
  <si>
    <t xml:space="preserve">E1574</t>
  </si>
  <si>
    <t xml:space="preserve">E1575</t>
  </si>
  <si>
    <t xml:space="preserve">E1576</t>
  </si>
  <si>
    <t xml:space="preserve">E1577</t>
  </si>
  <si>
    <t xml:space="preserve">E1578</t>
  </si>
  <si>
    <t xml:space="preserve">E1579</t>
  </si>
  <si>
    <t xml:space="preserve">E1580</t>
  </si>
  <si>
    <t xml:space="preserve">E1581</t>
  </si>
  <si>
    <t xml:space="preserve">E1582</t>
  </si>
  <si>
    <t xml:space="preserve">E1583</t>
  </si>
  <si>
    <t xml:space="preserve">E1584</t>
  </si>
  <si>
    <t xml:space="preserve">E1585</t>
  </si>
  <si>
    <t xml:space="preserve">E1586</t>
  </si>
  <si>
    <t xml:space="preserve">E1587</t>
  </si>
  <si>
    <t xml:space="preserve">E1588</t>
  </si>
  <si>
    <t xml:space="preserve">E1589</t>
  </si>
  <si>
    <t xml:space="preserve">E1590</t>
  </si>
  <si>
    <t xml:space="preserve">E1591</t>
  </si>
  <si>
    <t xml:space="preserve">E1592</t>
  </si>
  <si>
    <t xml:space="preserve">E1593</t>
  </si>
  <si>
    <t xml:space="preserve">E1594</t>
  </si>
  <si>
    <t xml:space="preserve">E1595</t>
  </si>
  <si>
    <t xml:space="preserve">E1596</t>
  </si>
  <si>
    <t xml:space="preserve">E1597</t>
  </si>
  <si>
    <t xml:space="preserve">E1598</t>
  </si>
  <si>
    <t xml:space="preserve">E1599</t>
  </si>
  <si>
    <t xml:space="preserve">E1600</t>
  </si>
  <si>
    <t xml:space="preserve">E1601</t>
  </si>
  <si>
    <t xml:space="preserve">E1602</t>
  </si>
  <si>
    <t xml:space="preserve">E1603</t>
  </si>
  <si>
    <t xml:space="preserve">E1604</t>
  </si>
  <si>
    <t xml:space="preserve">E1605</t>
  </si>
  <si>
    <t xml:space="preserve">E1606</t>
  </si>
  <si>
    <t xml:space="preserve">E1607</t>
  </si>
  <si>
    <t xml:space="preserve">E1608</t>
  </si>
  <si>
    <t xml:space="preserve">E1609</t>
  </si>
  <si>
    <t xml:space="preserve">E1610</t>
  </si>
  <si>
    <t xml:space="preserve">E1611</t>
  </si>
  <si>
    <t xml:space="preserve">E1612</t>
  </si>
  <si>
    <t xml:space="preserve">E1613</t>
  </si>
  <si>
    <t xml:space="preserve">E1614</t>
  </si>
  <si>
    <t xml:space="preserve">E1615</t>
  </si>
  <si>
    <t xml:space="preserve">E1616</t>
  </si>
  <si>
    <t xml:space="preserve">E1617</t>
  </si>
  <si>
    <t xml:space="preserve">E1618</t>
  </si>
  <si>
    <t xml:space="preserve">E1619</t>
  </si>
  <si>
    <t xml:space="preserve">E1620</t>
  </si>
  <si>
    <t xml:space="preserve">E1621</t>
  </si>
  <si>
    <t xml:space="preserve">E1622</t>
  </si>
  <si>
    <t xml:space="preserve">E1623</t>
  </si>
  <si>
    <t xml:space="preserve">E1624</t>
  </si>
  <si>
    <t xml:space="preserve">E1625</t>
  </si>
  <si>
    <t xml:space="preserve">E1626</t>
  </si>
  <si>
    <t xml:space="preserve">E1627</t>
  </si>
  <si>
    <t xml:space="preserve">E1628</t>
  </si>
  <si>
    <t xml:space="preserve">E1629</t>
  </si>
  <si>
    <t xml:space="preserve">E1630</t>
  </si>
  <si>
    <t xml:space="preserve">E1631</t>
  </si>
  <si>
    <t xml:space="preserve">E1632</t>
  </si>
  <si>
    <t xml:space="preserve">E1633</t>
  </si>
  <si>
    <t xml:space="preserve">E1634</t>
  </si>
  <si>
    <t xml:space="preserve">E1635</t>
  </si>
  <si>
    <t xml:space="preserve">E1636</t>
  </si>
  <si>
    <t xml:space="preserve">E1637</t>
  </si>
  <si>
    <t xml:space="preserve">E1638</t>
  </si>
  <si>
    <t xml:space="preserve">E1639</t>
  </si>
  <si>
    <t xml:space="preserve">E1640</t>
  </si>
  <si>
    <t xml:space="preserve">E1641</t>
  </si>
  <si>
    <t xml:space="preserve">E1642</t>
  </si>
  <si>
    <t xml:space="preserve">E1643</t>
  </si>
  <si>
    <t xml:space="preserve">E1644</t>
  </si>
  <si>
    <t xml:space="preserve">E1645</t>
  </si>
  <si>
    <t xml:space="preserve">E1646</t>
  </si>
  <si>
    <t xml:space="preserve">E1647</t>
  </si>
  <si>
    <t xml:space="preserve">E1648</t>
  </si>
  <si>
    <t xml:space="preserve">E1649</t>
  </si>
  <si>
    <t xml:space="preserve">E1650</t>
  </si>
  <si>
    <t xml:space="preserve">E1651</t>
  </si>
  <si>
    <t xml:space="preserve">E1652</t>
  </si>
  <si>
    <t xml:space="preserve">E1653</t>
  </si>
  <si>
    <t xml:space="preserve">E1654</t>
  </si>
  <si>
    <t xml:space="preserve">E1655</t>
  </si>
  <si>
    <t xml:space="preserve">E1656</t>
  </si>
  <si>
    <t xml:space="preserve">E1657</t>
  </si>
  <si>
    <t xml:space="preserve">E1658</t>
  </si>
  <si>
    <t xml:space="preserve">E1659</t>
  </si>
  <si>
    <t xml:space="preserve">E1660</t>
  </si>
  <si>
    <t xml:space="preserve">E1661</t>
  </si>
  <si>
    <t xml:space="preserve">E1662</t>
  </si>
  <si>
    <t xml:space="preserve">E1663</t>
  </si>
  <si>
    <t xml:space="preserve">E1664</t>
  </si>
  <si>
    <t xml:space="preserve">E1665</t>
  </si>
  <si>
    <t xml:space="preserve">E1666</t>
  </si>
  <si>
    <t xml:space="preserve">E1667</t>
  </si>
  <si>
    <t xml:space="preserve">E1668</t>
  </si>
  <si>
    <t xml:space="preserve">E1669</t>
  </si>
  <si>
    <t xml:space="preserve">E1670</t>
  </si>
  <si>
    <t xml:space="preserve">E1671</t>
  </si>
  <si>
    <t xml:space="preserve">E1672</t>
  </si>
  <si>
    <t xml:space="preserve">E1673</t>
  </si>
  <si>
    <t xml:space="preserve">E1674</t>
  </si>
  <si>
    <t xml:space="preserve">E1675</t>
  </si>
  <si>
    <t xml:space="preserve">E1676</t>
  </si>
  <si>
    <t xml:space="preserve">E1677</t>
  </si>
  <si>
    <t xml:space="preserve">E1678</t>
  </si>
  <si>
    <t xml:space="preserve">E1679</t>
  </si>
  <si>
    <t xml:space="preserve">E1680</t>
  </si>
  <si>
    <t xml:space="preserve">E1681</t>
  </si>
  <si>
    <t xml:space="preserve">E1682</t>
  </si>
  <si>
    <t xml:space="preserve">E1683</t>
  </si>
  <si>
    <t xml:space="preserve">E1684</t>
  </si>
  <si>
    <t xml:space="preserve">E1685</t>
  </si>
  <si>
    <t xml:space="preserve">E1686</t>
  </si>
  <si>
    <t xml:space="preserve">E1687</t>
  </si>
  <si>
    <t xml:space="preserve">E1688</t>
  </si>
  <si>
    <t xml:space="preserve">E1689</t>
  </si>
  <si>
    <t xml:space="preserve">E1690</t>
  </si>
  <si>
    <t xml:space="preserve">E1691</t>
  </si>
  <si>
    <t xml:space="preserve">E1692</t>
  </si>
  <si>
    <t xml:space="preserve">E1693</t>
  </si>
  <si>
    <t xml:space="preserve">E1694</t>
  </si>
  <si>
    <t xml:space="preserve">E1695</t>
  </si>
  <si>
    <t xml:space="preserve">E1696</t>
  </si>
  <si>
    <t xml:space="preserve">E1697</t>
  </si>
  <si>
    <t xml:space="preserve">E1698</t>
  </si>
  <si>
    <t xml:space="preserve">E1699</t>
  </si>
  <si>
    <t xml:space="preserve">E1700</t>
  </si>
  <si>
    <t xml:space="preserve">E1701</t>
  </si>
  <si>
    <t xml:space="preserve">E1702</t>
  </si>
  <si>
    <t xml:space="preserve">E1703</t>
  </si>
  <si>
    <t xml:space="preserve">E1704</t>
  </si>
  <si>
    <t xml:space="preserve">E1705</t>
  </si>
  <si>
    <t xml:space="preserve">E1706</t>
  </si>
  <si>
    <t xml:space="preserve">E1707</t>
  </si>
  <si>
    <t xml:space="preserve">E1708</t>
  </si>
  <si>
    <t xml:space="preserve">E1709</t>
  </si>
  <si>
    <t xml:space="preserve">E1710</t>
  </si>
  <si>
    <t xml:space="preserve">E1711</t>
  </si>
  <si>
    <t xml:space="preserve">E1712</t>
  </si>
  <si>
    <t xml:space="preserve">E1713</t>
  </si>
  <si>
    <t xml:space="preserve">E1714</t>
  </si>
  <si>
    <t xml:space="preserve">E1715</t>
  </si>
  <si>
    <t xml:space="preserve">E1716</t>
  </si>
  <si>
    <t xml:space="preserve">E1717</t>
  </si>
  <si>
    <t xml:space="preserve">E1718</t>
  </si>
  <si>
    <t xml:space="preserve">E1719</t>
  </si>
  <si>
    <t xml:space="preserve">E1720</t>
  </si>
  <si>
    <t xml:space="preserve">E1721</t>
  </si>
  <si>
    <t xml:space="preserve">E1722</t>
  </si>
  <si>
    <t xml:space="preserve">E1723</t>
  </si>
  <si>
    <t xml:space="preserve">E1724</t>
  </si>
  <si>
    <t xml:space="preserve">E1725</t>
  </si>
  <si>
    <t xml:space="preserve">E1726</t>
  </si>
  <si>
    <t xml:space="preserve">E1727</t>
  </si>
  <si>
    <t xml:space="preserve">E1728</t>
  </si>
  <si>
    <t xml:space="preserve">E1729</t>
  </si>
  <si>
    <t xml:space="preserve">E1730</t>
  </si>
  <si>
    <t xml:space="preserve">E1731</t>
  </si>
  <si>
    <t xml:space="preserve">E1732</t>
  </si>
  <si>
    <t xml:space="preserve">E1733</t>
  </si>
  <si>
    <t xml:space="preserve">E1734</t>
  </si>
  <si>
    <t xml:space="preserve">E1735</t>
  </si>
  <si>
    <t xml:space="preserve">E1736</t>
  </si>
  <si>
    <t xml:space="preserve">E1737</t>
  </si>
  <si>
    <t xml:space="preserve">E1738</t>
  </si>
  <si>
    <t xml:space="preserve">E1739</t>
  </si>
  <si>
    <t xml:space="preserve">E1740</t>
  </si>
  <si>
    <t xml:space="preserve">E1741</t>
  </si>
  <si>
    <t xml:space="preserve">E1742</t>
  </si>
  <si>
    <t xml:space="preserve">E1743</t>
  </si>
  <si>
    <t xml:space="preserve">E1744</t>
  </si>
  <si>
    <t xml:space="preserve">E1745</t>
  </si>
  <si>
    <t xml:space="preserve">E1746</t>
  </si>
  <si>
    <t xml:space="preserve">E1747</t>
  </si>
  <si>
    <t xml:space="preserve">E1748</t>
  </si>
  <si>
    <t xml:space="preserve">E1749</t>
  </si>
  <si>
    <t xml:space="preserve">E1750</t>
  </si>
  <si>
    <t xml:space="preserve">E1751</t>
  </si>
  <si>
    <t xml:space="preserve">E1752</t>
  </si>
  <si>
    <t xml:space="preserve">E1753</t>
  </si>
  <si>
    <t xml:space="preserve">E1754</t>
  </si>
  <si>
    <t xml:space="preserve">E1755</t>
  </si>
  <si>
    <t xml:space="preserve">E1756</t>
  </si>
  <si>
    <t xml:space="preserve">E1757</t>
  </si>
  <si>
    <t xml:space="preserve">E1758</t>
  </si>
  <si>
    <t xml:space="preserve">E1759</t>
  </si>
  <si>
    <t xml:space="preserve">E1760</t>
  </si>
  <si>
    <t xml:space="preserve">E1761</t>
  </si>
  <si>
    <t xml:space="preserve">E1762</t>
  </si>
  <si>
    <t xml:space="preserve">E1763</t>
  </si>
  <si>
    <t xml:space="preserve">E1764</t>
  </si>
  <si>
    <t xml:space="preserve">E1765</t>
  </si>
  <si>
    <t xml:space="preserve">E1766</t>
  </si>
  <si>
    <t xml:space="preserve">E1767</t>
  </si>
  <si>
    <t xml:space="preserve">E1768</t>
  </si>
  <si>
    <t xml:space="preserve">E1769</t>
  </si>
  <si>
    <t xml:space="preserve">E1770</t>
  </si>
  <si>
    <t xml:space="preserve">E1771</t>
  </si>
  <si>
    <t xml:space="preserve">E1772</t>
  </si>
  <si>
    <t xml:space="preserve">E1773</t>
  </si>
  <si>
    <t xml:space="preserve">E1774</t>
  </si>
  <si>
    <t xml:space="preserve">E1775</t>
  </si>
  <si>
    <t xml:space="preserve">E1776</t>
  </si>
  <si>
    <t xml:space="preserve">E1777</t>
  </si>
  <si>
    <t xml:space="preserve">E1778</t>
  </si>
  <si>
    <t xml:space="preserve">E1779</t>
  </si>
  <si>
    <t xml:space="preserve">E1780</t>
  </si>
  <si>
    <t xml:space="preserve">E1781</t>
  </si>
  <si>
    <t xml:space="preserve">E1782</t>
  </si>
  <si>
    <t xml:space="preserve">E1783</t>
  </si>
  <si>
    <t xml:space="preserve">E1784</t>
  </si>
  <si>
    <t xml:space="preserve">E1785</t>
  </si>
  <si>
    <t xml:space="preserve">E1786</t>
  </si>
  <si>
    <t xml:space="preserve">E1787</t>
  </si>
  <si>
    <t xml:space="preserve">E1788</t>
  </si>
  <si>
    <t xml:space="preserve">E1789</t>
  </si>
  <si>
    <t xml:space="preserve">E1790</t>
  </si>
  <si>
    <t xml:space="preserve">E1791</t>
  </si>
  <si>
    <t xml:space="preserve">E1792</t>
  </si>
  <si>
    <t xml:space="preserve">E1793</t>
  </si>
  <si>
    <t xml:space="preserve">E1794</t>
  </si>
  <si>
    <t xml:space="preserve">E1795</t>
  </si>
  <si>
    <t xml:space="preserve">E1796</t>
  </si>
  <si>
    <t xml:space="preserve">E1797</t>
  </si>
  <si>
    <t xml:space="preserve">E1798</t>
  </si>
  <si>
    <t xml:space="preserve">E1799</t>
  </si>
  <si>
    <t xml:space="preserve">E1800</t>
  </si>
  <si>
    <t xml:space="preserve">E1801</t>
  </si>
  <si>
    <t xml:space="preserve">E1802</t>
  </si>
  <si>
    <t xml:space="preserve">E1803</t>
  </si>
  <si>
    <t xml:space="preserve">E1804</t>
  </si>
  <si>
    <t xml:space="preserve">E1805</t>
  </si>
  <si>
    <t xml:space="preserve">E1806</t>
  </si>
  <si>
    <t xml:space="preserve">E1807</t>
  </si>
  <si>
    <t xml:space="preserve">E1808</t>
  </si>
  <si>
    <t xml:space="preserve">E1809</t>
  </si>
  <si>
    <t xml:space="preserve">E1810</t>
  </si>
  <si>
    <t xml:space="preserve">E1811</t>
  </si>
  <si>
    <t xml:space="preserve">E1812</t>
  </si>
  <si>
    <t xml:space="preserve">E1813</t>
  </si>
  <si>
    <t xml:space="preserve">E1814</t>
  </si>
  <si>
    <t xml:space="preserve">E1815</t>
  </si>
  <si>
    <t xml:space="preserve">E1816</t>
  </si>
  <si>
    <t xml:space="preserve">E1817</t>
  </si>
  <si>
    <t xml:space="preserve">E1818</t>
  </si>
  <si>
    <t xml:space="preserve">E1819</t>
  </si>
  <si>
    <t xml:space="preserve">E1820</t>
  </si>
  <si>
    <t xml:space="preserve">E1821</t>
  </si>
  <si>
    <t xml:space="preserve">E1822</t>
  </si>
  <si>
    <t xml:space="preserve">E1823</t>
  </si>
  <si>
    <t xml:space="preserve">E1824</t>
  </si>
  <si>
    <t xml:space="preserve">E1825</t>
  </si>
  <si>
    <t xml:space="preserve">E1826</t>
  </si>
  <si>
    <t xml:space="preserve">E1827</t>
  </si>
  <si>
    <t xml:space="preserve">E1828</t>
  </si>
  <si>
    <t xml:space="preserve">E1829</t>
  </si>
  <si>
    <t xml:space="preserve">E1830</t>
  </si>
  <si>
    <t xml:space="preserve">E1831</t>
  </si>
  <si>
    <t xml:space="preserve">E1832</t>
  </si>
  <si>
    <t xml:space="preserve">E1833</t>
  </si>
  <si>
    <t xml:space="preserve">E1834</t>
  </si>
  <si>
    <t xml:space="preserve">E1835</t>
  </si>
  <si>
    <t xml:space="preserve">E1836</t>
  </si>
  <si>
    <t xml:space="preserve">E1837</t>
  </si>
  <si>
    <t xml:space="preserve">E1838</t>
  </si>
  <si>
    <t xml:space="preserve">E1839</t>
  </si>
  <si>
    <t xml:space="preserve">E1840</t>
  </si>
  <si>
    <t xml:space="preserve">E1841</t>
  </si>
  <si>
    <t xml:space="preserve">E1842</t>
  </si>
  <si>
    <t xml:space="preserve">E1843</t>
  </si>
  <si>
    <t xml:space="preserve">E1844</t>
  </si>
  <si>
    <t xml:space="preserve">E1845</t>
  </si>
  <si>
    <t xml:space="preserve">E1846</t>
  </si>
  <si>
    <t xml:space="preserve">E1847</t>
  </si>
  <si>
    <t xml:space="preserve">E1848</t>
  </si>
  <si>
    <t xml:space="preserve">E1849</t>
  </si>
  <si>
    <t xml:space="preserve">E1850</t>
  </si>
  <si>
    <t xml:space="preserve">E1851</t>
  </si>
  <si>
    <t xml:space="preserve">E1852</t>
  </si>
  <si>
    <t xml:space="preserve">E1853</t>
  </si>
  <si>
    <t xml:space="preserve">E1854</t>
  </si>
  <si>
    <t xml:space="preserve">E1855</t>
  </si>
  <si>
    <t xml:space="preserve">E1856</t>
  </si>
  <si>
    <t xml:space="preserve">E1857</t>
  </si>
  <si>
    <t xml:space="preserve">E1858</t>
  </si>
  <si>
    <t xml:space="preserve">E1859</t>
  </si>
  <si>
    <t xml:space="preserve">E1860</t>
  </si>
  <si>
    <t xml:space="preserve">E1861</t>
  </si>
  <si>
    <t xml:space="preserve">E1862</t>
  </si>
  <si>
    <t xml:space="preserve">E1863</t>
  </si>
  <si>
    <t xml:space="preserve">E1864</t>
  </si>
  <si>
    <t xml:space="preserve">E1865</t>
  </si>
  <si>
    <t xml:space="preserve">E1866</t>
  </si>
  <si>
    <t xml:space="preserve">E1867</t>
  </si>
  <si>
    <t xml:space="preserve">E1868</t>
  </si>
  <si>
    <t xml:space="preserve">E1869</t>
  </si>
  <si>
    <t xml:space="preserve">E1870</t>
  </si>
  <si>
    <t xml:space="preserve">E1871</t>
  </si>
  <si>
    <t xml:space="preserve">E1872</t>
  </si>
  <si>
    <t xml:space="preserve">E1873</t>
  </si>
  <si>
    <t xml:space="preserve">E1874</t>
  </si>
  <si>
    <t xml:space="preserve">E1875</t>
  </si>
  <si>
    <t xml:space="preserve">E1876</t>
  </si>
  <si>
    <t xml:space="preserve">E1877</t>
  </si>
  <si>
    <t xml:space="preserve">E1878</t>
  </si>
  <si>
    <t xml:space="preserve">E1879</t>
  </si>
  <si>
    <t xml:space="preserve">E1880</t>
  </si>
  <si>
    <t xml:space="preserve">E1881</t>
  </si>
  <si>
    <t xml:space="preserve">E1882</t>
  </si>
  <si>
    <t xml:space="preserve">E1883</t>
  </si>
  <si>
    <t xml:space="preserve">E1884</t>
  </si>
  <si>
    <t xml:space="preserve">E1885</t>
  </si>
  <si>
    <t xml:space="preserve">E1886</t>
  </si>
  <si>
    <t xml:space="preserve">E1887</t>
  </si>
  <si>
    <t xml:space="preserve">E1888</t>
  </si>
  <si>
    <t xml:space="preserve">E1889</t>
  </si>
  <si>
    <t xml:space="preserve">E1890</t>
  </si>
  <si>
    <t xml:space="preserve">E1891</t>
  </si>
  <si>
    <t xml:space="preserve">E1892</t>
  </si>
  <si>
    <t xml:space="preserve">E1893</t>
  </si>
  <si>
    <t xml:space="preserve">E1894</t>
  </si>
  <si>
    <t xml:space="preserve">E1895</t>
  </si>
  <si>
    <t xml:space="preserve">E1896</t>
  </si>
  <si>
    <t xml:space="preserve">E1897</t>
  </si>
  <si>
    <t xml:space="preserve">E1898</t>
  </si>
  <si>
    <t xml:space="preserve">E1899</t>
  </si>
  <si>
    <t xml:space="preserve">E1900</t>
  </si>
  <si>
    <t xml:space="preserve">E1901</t>
  </si>
  <si>
    <t xml:space="preserve">E1902</t>
  </si>
  <si>
    <t xml:space="preserve">E1903</t>
  </si>
  <si>
    <t xml:space="preserve">E1904</t>
  </si>
  <si>
    <t xml:space="preserve">E1905</t>
  </si>
  <si>
    <t xml:space="preserve">E1906</t>
  </si>
  <si>
    <t xml:space="preserve">E1907</t>
  </si>
  <si>
    <t xml:space="preserve">E1908</t>
  </si>
  <si>
    <t xml:space="preserve">E1909</t>
  </si>
  <si>
    <t xml:space="preserve">E1910</t>
  </si>
  <si>
    <t xml:space="preserve">E1911</t>
  </si>
  <si>
    <t xml:space="preserve">E1912</t>
  </si>
  <si>
    <t xml:space="preserve">E1913</t>
  </si>
  <si>
    <t xml:space="preserve">E1914</t>
  </si>
  <si>
    <t xml:space="preserve">E1915</t>
  </si>
  <si>
    <t xml:space="preserve">E1916</t>
  </si>
  <si>
    <t xml:space="preserve">E1917</t>
  </si>
  <si>
    <t xml:space="preserve">E1918</t>
  </si>
  <si>
    <t xml:space="preserve">E1919</t>
  </si>
  <si>
    <t xml:space="preserve">E1920</t>
  </si>
  <si>
    <t xml:space="preserve">E1921</t>
  </si>
  <si>
    <t xml:space="preserve">E1922</t>
  </si>
  <si>
    <t xml:space="preserve">E1923</t>
  </si>
  <si>
    <t xml:space="preserve">E1924</t>
  </si>
  <si>
    <t xml:space="preserve">E1925</t>
  </si>
  <si>
    <t xml:space="preserve">E1926</t>
  </si>
  <si>
    <t xml:space="preserve">E1927</t>
  </si>
  <si>
    <t xml:space="preserve">E1928</t>
  </si>
  <si>
    <t xml:space="preserve">E1929</t>
  </si>
  <si>
    <t xml:space="preserve">E1930</t>
  </si>
  <si>
    <t xml:space="preserve">E1931</t>
  </si>
  <si>
    <t xml:space="preserve">E1932</t>
  </si>
  <si>
    <t xml:space="preserve">E1933</t>
  </si>
  <si>
    <t xml:space="preserve">E1934</t>
  </si>
  <si>
    <t xml:space="preserve">E1935</t>
  </si>
  <si>
    <t xml:space="preserve">E1936</t>
  </si>
  <si>
    <t xml:space="preserve">E1937</t>
  </si>
  <si>
    <t xml:space="preserve">E1938</t>
  </si>
  <si>
    <t xml:space="preserve">E1939</t>
  </si>
  <si>
    <t xml:space="preserve">E1940</t>
  </si>
  <si>
    <t xml:space="preserve">E1941</t>
  </si>
  <si>
    <t xml:space="preserve">E1942</t>
  </si>
  <si>
    <t xml:space="preserve">E1943</t>
  </si>
  <si>
    <t xml:space="preserve">E1944</t>
  </si>
  <si>
    <t xml:space="preserve">E1945</t>
  </si>
  <si>
    <t xml:space="preserve">E1946</t>
  </si>
  <si>
    <t xml:space="preserve">E1947</t>
  </si>
  <si>
    <t xml:space="preserve">E1948</t>
  </si>
  <si>
    <t xml:space="preserve">E1949</t>
  </si>
  <si>
    <t xml:space="preserve">E1950</t>
  </si>
  <si>
    <t xml:space="preserve">E1951</t>
  </si>
  <si>
    <t xml:space="preserve">E1952</t>
  </si>
  <si>
    <t xml:space="preserve">E1953</t>
  </si>
  <si>
    <t xml:space="preserve">E1954</t>
  </si>
  <si>
    <t xml:space="preserve">E1955</t>
  </si>
  <si>
    <t xml:space="preserve">E1956</t>
  </si>
  <si>
    <t xml:space="preserve">E1957</t>
  </si>
  <si>
    <t xml:space="preserve">E1958</t>
  </si>
  <si>
    <t xml:space="preserve">E1959</t>
  </si>
  <si>
    <t xml:space="preserve">E1960</t>
  </si>
  <si>
    <t xml:space="preserve">E1961</t>
  </si>
  <si>
    <t xml:space="preserve">E1962</t>
  </si>
  <si>
    <t xml:space="preserve">E1963</t>
  </si>
  <si>
    <t xml:space="preserve">E1964</t>
  </si>
  <si>
    <t xml:space="preserve">E1965</t>
  </si>
  <si>
    <t xml:space="preserve">E1966</t>
  </si>
  <si>
    <t xml:space="preserve">E1967</t>
  </si>
  <si>
    <t xml:space="preserve">E1968</t>
  </si>
  <si>
    <t xml:space="preserve">E1969</t>
  </si>
  <si>
    <t xml:space="preserve">E1970</t>
  </si>
  <si>
    <t xml:space="preserve">E1971</t>
  </si>
  <si>
    <t xml:space="preserve">E1972</t>
  </si>
  <si>
    <t xml:space="preserve">E1973</t>
  </si>
  <si>
    <t xml:space="preserve">E1974</t>
  </si>
  <si>
    <t xml:space="preserve">E1975</t>
  </si>
  <si>
    <t xml:space="preserve">E1976</t>
  </si>
  <si>
    <t xml:space="preserve">E1977</t>
  </si>
  <si>
    <t xml:space="preserve">E1978</t>
  </si>
  <si>
    <t xml:space="preserve">E1979</t>
  </si>
  <si>
    <t xml:space="preserve">E1980</t>
  </si>
  <si>
    <t xml:space="preserve">E1981</t>
  </si>
  <si>
    <t xml:space="preserve">E1982</t>
  </si>
  <si>
    <t xml:space="preserve">E1983</t>
  </si>
  <si>
    <t xml:space="preserve">E1984</t>
  </si>
  <si>
    <t xml:space="preserve">E1985</t>
  </si>
  <si>
    <t xml:space="preserve">E1986</t>
  </si>
  <si>
    <t xml:space="preserve">E1987</t>
  </si>
  <si>
    <t xml:space="preserve">E1988</t>
  </si>
  <si>
    <t xml:space="preserve">E1989</t>
  </si>
  <si>
    <t xml:space="preserve">E1990</t>
  </si>
  <si>
    <t xml:space="preserve">E1991</t>
  </si>
  <si>
    <t xml:space="preserve">E1992</t>
  </si>
  <si>
    <t xml:space="preserve">E1993</t>
  </si>
  <si>
    <t xml:space="preserve">E1994</t>
  </si>
  <si>
    <t xml:space="preserve">E1995</t>
  </si>
  <si>
    <t xml:space="preserve">E1996</t>
  </si>
  <si>
    <t xml:space="preserve">E1997</t>
  </si>
  <si>
    <t xml:space="preserve">E1998</t>
  </si>
  <si>
    <t xml:space="preserve">E1999</t>
  </si>
  <si>
    <t xml:space="preserve">E2000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</si>
</sst>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;&quot;($&quot;#,##0\);\-"/>
    <numFmt numFmtId="167" formatCode="0.0%"/>
    <numFmt numFmtId="168" formatCode="\$#,##0"/>
    <numFmt numFmtId="169" formatCode="0%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C9D1E3"/>
      <name val="Arial"/>
      <family val="0"/>
      <charset val="1"/>
    </font>
    <font>
      <b val="true"/>
      <sz val="12"/>
      <color rgb="FF1D2A44"/>
      <name val="Arial"/>
      <family val="0"/>
      <charset val="1"/>
    </font>
    <font>
      <sz val="9"/>
      <color rgb="FF66708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1D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D2A44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EF2FA"/>
        <bgColor rgb="FFFFFFFF"/>
      </patternFill>
    </fill>
    <fill>
      <patternFill patternType="solid">
        <fgColor rgb="FF3B6FD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B6FD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805C"/>
      <rgbColor rgb="FFD0D5DD"/>
      <rgbColor rgb="FF878787"/>
      <rgbColor rgb="FF9999FF"/>
      <rgbColor rgb="FFC23B3B"/>
      <rgbColor rgb="FFEEF2FA"/>
      <rgbColor rgb="FFCCFFFF"/>
      <rgbColor rgb="FF660066"/>
      <rgbColor rgb="FFFF8080"/>
      <rgbColor rgb="FF0066CC"/>
      <rgbColor rgb="FFC9D1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B6FD4"/>
      <rgbColor rgb="FF33CCCC"/>
      <rgbColor rgb="FF99CC00"/>
      <rgbColor rgb="FFFFCC00"/>
      <rgbColor rgb="FFE08A1E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8A5CC2"/>
      <rgbColor rgb="FF333399"/>
      <rgbColor rgb="FF1D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net ROI by major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'College Dashboard'!E14</c:f>
              <c:strCache>
                <c:ptCount val="1"/>
                <c:pt idx="0">
                  <c:v>Avg net ROI</c:v>
                </c:pt>
              </c:strCache>
            </c:strRef>
          </c:tx>
          <c:spPr>
            <a:solidFill>
              <a:srgbClr val="3b6fd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'College Dashboard'!$B$15:$B$33</c:f>
              <c:strCache>
                <c:ptCount val="19"/>
                <c:pt idx="0">
                  <c:v>electrical_engineering</c:v>
                </c:pt>
                <c:pt idx="1">
                  <c:v>business_analytics</c:v>
                </c:pt>
                <c:pt idx="2">
                  <c:v>chemical_engineering</c:v>
                </c:pt>
                <c:pt idx="3">
                  <c:v>computer_science</c:v>
                </c:pt>
                <c:pt idx="4">
                  <c:v>computer_engineering</c:v>
                </c:pt>
                <c:pt idx="5">
                  <c:v>economics</c:v>
                </c:pt>
                <c:pt idx="6">
                  <c:v>mechanical_engineering</c:v>
                </c:pt>
                <c:pt idx="7">
                  <c:v>finance</c:v>
                </c:pt>
                <c:pt idx="8">
                  <c:v>nursing</c:v>
                </c:pt>
                <c:pt idx="9">
                  <c:v>business</c:v>
                </c:pt>
                <c:pt idx="10">
                  <c:v>marketing</c:v>
                </c:pt>
                <c:pt idx="11">
                  <c:v>biology</c:v>
                </c:pt>
                <c:pt idx="12">
                  <c:v>communications</c:v>
                </c:pt>
                <c:pt idx="13">
                  <c:v>criminal_justice</c:v>
                </c:pt>
                <c:pt idx="14">
                  <c:v>education</c:v>
                </c:pt>
                <c:pt idx="15">
                  <c:v>social_work</c:v>
                </c:pt>
                <c:pt idx="16">
                  <c:v>psychology</c:v>
                </c:pt>
                <c:pt idx="17">
                  <c:v>humanities</c:v>
                </c:pt>
                <c:pt idx="18">
                  <c:v>fine_arts</c:v>
                </c:pt>
              </c:strCache>
            </c:strRef>
          </c:cat>
          <c:val>
            <c:numRef>
              <c:f>'College Dashboard'!$E$15:$E$33</c:f>
              <c:numCache>
                <c:formatCode>\$#,##0;"($"#,##0\);\-</c:formatCode>
                <c:ptCount val="19"/>
                <c:pt idx="0">
                  <c:v>600364.528069093</c:v>
                </c:pt>
                <c:pt idx="1">
                  <c:v>525387.529274005</c:v>
                </c:pt>
                <c:pt idx="2">
                  <c:v>523859.717097171</c:v>
                </c:pt>
                <c:pt idx="3">
                  <c:v>517457.616707617</c:v>
                </c:pt>
                <c:pt idx="4">
                  <c:v>495987.522603978</c:v>
                </c:pt>
                <c:pt idx="5">
                  <c:v>445033.101265823</c:v>
                </c:pt>
                <c:pt idx="6">
                  <c:v>427708.256880734</c:v>
                </c:pt>
                <c:pt idx="7">
                  <c:v>351285.143198091</c:v>
                </c:pt>
                <c:pt idx="8">
                  <c:v>350828.82315922</c:v>
                </c:pt>
                <c:pt idx="9">
                  <c:v>269915.407319953</c:v>
                </c:pt>
                <c:pt idx="10">
                  <c:v>145174.398120963</c:v>
                </c:pt>
                <c:pt idx="11">
                  <c:v>136905.994236311</c:v>
                </c:pt>
                <c:pt idx="12">
                  <c:v>68425.2796420582</c:v>
                </c:pt>
                <c:pt idx="13">
                  <c:v>38536.4825581395</c:v>
                </c:pt>
                <c:pt idx="14">
                  <c:v>11547.8550295858</c:v>
                </c:pt>
                <c:pt idx="15">
                  <c:v>5908.38108882522</c:v>
                </c:pt>
                <c:pt idx="16">
                  <c:v>1696.08117564731</c:v>
                </c:pt>
                <c:pt idx="17">
                  <c:v>-13321.2056737589</c:v>
                </c:pt>
                <c:pt idx="18">
                  <c:v>-39821.146953405</c:v>
                </c:pt>
              </c:numCache>
            </c:numRef>
          </c:val>
        </c:ser>
        <c:gapWidth val="150"/>
        <c:overlap val="0"/>
        <c:axId val="39166093"/>
        <c:axId val="433742"/>
      </c:barChart>
      <c:catAx>
        <c:axId val="3916609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742"/>
        <c:crosses val="autoZero"/>
        <c:auto val="1"/>
        <c:lblAlgn val="ctr"/>
        <c:lblOffset val="100"/>
        <c:noMultiLvlLbl val="0"/>
      </c:catAx>
      <c:valAx>
        <c:axId val="433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660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net ROI by institution tier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'College Dashboard'!D37</c:f>
              <c:strCache>
                <c:ptCount val="1"/>
                <c:pt idx="0">
                  <c:v>Avg net ROI</c:v>
                </c:pt>
              </c:strCache>
            </c:strRef>
          </c:tx>
          <c:spPr>
            <a:solidFill>
              <a:srgbClr val="3b6fd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'College Dashboard'!$B$38:$B$42</c:f>
              <c:strCache>
                <c:ptCount val="5"/>
                <c:pt idx="0">
                  <c:v>ivy_elite</c:v>
                </c:pt>
                <c:pt idx="1">
                  <c:v>top_public</c:v>
                </c:pt>
                <c:pt idx="2">
                  <c:v>mid_tier</c:v>
                </c:pt>
                <c:pt idx="3">
                  <c:v>regional</c:v>
                </c:pt>
                <c:pt idx="4">
                  <c:v>for_profit</c:v>
                </c:pt>
              </c:strCache>
            </c:strRef>
          </c:cat>
          <c:val>
            <c:numRef>
              <c:f>'College Dashboard'!$D$38:$D$42</c:f>
              <c:numCache>
                <c:formatCode>\$#,##0;"($"#,##0\);\-</c:formatCode>
                <c:ptCount val="5"/>
                <c:pt idx="0">
                  <c:v>380610.102739726</c:v>
                </c:pt>
                <c:pt idx="1">
                  <c:v>328414.676450967</c:v>
                </c:pt>
                <c:pt idx="2">
                  <c:v>278175.229089491</c:v>
                </c:pt>
                <c:pt idx="3">
                  <c:v>244432.726269316</c:v>
                </c:pt>
                <c:pt idx="4">
                  <c:v>102769.665985003</c:v>
                </c:pt>
              </c:numCache>
            </c:numRef>
          </c:val>
        </c:ser>
        <c:gapWidth val="150"/>
        <c:overlap val="0"/>
        <c:axId val="47873902"/>
        <c:axId val="25855104"/>
      </c:barChart>
      <c:catAx>
        <c:axId val="47873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55104"/>
        <c:crosses val="autoZero"/>
        <c:auto val="1"/>
        <c:lblAlgn val="ctr"/>
        <c:lblOffset val="100"/>
        <c:noMultiLvlLbl val="0"/>
      </c:catAx>
      <c:valAx>
        <c:axId val="25855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739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with positive ROI by institution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'College Dashboard'!E37</c:f>
              <c:strCache>
                <c:ptCount val="1"/>
                <c:pt idx="0">
                  <c:v>% positive ROI</c:v>
                </c:pt>
              </c:strCache>
            </c:strRef>
          </c:tx>
          <c:spPr>
            <a:solidFill>
              <a:srgbClr val="12805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'College Dashboard'!$B$38:$B$42</c:f>
              <c:strCache>
                <c:ptCount val="5"/>
                <c:pt idx="0">
                  <c:v>ivy_elite</c:v>
                </c:pt>
                <c:pt idx="1">
                  <c:v>top_public</c:v>
                </c:pt>
                <c:pt idx="2">
                  <c:v>mid_tier</c:v>
                </c:pt>
                <c:pt idx="3">
                  <c:v>regional</c:v>
                </c:pt>
                <c:pt idx="4">
                  <c:v>for_profit</c:v>
                </c:pt>
              </c:strCache>
            </c:strRef>
          </c:cat>
          <c:val>
            <c:numRef>
              <c:f>'College Dashboard'!$E$38:$E$42</c:f>
              <c:numCache>
                <c:formatCode>0.0%</c:formatCode>
                <c:ptCount val="5"/>
                <c:pt idx="0">
                  <c:v>0.797374429223744</c:v>
                </c:pt>
                <c:pt idx="1">
                  <c:v>0.856070713809206</c:v>
                </c:pt>
                <c:pt idx="2">
                  <c:v>0.852602846558783</c:v>
                </c:pt>
                <c:pt idx="3">
                  <c:v>0.874834437086093</c:v>
                </c:pt>
                <c:pt idx="4">
                  <c:v>0.631561008861622</c:v>
                </c:pt>
              </c:numCache>
            </c:numRef>
          </c:val>
        </c:ser>
        <c:gapWidth val="150"/>
        <c:overlap val="0"/>
        <c:axId val="72298340"/>
        <c:axId val="27025629"/>
      </c:barChart>
      <c:catAx>
        <c:axId val="72298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25629"/>
        <c:crosses val="autoZero"/>
        <c:auto val="1"/>
        <c:lblAlgn val="ctr"/>
        <c:lblOffset val="100"/>
        <c:noMultiLvlLbl val="0"/>
      </c:catAx>
      <c:valAx>
        <c:axId val="27025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983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net ROI by major category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'College Dashboard'!L37</c:f>
              <c:strCache>
                <c:ptCount val="1"/>
                <c:pt idx="0">
                  <c:v>Avg net ROI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'College Dashboard'!$J$38:$J$44</c:f>
              <c:strCache>
                <c:ptCount val="7"/>
                <c:pt idx="0">
                  <c:v>STEM</c:v>
                </c:pt>
                <c:pt idx="1">
                  <c:v>arts</c:v>
                </c:pt>
                <c:pt idx="2">
                  <c:v>business</c:v>
                </c:pt>
                <c:pt idx="3">
                  <c:v>education</c:v>
                </c:pt>
                <c:pt idx="4">
                  <c:v>health</c:v>
                </c:pt>
                <c:pt idx="5">
                  <c:v>humanities</c:v>
                </c:pt>
                <c:pt idx="6">
                  <c:v>social_science</c:v>
                </c:pt>
              </c:strCache>
            </c:strRef>
          </c:cat>
          <c:val>
            <c:numRef>
              <c:f>'College Dashboard'!$L$38:$L$44</c:f>
              <c:numCache>
                <c:formatCode>\$#,##0;"($"#,##0\);\-</c:formatCode>
                <c:ptCount val="7"/>
                <c:pt idx="0">
                  <c:v>446999.798061389</c:v>
                </c:pt>
                <c:pt idx="1">
                  <c:v>-39821.146953405</c:v>
                </c:pt>
                <c:pt idx="2">
                  <c:v>346099.366104533</c:v>
                </c:pt>
                <c:pt idx="3">
                  <c:v>11547.8550295858</c:v>
                </c:pt>
                <c:pt idx="4">
                  <c:v>350828.82315922</c:v>
                </c:pt>
                <c:pt idx="5">
                  <c:v>-13321.2056737589</c:v>
                </c:pt>
                <c:pt idx="6">
                  <c:v>31064.0173651695</c:v>
                </c:pt>
              </c:numCache>
            </c:numRef>
          </c:val>
        </c:ser>
        <c:gapWidth val="150"/>
        <c:overlap val="0"/>
        <c:axId val="53301108"/>
        <c:axId val="7880481"/>
      </c:barChart>
      <c:catAx>
        <c:axId val="53301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0481"/>
        <c:crosses val="autoZero"/>
        <c:auto val="1"/>
        <c:lblAlgn val="ctr"/>
        <c:lblOffset val="100"/>
        <c:noMultiLvlLbl val="0"/>
      </c:catAx>
      <c:valAx>
        <c:axId val="7880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011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net ROI: internship / on-time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'College Dashboard'!M82</c:f>
              <c:strCache>
                <c:ptCount val="1"/>
                <c:pt idx="0">
                  <c:v>Avg net ROI</c:v>
                </c:pt>
              </c:strCache>
            </c:strRef>
          </c:tx>
          <c:spPr>
            <a:solidFill>
              <a:srgbClr val="8a5cc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'College Dashboard'!$N$83:$N$86</c:f>
              <c:strCache>
                <c:ptCount val="4"/>
                <c:pt idx="0">
                  <c:v>No / No</c:v>
                </c:pt>
                <c:pt idx="1">
                  <c:v>No / Yes</c:v>
                </c:pt>
                <c:pt idx="2">
                  <c:v>Yes / No</c:v>
                </c:pt>
                <c:pt idx="3">
                  <c:v>Yes / Yes</c:v>
                </c:pt>
              </c:strCache>
            </c:strRef>
          </c:cat>
          <c:val>
            <c:numRef>
              <c:f>'College Dashboard'!$M$83:$M$86</c:f>
              <c:numCache>
                <c:formatCode>\$#,##0;"($"#,##0\);\-</c:formatCode>
                <c:ptCount val="4"/>
                <c:pt idx="0">
                  <c:v>184150.837365091</c:v>
                </c:pt>
                <c:pt idx="1">
                  <c:v>246502.564102564</c:v>
                </c:pt>
                <c:pt idx="2">
                  <c:v>274605.655836342</c:v>
                </c:pt>
                <c:pt idx="3">
                  <c:v>339349.479108323</c:v>
                </c:pt>
              </c:numCache>
            </c:numRef>
          </c:val>
        </c:ser>
        <c:gapWidth val="150"/>
        <c:overlap val="0"/>
        <c:axId val="58111442"/>
        <c:axId val="70002389"/>
      </c:barChart>
      <c:catAx>
        <c:axId val="58111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02389"/>
        <c:crosses val="autoZero"/>
        <c:auto val="1"/>
        <c:lblAlgn val="ctr"/>
        <c:lblOffset val="100"/>
        <c:noMultiLvlLbl val="0"/>
      </c:catAx>
      <c:valAx>
        <c:axId val="70002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114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 outcome by AI adoption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'AI Dashboard'!D14</c:f>
              <c:strCache>
                <c:ptCount val="1"/>
                <c:pt idx="0">
                  <c:v>% Unchanged</c:v>
                </c:pt>
              </c:strCache>
            </c:strRef>
          </c:tx>
          <c:spPr>
            <a:solidFill>
              <a:srgbClr val="12805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Dashboard'!$B$15:$B$17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'AI Dashboard'!$D$15:$D$17</c:f>
              <c:numCache>
                <c:formatCode>0.0%</c:formatCode>
                <c:ptCount val="3"/>
                <c:pt idx="0">
                  <c:v>0.647249190938511</c:v>
                </c:pt>
                <c:pt idx="1">
                  <c:v>0.689807976366322</c:v>
                </c:pt>
                <c:pt idx="2">
                  <c:v>0.320567375886525</c:v>
                </c:pt>
              </c:numCache>
            </c:numRef>
          </c:val>
        </c:ser>
        <c:ser>
          <c:idx val="1"/>
          <c:order val="1"/>
          <c:tx>
            <c:strRef>
              <c:f>'AI Dashboard'!E14</c:f>
              <c:strCache>
                <c:ptCount val="1"/>
                <c:pt idx="0">
                  <c:v>% Modified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Dashboard'!$B$15:$B$17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'AI Dashboard'!$E$15:$E$17</c:f>
              <c:numCache>
                <c:formatCode>0.0%</c:formatCode>
                <c:ptCount val="3"/>
                <c:pt idx="0">
                  <c:v>0.352750809061489</c:v>
                </c:pt>
                <c:pt idx="1">
                  <c:v>0.310192023633678</c:v>
                </c:pt>
                <c:pt idx="2">
                  <c:v>0.529078014184397</c:v>
                </c:pt>
              </c:numCache>
            </c:numRef>
          </c:val>
        </c:ser>
        <c:ser>
          <c:idx val="2"/>
          <c:order val="2"/>
          <c:tx>
            <c:strRef>
              <c:f>'AI Dashboard'!F14</c:f>
              <c:strCache>
                <c:ptCount val="1"/>
                <c:pt idx="0">
                  <c:v>% Replaced</c:v>
                </c:pt>
              </c:strCache>
            </c:strRef>
          </c:tx>
          <c:spPr>
            <a:solidFill>
              <a:srgbClr val="c23b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Dashboard'!$B$15:$B$17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'AI Dashboard'!$F$15:$F$17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0.150354609929078</c:v>
                </c:pt>
              </c:numCache>
            </c:numRef>
          </c:val>
        </c:ser>
        <c:gapWidth val="150"/>
        <c:overlap val="100"/>
        <c:axId val="44720466"/>
        <c:axId val="48872214"/>
      </c:barChart>
      <c:catAx>
        <c:axId val="447204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72214"/>
        <c:crosses val="autoZero"/>
        <c:auto val="1"/>
        <c:lblAlgn val="ctr"/>
        <c:lblOffset val="100"/>
        <c:noMultiLvlLbl val="0"/>
      </c:catAx>
      <c:valAx>
        <c:axId val="48872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204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salary change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'AI Dashboard'!G21</c:f>
              <c:strCache>
                <c:ptCount val="1"/>
                <c:pt idx="0">
                  <c:v>Avg salary change</c:v>
                </c:pt>
              </c:strCache>
            </c:strRef>
          </c:tx>
          <c:spPr>
            <a:solidFill>
              <a:srgbClr val="3b6fd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Dashboard'!$B$22:$B$28</c:f>
              <c:strCache>
                <c:ptCount val="7"/>
                <c:pt idx="0">
                  <c:v>Education</c:v>
                </c:pt>
                <c:pt idx="1">
                  <c:v>Finance</c:v>
                </c:pt>
                <c:pt idx="2">
                  <c:v>Healthcare</c:v>
                </c:pt>
                <c:pt idx="3">
                  <c:v>IT</c:v>
                </c:pt>
                <c:pt idx="4">
                  <c:v>Manufacturing</c:v>
                </c:pt>
                <c:pt idx="5">
                  <c:v>Marketing</c:v>
                </c:pt>
                <c:pt idx="6">
                  <c:v>Retail</c:v>
                </c:pt>
              </c:strCache>
            </c:strRef>
          </c:cat>
          <c:val>
            <c:numRef>
              <c:f>'AI Dashboard'!$G$22:$G$28</c:f>
              <c:numCache>
                <c:formatCode>0.0%</c:formatCode>
                <c:ptCount val="7"/>
                <c:pt idx="0">
                  <c:v>0.0606322350770874</c:v>
                </c:pt>
                <c:pt idx="1">
                  <c:v>0.0523306515876915</c:v>
                </c:pt>
                <c:pt idx="2">
                  <c:v>0.0759166115641078</c:v>
                </c:pt>
                <c:pt idx="3">
                  <c:v>0.0622576428581907</c:v>
                </c:pt>
                <c:pt idx="4">
                  <c:v>0.0469666086601081</c:v>
                </c:pt>
                <c:pt idx="5">
                  <c:v>0.0608025120110327</c:v>
                </c:pt>
                <c:pt idx="6">
                  <c:v>0.0662506881141211</c:v>
                </c:pt>
              </c:numCache>
            </c:numRef>
          </c:val>
        </c:ser>
        <c:gapWidth val="150"/>
        <c:overlap val="0"/>
        <c:axId val="11462973"/>
        <c:axId val="16041763"/>
      </c:barChart>
      <c:catAx>
        <c:axId val="11462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41763"/>
        <c:crosses val="autoZero"/>
        <c:auto val="1"/>
        <c:lblAlgn val="ctr"/>
        <c:lblOffset val="100"/>
        <c:noMultiLvlLbl val="0"/>
      </c:catAx>
      <c:valAx>
        <c:axId val="16041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629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 outcome by automation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'AI Dashboard'!D31</c:f>
              <c:strCache>
                <c:ptCount val="1"/>
                <c:pt idx="0">
                  <c:v>% Unchanged</c:v>
                </c:pt>
              </c:strCache>
            </c:strRef>
          </c:tx>
          <c:spPr>
            <a:solidFill>
              <a:srgbClr val="12805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Dashboard'!$B$32:$B$34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'AI Dashboard'!$D$32:$D$34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0.649560117302053</c:v>
                </c:pt>
              </c:numCache>
            </c:numRef>
          </c:val>
        </c:ser>
        <c:ser>
          <c:idx val="1"/>
          <c:order val="1"/>
          <c:tx>
            <c:strRef>
              <c:f>'AI Dashboard'!E31</c:f>
              <c:strCache>
                <c:ptCount val="1"/>
                <c:pt idx="0">
                  <c:v>% Modified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Dashboard'!$B$32:$B$34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'AI Dashboard'!$E$32:$E$34</c:f>
              <c:numCache>
                <c:formatCode>0.0%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0.195014662756598</c:v>
                </c:pt>
              </c:numCache>
            </c:numRef>
          </c:val>
        </c:ser>
        <c:ser>
          <c:idx val="2"/>
          <c:order val="2"/>
          <c:tx>
            <c:strRef>
              <c:f>'AI Dashboard'!F31</c:f>
              <c:strCache>
                <c:ptCount val="1"/>
                <c:pt idx="0">
                  <c:v>% Replaced</c:v>
                </c:pt>
              </c:strCache>
            </c:strRef>
          </c:tx>
          <c:spPr>
            <a:solidFill>
              <a:srgbClr val="c23b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Dashboard'!$B$32:$B$34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'AI Dashboard'!$F$32:$F$34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0.155425219941349</c:v>
                </c:pt>
              </c:numCache>
            </c:numRef>
          </c:val>
        </c:ser>
        <c:gapWidth val="150"/>
        <c:overlap val="100"/>
        <c:axId val="57454023"/>
        <c:axId val="66401022"/>
      </c:barChart>
      <c:catAx>
        <c:axId val="57454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01022"/>
        <c:crosses val="autoZero"/>
        <c:auto val="1"/>
        <c:lblAlgn val="ctr"/>
        <c:lblOffset val="100"/>
        <c:noMultiLvlLbl val="0"/>
      </c:catAx>
      <c:valAx>
        <c:axId val="66401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540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productivity change (%) by AI adoption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'AI Dashboard'!G14</c:f>
              <c:strCache>
                <c:ptCount val="1"/>
                <c:pt idx="0">
                  <c:v>Avg productivity chg (%)</c:v>
                </c:pt>
              </c:strCache>
            </c:strRef>
          </c:tx>
          <c:spPr>
            <a:solidFill>
              <a:srgbClr val="8a5cc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Dashboard'!$B$15:$B$17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'AI Dashboard'!$G$15:$G$17</c:f>
              <c:numCache>
                <c:formatCode>0.0</c:formatCode>
                <c:ptCount val="3"/>
                <c:pt idx="0">
                  <c:v>8.03126213592233</c:v>
                </c:pt>
                <c:pt idx="1">
                  <c:v>10.1745790251108</c:v>
                </c:pt>
                <c:pt idx="2">
                  <c:v>10.9505390070922</c:v>
                </c:pt>
              </c:numCache>
            </c:numRef>
          </c:val>
        </c:ser>
        <c:gapWidth val="150"/>
        <c:overlap val="0"/>
        <c:axId val="58286026"/>
        <c:axId val="34599522"/>
      </c:barChart>
      <c:catAx>
        <c:axId val="58286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99522"/>
        <c:crosses val="autoZero"/>
        <c:auto val="1"/>
        <c:lblAlgn val="ctr"/>
        <c:lblOffset val="100"/>
        <c:noMultiLvlLbl val="0"/>
      </c:catAx>
      <c:valAx>
        <c:axId val="34599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860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satisfaction (1-10) by AI adoption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'AI Dashboard'!H14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e08a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Dashboard'!$B$15:$B$17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'AI Dashboard'!$H$15:$H$17</c:f>
              <c:numCache>
                <c:formatCode>0.0</c:formatCode>
                <c:ptCount val="3"/>
                <c:pt idx="0">
                  <c:v>6.04692556634304</c:v>
                </c:pt>
                <c:pt idx="1">
                  <c:v>5.98670605612999</c:v>
                </c:pt>
                <c:pt idx="2">
                  <c:v>6.02978723404255</c:v>
                </c:pt>
              </c:numCache>
            </c:numRef>
          </c:val>
        </c:ser>
        <c:gapWidth val="150"/>
        <c:overlap val="0"/>
        <c:axId val="86570456"/>
        <c:axId val="90293090"/>
      </c:barChart>
      <c:catAx>
        <c:axId val="8657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93090"/>
        <c:crosses val="autoZero"/>
        <c:auto val="1"/>
        <c:lblAlgn val="ctr"/>
        <c:lblOffset val="100"/>
        <c:noMultiLvlLbl val="0"/>
      </c:catAx>
      <c:valAx>
        <c:axId val="90293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70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12</xdr:row>
      <xdr:rowOff>0</xdr:rowOff>
    </xdr:from>
    <xdr:to>
      <xdr:col>14</xdr:col>
      <xdr:colOff>833400</xdr:colOff>
      <xdr:row>31</xdr:row>
      <xdr:rowOff>149400</xdr:rowOff>
    </xdr:to>
    <xdr:graphicFrame>
      <xdr:nvGraphicFramePr>
        <xdr:cNvPr id="0" name="Chart 1"/>
        <xdr:cNvGraphicFramePr/>
      </xdr:nvGraphicFramePr>
      <xdr:xfrm>
        <a:off x="8599320" y="268596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5</xdr:col>
      <xdr:colOff>755280</xdr:colOff>
      <xdr:row>61</xdr:row>
      <xdr:rowOff>21960</xdr:rowOff>
    </xdr:to>
    <xdr:graphicFrame>
      <xdr:nvGraphicFramePr>
        <xdr:cNvPr id="1" name="Chart 2"/>
        <xdr:cNvGraphicFramePr/>
      </xdr:nvGraphicFramePr>
      <xdr:xfrm>
        <a:off x="141120" y="95439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46</xdr:row>
      <xdr:rowOff>0</xdr:rowOff>
    </xdr:from>
    <xdr:to>
      <xdr:col>14</xdr:col>
      <xdr:colOff>473400</xdr:colOff>
      <xdr:row>61</xdr:row>
      <xdr:rowOff>21960</xdr:rowOff>
    </xdr:to>
    <xdr:graphicFrame>
      <xdr:nvGraphicFramePr>
        <xdr:cNvPr id="2" name="Chart 3"/>
        <xdr:cNvGraphicFramePr/>
      </xdr:nvGraphicFramePr>
      <xdr:xfrm>
        <a:off x="8599320" y="95439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63</xdr:row>
      <xdr:rowOff>0</xdr:rowOff>
    </xdr:from>
    <xdr:to>
      <xdr:col>5</xdr:col>
      <xdr:colOff>755280</xdr:colOff>
      <xdr:row>78</xdr:row>
      <xdr:rowOff>21960</xdr:rowOff>
    </xdr:to>
    <xdr:graphicFrame>
      <xdr:nvGraphicFramePr>
        <xdr:cNvPr id="3" name="Chart 4"/>
        <xdr:cNvGraphicFramePr/>
      </xdr:nvGraphicFramePr>
      <xdr:xfrm>
        <a:off x="141120" y="127825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63</xdr:row>
      <xdr:rowOff>0</xdr:rowOff>
    </xdr:from>
    <xdr:to>
      <xdr:col>14</xdr:col>
      <xdr:colOff>473400</xdr:colOff>
      <xdr:row>78</xdr:row>
      <xdr:rowOff>21960</xdr:rowOff>
    </xdr:to>
    <xdr:graphicFrame>
      <xdr:nvGraphicFramePr>
        <xdr:cNvPr id="4" name="Chart 5"/>
        <xdr:cNvGraphicFramePr/>
      </xdr:nvGraphicFramePr>
      <xdr:xfrm>
        <a:off x="8599320" y="127825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12</xdr:row>
      <xdr:rowOff>0</xdr:rowOff>
    </xdr:from>
    <xdr:to>
      <xdr:col>14</xdr:col>
      <xdr:colOff>473400</xdr:colOff>
      <xdr:row>24</xdr:row>
      <xdr:rowOff>32400</xdr:rowOff>
    </xdr:to>
    <xdr:graphicFrame>
      <xdr:nvGraphicFramePr>
        <xdr:cNvPr id="5" name="Chart 1"/>
        <xdr:cNvGraphicFramePr/>
      </xdr:nvGraphicFramePr>
      <xdr:xfrm>
        <a:off x="8599320" y="26859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5</xdr:col>
      <xdr:colOff>755280</xdr:colOff>
      <xdr:row>51</xdr:row>
      <xdr:rowOff>22320</xdr:rowOff>
    </xdr:to>
    <xdr:graphicFrame>
      <xdr:nvGraphicFramePr>
        <xdr:cNvPr id="6" name="Chart 2"/>
        <xdr:cNvGraphicFramePr/>
      </xdr:nvGraphicFramePr>
      <xdr:xfrm>
        <a:off x="141120" y="7829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36</xdr:row>
      <xdr:rowOff>0</xdr:rowOff>
    </xdr:from>
    <xdr:to>
      <xdr:col>14</xdr:col>
      <xdr:colOff>473400</xdr:colOff>
      <xdr:row>51</xdr:row>
      <xdr:rowOff>22320</xdr:rowOff>
    </xdr:to>
    <xdr:graphicFrame>
      <xdr:nvGraphicFramePr>
        <xdr:cNvPr id="7" name="Chart 3"/>
        <xdr:cNvGraphicFramePr/>
      </xdr:nvGraphicFramePr>
      <xdr:xfrm>
        <a:off x="8599320" y="7829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5</xdr:col>
      <xdr:colOff>755280</xdr:colOff>
      <xdr:row>69</xdr:row>
      <xdr:rowOff>22320</xdr:rowOff>
    </xdr:to>
    <xdr:graphicFrame>
      <xdr:nvGraphicFramePr>
        <xdr:cNvPr id="8" name="Chart 4"/>
        <xdr:cNvGraphicFramePr/>
      </xdr:nvGraphicFramePr>
      <xdr:xfrm>
        <a:off x="141120" y="11258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54</xdr:row>
      <xdr:rowOff>0</xdr:rowOff>
    </xdr:from>
    <xdr:to>
      <xdr:col>14</xdr:col>
      <xdr:colOff>473400</xdr:colOff>
      <xdr:row>69</xdr:row>
      <xdr:rowOff>22320</xdr:rowOff>
    </xdr:to>
    <xdr:graphicFrame>
      <xdr:nvGraphicFramePr>
        <xdr:cNvPr id="9" name="Chart 5"/>
        <xdr:cNvGraphicFramePr/>
      </xdr:nvGraphicFramePr>
      <xdr:xfrm>
        <a:off x="8599320" y="11258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8" min="3" style="0" width="15"/>
    <col collapsed="false" customWidth="true" hidden="false" outlineLevel="0" max="9" min="9" style="0" width="4"/>
    <col collapsed="false" customWidth="true" hidden="false" outlineLevel="0" max="19" min="10" style="0" width="15"/>
  </cols>
  <sheetData>
    <row r="1" customFormat="false" ht="30" hidden="false" customHeight="true" outlineLevel="0" collapsed="false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B3" s="4" t="s">
        <v>2</v>
      </c>
      <c r="D3" s="5" t="s">
        <v>3</v>
      </c>
    </row>
    <row r="4" customFormat="false" ht="15" hidden="false" customHeight="false" outlineLevel="0" collapsed="false">
      <c r="B4" s="6" t="s">
        <v>4</v>
      </c>
      <c r="C4" s="7" t="s">
        <v>5</v>
      </c>
      <c r="D4" s="5" t="str">
        <f aca="false">IF(C4="All","*",C4)</f>
        <v>*</v>
      </c>
    </row>
    <row r="5" customFormat="false" ht="15" hidden="false" customHeight="false" outlineLevel="0" collapsed="false">
      <c r="B5" s="6" t="s">
        <v>6</v>
      </c>
      <c r="C5" s="7" t="s">
        <v>5</v>
      </c>
      <c r="D5" s="5" t="str">
        <f aca="false">IF(C5="All","*",C5)</f>
        <v>*</v>
      </c>
    </row>
    <row r="6" customFormat="false" ht="15" hidden="false" customHeight="false" outlineLevel="0" collapsed="false">
      <c r="B6" s="6" t="s">
        <v>7</v>
      </c>
      <c r="C6" s="7" t="s">
        <v>5</v>
      </c>
      <c r="D6" s="5" t="str">
        <f aca="false">IF(C6="All","*",C6)</f>
        <v>*</v>
      </c>
    </row>
    <row r="7" customFormat="false" ht="15" hidden="false" customHeight="false" outlineLevel="0" collapsed="false">
      <c r="B7" s="6" t="s">
        <v>8</v>
      </c>
      <c r="C7" s="7" t="s">
        <v>5</v>
      </c>
      <c r="D7" s="5" t="str">
        <f aca="false">IF(C7="All","*",C7)</f>
        <v>*</v>
      </c>
    </row>
    <row r="8" customFormat="false" ht="15" hidden="false" customHeight="false" outlineLevel="0" collapsed="false">
      <c r="B8" s="6" t="s">
        <v>9</v>
      </c>
      <c r="C8" s="7" t="s">
        <v>5</v>
      </c>
      <c r="D8" s="5" t="str">
        <f aca="false">IF(C8="All","*",C8)</f>
        <v>*</v>
      </c>
    </row>
    <row r="10" customFormat="false" ht="15" hidden="false" customHeight="false" outlineLevel="0" collapsed="false"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</row>
    <row r="11" customFormat="false" ht="31.5" hidden="false" customHeight="true" outlineLevel="0" collapsed="false">
      <c r="B11" s="9" t="n">
        <f aca="false">SUMIFS(College_Data!$G$2:$G$1515,College_Data!$B$2:$B$1515,$D$4,College_Data!$C$2:$C$1515,$D$5,College_Data!$D$2:$D$1515,$D$6,College_Data!$E$2:$E$1515,$D$7,College_Data!$F$2:$F$1515,$D$8)</f>
        <v>30000</v>
      </c>
      <c r="C11" s="10" t="n">
        <f aca="false">IFERROR(SUMIFS(College_Data!$K$2:$K$1515,College_Data!$B$2:$B$1515,$D$4,College_Data!$C$2:$C$1515,$D$5,College_Data!$D$2:$D$1515,$D$6,College_Data!$E$2:$E$1515,$D$7,College_Data!$F$2:$F$1515,$D$8)/SUMIFS(College_Data!$G$2:$G$1515,College_Data!$B$2:$B$1515,$D$4,College_Data!$C$2:$C$1515,$D$5,College_Data!$D$2:$D$1515,$D$6,College_Data!$E$2:$E$1515,$D$7,College_Data!$F$2:$F$1515,$D$8),0)</f>
        <v>266853.716666667</v>
      </c>
      <c r="D11" s="11" t="n">
        <f aca="false">IFERROR(SUMIFS(College_Data!$L$2:$L$1515,College_Data!$B$2:$B$1515,$D$4,College_Data!$C$2:$C$1515,$D$5,College_Data!$D$2:$D$1515,$D$6,College_Data!$E$2:$E$1515,$D$7,College_Data!$F$2:$F$1515,$D$8)/SUMIFS(College_Data!$G$2:$G$1515,College_Data!$B$2:$B$1515,$D$4,College_Data!$C$2:$C$1515,$D$5,College_Data!$D$2:$D$1515,$D$6,College_Data!$E$2:$E$1515,$D$7,College_Data!$F$2:$F$1515,$D$8),0)</f>
        <v>0.835166666666667</v>
      </c>
      <c r="E11" s="11" t="n">
        <f aca="false">IFERROR(SUMIFS(College_Data!$M$2:$M$1515,College_Data!$B$2:$B$1515,$D$4,College_Data!$C$2:$C$1515,$D$5,College_Data!$D$2:$D$1515,$D$6,College_Data!$E$2:$E$1515,$D$7,College_Data!$F$2:$F$1515,$D$8)/SUMIFS(College_Data!$G$2:$G$1515,College_Data!$B$2:$B$1515,$D$4,College_Data!$C$2:$C$1515,$D$5,College_Data!$D$2:$D$1515,$D$6,College_Data!$E$2:$E$1515,$D$7,College_Data!$F$2:$F$1515,$D$8),0)</f>
        <v>0.25</v>
      </c>
      <c r="F11" s="10" t="n">
        <f aca="false">IFERROR(SUMIFS(College_Data!$H$2:$H$1515,College_Data!$B$2:$B$1515,$D$4,College_Data!$C$2:$C$1515,$D$5,College_Data!$D$2:$D$1515,$D$6,College_Data!$E$2:$E$1515,$D$7,College_Data!$F$2:$F$1515,$D$8)/SUMIFS(College_Data!$G$2:$G$1515,College_Data!$B$2:$B$1515,$D$4,College_Data!$C$2:$C$1515,$D$5,College_Data!$D$2:$D$1515,$D$6,College_Data!$E$2:$E$1515,$D$7,College_Data!$F$2:$F$1515,$D$8),0)</f>
        <v>88621.4966666667</v>
      </c>
      <c r="G11" s="10" t="n">
        <f aca="false">IFERROR(SUMIFS(College_Data!$I$2:$I$1515,College_Data!$B$2:$B$1515,$D$4,College_Data!$C$2:$C$1515,$D$5,College_Data!$D$2:$D$1515,$D$6,College_Data!$E$2:$E$1515,$D$7,College_Data!$F$2:$F$1515,$D$8)/SUMIFS(College_Data!$G$2:$G$1515,College_Data!$B$2:$B$1515,$D$4,College_Data!$C$2:$C$1515,$D$5,College_Data!$D$2:$D$1515,$D$6,College_Data!$E$2:$E$1515,$D$7,College_Data!$F$2:$F$1515,$D$8),0)</f>
        <v>38498.0633333333</v>
      </c>
    </row>
    <row r="13" customFormat="false" ht="15" hidden="false" customHeight="false" outlineLevel="0" collapsed="false">
      <c r="B13" s="4" t="s">
        <v>16</v>
      </c>
    </row>
    <row r="14" customFormat="false" ht="30" hidden="false" customHeight="true" outlineLevel="0" collapsed="false">
      <c r="B14" s="12" t="s">
        <v>17</v>
      </c>
      <c r="C14" s="12" t="s">
        <v>4</v>
      </c>
      <c r="D14" s="12" t="s">
        <v>18</v>
      </c>
      <c r="E14" s="12" t="s">
        <v>19</v>
      </c>
      <c r="F14" s="12" t="s">
        <v>20</v>
      </c>
      <c r="G14" s="12" t="s">
        <v>21</v>
      </c>
      <c r="H14" s="12" t="s">
        <v>22</v>
      </c>
    </row>
    <row r="15" customFormat="false" ht="15" hidden="false" customHeight="false" outlineLevel="0" collapsed="false">
      <c r="B15" s="13" t="s">
        <v>23</v>
      </c>
      <c r="C15" s="13" t="s">
        <v>24</v>
      </c>
      <c r="D15" s="14" t="n">
        <f aca="false">SUMIFS(College_Data!$G$2:$G$1515,College_Data!$A$2:$A$1515,$B15,College_Data!$B$2:$B$1515,$D$4,College_Data!$C$2:$C$1515,$D$5,College_Data!$D$2:$D$1515,$D$6,College_Data!$E$2:$E$1515,$D$7,College_Data!$F$2:$F$1515,$D$8)</f>
        <v>1621</v>
      </c>
      <c r="E15" s="15" t="n">
        <f aca="false">IFERROR(SUMIFS(College_Data!$K$2:$K$1515,College_Data!$A$2:$A$1515,$B15,College_Data!$B$2:$B$1515,$D$4,College_Data!$C$2:$C$1515,$D$5,College_Data!$D$2:$D$1515,$D$6,College_Data!$E$2:$E$1515,$D$7,College_Data!$F$2:$F$1515,$D$8)/D15,0)</f>
        <v>600364.528069093</v>
      </c>
      <c r="F15" s="16" t="n">
        <f aca="false">IFERROR(SUMIFS(College_Data!$L$2:$L$1515,College_Data!$A$2:$A$1515,$B15,College_Data!$B$2:$B$1515,$D$4,College_Data!$C$2:$C$1515,$D$5,College_Data!$D$2:$D$1515,$D$6,College_Data!$E$2:$E$1515,$D$7,College_Data!$F$2:$F$1515,$D$8)/D15,0)</f>
        <v>0.999383096853794</v>
      </c>
      <c r="G15" s="15" t="n">
        <f aca="false">IFERROR(SUMIFS(College_Data!$H$2:$H$1515,College_Data!$A$2:$A$1515,$B15,College_Data!$B$2:$B$1515,$D$4,College_Data!$C$2:$C$1515,$D$5,College_Data!$D$2:$D$1515,$D$6,College_Data!$E$2:$E$1515,$D$7,College_Data!$F$2:$F$1515,$D$8)/D15,0)</f>
        <v>90013.1400370142</v>
      </c>
      <c r="H15" s="15" t="n">
        <f aca="false">IFERROR(SUMIFS(College_Data!$I$2:$I$1515,College_Data!$A$2:$A$1515,$B15,College_Data!$B$2:$B$1515,$D$4,College_Data!$C$2:$C$1515,$D$5,College_Data!$D$2:$D$1515,$D$6,College_Data!$E$2:$E$1515,$D$7,College_Data!$F$2:$F$1515,$D$8)/D15,0)</f>
        <v>39846.8846391117</v>
      </c>
    </row>
    <row r="16" customFormat="false" ht="15" hidden="false" customHeight="false" outlineLevel="0" collapsed="false">
      <c r="B16" s="13" t="s">
        <v>25</v>
      </c>
      <c r="C16" s="13" t="s">
        <v>26</v>
      </c>
      <c r="D16" s="14" t="n">
        <f aca="false">SUMIFS(College_Data!$G$2:$G$1515,College_Data!$A$2:$A$1515,$B16,College_Data!$B$2:$B$1515,$D$4,College_Data!$C$2:$C$1515,$D$5,College_Data!$D$2:$D$1515,$D$6,College_Data!$E$2:$E$1515,$D$7,College_Data!$F$2:$F$1515,$D$8)</f>
        <v>1708</v>
      </c>
      <c r="E16" s="15" t="n">
        <f aca="false">IFERROR(SUMIFS(College_Data!$K$2:$K$1515,College_Data!$A$2:$A$1515,$B16,College_Data!$B$2:$B$1515,$D$4,College_Data!$C$2:$C$1515,$D$5,College_Data!$D$2:$D$1515,$D$6,College_Data!$E$2:$E$1515,$D$7,College_Data!$F$2:$F$1515,$D$8)/D16,0)</f>
        <v>525387.529274005</v>
      </c>
      <c r="F16" s="16" t="n">
        <f aca="false">IFERROR(SUMIFS(College_Data!$L$2:$L$1515,College_Data!$A$2:$A$1515,$B16,College_Data!$B$2:$B$1515,$D$4,College_Data!$C$2:$C$1515,$D$5,College_Data!$D$2:$D$1515,$D$6,College_Data!$E$2:$E$1515,$D$7,College_Data!$F$2:$F$1515,$D$8)/D16,0)</f>
        <v>1</v>
      </c>
      <c r="G16" s="15" t="n">
        <f aca="false">IFERROR(SUMIFS(College_Data!$H$2:$H$1515,College_Data!$A$2:$A$1515,$B16,College_Data!$B$2:$B$1515,$D$4,College_Data!$C$2:$C$1515,$D$5,College_Data!$D$2:$D$1515,$D$6,College_Data!$E$2:$E$1515,$D$7,College_Data!$F$2:$F$1515,$D$8)/D16,0)</f>
        <v>88229.6252927401</v>
      </c>
      <c r="H16" s="15" t="n">
        <f aca="false">IFERROR(SUMIFS(College_Data!$I$2:$I$1515,College_Data!$A$2:$A$1515,$B16,College_Data!$B$2:$B$1515,$D$4,College_Data!$C$2:$C$1515,$D$5,College_Data!$D$2:$D$1515,$D$6,College_Data!$E$2:$E$1515,$D$7,College_Data!$F$2:$F$1515,$D$8)/D16,0)</f>
        <v>39162.9976580796</v>
      </c>
    </row>
    <row r="17" customFormat="false" ht="15" hidden="false" customHeight="false" outlineLevel="0" collapsed="false">
      <c r="B17" s="13" t="s">
        <v>27</v>
      </c>
      <c r="C17" s="13" t="s">
        <v>24</v>
      </c>
      <c r="D17" s="14" t="n">
        <f aca="false">SUMIFS(College_Data!$G$2:$G$1515,College_Data!$A$2:$A$1515,$B17,College_Data!$B$2:$B$1515,$D$4,College_Data!$C$2:$C$1515,$D$5,College_Data!$D$2:$D$1515,$D$6,College_Data!$E$2:$E$1515,$D$7,College_Data!$F$2:$F$1515,$D$8)</f>
        <v>1626</v>
      </c>
      <c r="E17" s="15" t="n">
        <f aca="false">IFERROR(SUMIFS(College_Data!$K$2:$K$1515,College_Data!$A$2:$A$1515,$B17,College_Data!$B$2:$B$1515,$D$4,College_Data!$C$2:$C$1515,$D$5,College_Data!$D$2:$D$1515,$D$6,College_Data!$E$2:$E$1515,$D$7,College_Data!$F$2:$F$1515,$D$8)/D17,0)</f>
        <v>523859.717097171</v>
      </c>
      <c r="F17" s="16" t="n">
        <f aca="false">IFERROR(SUMIFS(College_Data!$L$2:$L$1515,College_Data!$A$2:$A$1515,$B17,College_Data!$B$2:$B$1515,$D$4,College_Data!$C$2:$C$1515,$D$5,College_Data!$D$2:$D$1515,$D$6,College_Data!$E$2:$E$1515,$D$7,College_Data!$F$2:$F$1515,$D$8)/D17,0)</f>
        <v>0.996924969249693</v>
      </c>
      <c r="G17" s="15" t="n">
        <f aca="false">IFERROR(SUMIFS(College_Data!$H$2:$H$1515,College_Data!$A$2:$A$1515,$B17,College_Data!$B$2:$B$1515,$D$4,College_Data!$C$2:$C$1515,$D$5,College_Data!$D$2:$D$1515,$D$6,College_Data!$E$2:$E$1515,$D$7,College_Data!$F$2:$F$1515,$D$8)/D17,0)</f>
        <v>88598.8929889299</v>
      </c>
      <c r="H17" s="15" t="n">
        <f aca="false">IFERROR(SUMIFS(College_Data!$I$2:$I$1515,College_Data!$A$2:$A$1515,$B17,College_Data!$B$2:$B$1515,$D$4,College_Data!$C$2:$C$1515,$D$5,College_Data!$D$2:$D$1515,$D$6,College_Data!$E$2:$E$1515,$D$7,College_Data!$F$2:$F$1515,$D$8)/D17,0)</f>
        <v>39077.0602706027</v>
      </c>
    </row>
    <row r="18" customFormat="false" ht="15" hidden="false" customHeight="false" outlineLevel="0" collapsed="false">
      <c r="B18" s="13" t="s">
        <v>28</v>
      </c>
      <c r="C18" s="13" t="s">
        <v>24</v>
      </c>
      <c r="D18" s="14" t="n">
        <f aca="false">SUMIFS(College_Data!$G$2:$G$1515,College_Data!$A$2:$A$1515,$B18,College_Data!$B$2:$B$1515,$D$4,College_Data!$C$2:$C$1515,$D$5,College_Data!$D$2:$D$1515,$D$6,College_Data!$E$2:$E$1515,$D$7,College_Data!$F$2:$F$1515,$D$8)</f>
        <v>1628</v>
      </c>
      <c r="E18" s="15" t="n">
        <f aca="false">IFERROR(SUMIFS(College_Data!$K$2:$K$1515,College_Data!$A$2:$A$1515,$B18,College_Data!$B$2:$B$1515,$D$4,College_Data!$C$2:$C$1515,$D$5,College_Data!$D$2:$D$1515,$D$6,College_Data!$E$2:$E$1515,$D$7,College_Data!$F$2:$F$1515,$D$8)/D18,0)</f>
        <v>517457.616707617</v>
      </c>
      <c r="F18" s="16" t="n">
        <f aca="false">IFERROR(SUMIFS(College_Data!$L$2:$L$1515,College_Data!$A$2:$A$1515,$B18,College_Data!$B$2:$B$1515,$D$4,College_Data!$C$2:$C$1515,$D$5,College_Data!$D$2:$D$1515,$D$6,College_Data!$E$2:$E$1515,$D$7,College_Data!$F$2:$F$1515,$D$8)/D18,0)</f>
        <v>0.997542997542998</v>
      </c>
      <c r="G18" s="15" t="n">
        <f aca="false">IFERROR(SUMIFS(College_Data!$H$2:$H$1515,College_Data!$A$2:$A$1515,$B18,College_Data!$B$2:$B$1515,$D$4,College_Data!$C$2:$C$1515,$D$5,College_Data!$D$2:$D$1515,$D$6,College_Data!$E$2:$E$1515,$D$7,College_Data!$F$2:$F$1515,$D$8)/D18,0)</f>
        <v>88997.0515970516</v>
      </c>
      <c r="H18" s="15" t="n">
        <f aca="false">IFERROR(SUMIFS(College_Data!$I$2:$I$1515,College_Data!$A$2:$A$1515,$B18,College_Data!$B$2:$B$1515,$D$4,College_Data!$C$2:$C$1515,$D$5,College_Data!$D$2:$D$1515,$D$6,College_Data!$E$2:$E$1515,$D$7,College_Data!$F$2:$F$1515,$D$8)/D18,0)</f>
        <v>37873.8329238329</v>
      </c>
    </row>
    <row r="19" customFormat="false" ht="15" hidden="false" customHeight="false" outlineLevel="0" collapsed="false">
      <c r="B19" s="13" t="s">
        <v>29</v>
      </c>
      <c r="C19" s="13" t="s">
        <v>24</v>
      </c>
      <c r="D19" s="14" t="n">
        <f aca="false">SUMIFS(College_Data!$G$2:$G$1515,College_Data!$A$2:$A$1515,$B19,College_Data!$B$2:$B$1515,$D$4,College_Data!$C$2:$C$1515,$D$5,College_Data!$D$2:$D$1515,$D$6,College_Data!$E$2:$E$1515,$D$7,College_Data!$F$2:$F$1515,$D$8)</f>
        <v>1659</v>
      </c>
      <c r="E19" s="15" t="n">
        <f aca="false">IFERROR(SUMIFS(College_Data!$K$2:$K$1515,College_Data!$A$2:$A$1515,$B19,College_Data!$B$2:$B$1515,$D$4,College_Data!$C$2:$C$1515,$D$5,College_Data!$D$2:$D$1515,$D$6,College_Data!$E$2:$E$1515,$D$7,College_Data!$F$2:$F$1515,$D$8)/D19,0)</f>
        <v>495987.522603978</v>
      </c>
      <c r="F19" s="16" t="n">
        <f aca="false">IFERROR(SUMIFS(College_Data!$L$2:$L$1515,College_Data!$A$2:$A$1515,$B19,College_Data!$B$2:$B$1515,$D$4,College_Data!$C$2:$C$1515,$D$5,College_Data!$D$2:$D$1515,$D$6,College_Data!$E$2:$E$1515,$D$7,College_Data!$F$2:$F$1515,$D$8)/D19,0)</f>
        <v>0.999397227245329</v>
      </c>
      <c r="G19" s="15" t="n">
        <f aca="false">IFERROR(SUMIFS(College_Data!$H$2:$H$1515,College_Data!$A$2:$A$1515,$B19,College_Data!$B$2:$B$1515,$D$4,College_Data!$C$2:$C$1515,$D$5,College_Data!$D$2:$D$1515,$D$6,College_Data!$E$2:$E$1515,$D$7,College_Data!$F$2:$F$1515,$D$8)/D19,0)</f>
        <v>87920.0723327306</v>
      </c>
      <c r="H19" s="15" t="n">
        <f aca="false">IFERROR(SUMIFS(College_Data!$I$2:$I$1515,College_Data!$A$2:$A$1515,$B19,College_Data!$B$2:$B$1515,$D$4,College_Data!$C$2:$C$1515,$D$5,College_Data!$D$2:$D$1515,$D$6,College_Data!$E$2:$E$1515,$D$7,College_Data!$F$2:$F$1515,$D$8)/D19,0)</f>
        <v>38272.4532851115</v>
      </c>
    </row>
    <row r="20" customFormat="false" ht="15" hidden="false" customHeight="false" outlineLevel="0" collapsed="false">
      <c r="B20" s="13" t="s">
        <v>30</v>
      </c>
      <c r="C20" s="13" t="s">
        <v>26</v>
      </c>
      <c r="D20" s="14" t="n">
        <f aca="false">SUMIFS(College_Data!$G$2:$G$1515,College_Data!$A$2:$A$1515,$B20,College_Data!$B$2:$B$1515,$D$4,College_Data!$C$2:$C$1515,$D$5,College_Data!$D$2:$D$1515,$D$6,College_Data!$E$2:$E$1515,$D$7,College_Data!$F$2:$F$1515,$D$8)</f>
        <v>1580</v>
      </c>
      <c r="E20" s="15" t="n">
        <f aca="false">IFERROR(SUMIFS(College_Data!$K$2:$K$1515,College_Data!$A$2:$A$1515,$B20,College_Data!$B$2:$B$1515,$D$4,College_Data!$C$2:$C$1515,$D$5,College_Data!$D$2:$D$1515,$D$6,College_Data!$E$2:$E$1515,$D$7,College_Data!$F$2:$F$1515,$D$8)/D20,0)</f>
        <v>445033.101265823</v>
      </c>
      <c r="F20" s="16" t="n">
        <f aca="false">IFERROR(SUMIFS(College_Data!$L$2:$L$1515,College_Data!$A$2:$A$1515,$B20,College_Data!$B$2:$B$1515,$D$4,College_Data!$C$2:$C$1515,$D$5,College_Data!$D$2:$D$1515,$D$6,College_Data!$E$2:$E$1515,$D$7,College_Data!$F$2:$F$1515,$D$8)/D20,0)</f>
        <v>0.99746835443038</v>
      </c>
      <c r="G20" s="15" t="n">
        <f aca="false">IFERROR(SUMIFS(College_Data!$H$2:$H$1515,College_Data!$A$2:$A$1515,$B20,College_Data!$B$2:$B$1515,$D$4,College_Data!$C$2:$C$1515,$D$5,College_Data!$D$2:$D$1515,$D$6,College_Data!$E$2:$E$1515,$D$7,College_Data!$F$2:$F$1515,$D$8)/D20,0)</f>
        <v>89375.3164556962</v>
      </c>
      <c r="H20" s="15" t="n">
        <f aca="false">IFERROR(SUMIFS(College_Data!$I$2:$I$1515,College_Data!$A$2:$A$1515,$B20,College_Data!$B$2:$B$1515,$D$4,College_Data!$C$2:$C$1515,$D$5,College_Data!$D$2:$D$1515,$D$6,College_Data!$E$2:$E$1515,$D$7,College_Data!$F$2:$F$1515,$D$8)/D20,0)</f>
        <v>37990.253164557</v>
      </c>
    </row>
    <row r="21" customFormat="false" ht="15" hidden="false" customHeight="false" outlineLevel="0" collapsed="false">
      <c r="B21" s="13" t="s">
        <v>31</v>
      </c>
      <c r="C21" s="13" t="s">
        <v>24</v>
      </c>
      <c r="D21" s="14" t="n">
        <f aca="false">SUMIFS(College_Data!$G$2:$G$1515,College_Data!$A$2:$A$1515,$B21,College_Data!$B$2:$B$1515,$D$4,College_Data!$C$2:$C$1515,$D$5,College_Data!$D$2:$D$1515,$D$6,College_Data!$E$2:$E$1515,$D$7,College_Data!$F$2:$F$1515,$D$8)</f>
        <v>1635</v>
      </c>
      <c r="E21" s="15" t="n">
        <f aca="false">IFERROR(SUMIFS(College_Data!$K$2:$K$1515,College_Data!$A$2:$A$1515,$B21,College_Data!$B$2:$B$1515,$D$4,College_Data!$C$2:$C$1515,$D$5,College_Data!$D$2:$D$1515,$D$6,College_Data!$E$2:$E$1515,$D$7,College_Data!$F$2:$F$1515,$D$8)/D21,0)</f>
        <v>427708.256880734</v>
      </c>
      <c r="F21" s="16" t="n">
        <f aca="false">IFERROR(SUMIFS(College_Data!$L$2:$L$1515,College_Data!$A$2:$A$1515,$B21,College_Data!$B$2:$B$1515,$D$4,College_Data!$C$2:$C$1515,$D$5,College_Data!$D$2:$D$1515,$D$6,College_Data!$E$2:$E$1515,$D$7,College_Data!$F$2:$F$1515,$D$8)/D21,0)</f>
        <v>0.996941896024465</v>
      </c>
      <c r="G21" s="15" t="n">
        <f aca="false">IFERROR(SUMIFS(College_Data!$H$2:$H$1515,College_Data!$A$2:$A$1515,$B21,College_Data!$B$2:$B$1515,$D$4,College_Data!$C$2:$C$1515,$D$5,College_Data!$D$2:$D$1515,$D$6,College_Data!$E$2:$E$1515,$D$7,College_Data!$F$2:$F$1515,$D$8)/D21,0)</f>
        <v>87814.9235474006</v>
      </c>
      <c r="H21" s="15" t="n">
        <f aca="false">IFERROR(SUMIFS(College_Data!$I$2:$I$1515,College_Data!$A$2:$A$1515,$B21,College_Data!$B$2:$B$1515,$D$4,College_Data!$C$2:$C$1515,$D$5,College_Data!$D$2:$D$1515,$D$6,College_Data!$E$2:$E$1515,$D$7,College_Data!$F$2:$F$1515,$D$8)/D21,0)</f>
        <v>37899.3883792049</v>
      </c>
    </row>
    <row r="22" customFormat="false" ht="15" hidden="false" customHeight="false" outlineLevel="0" collapsed="false">
      <c r="B22" s="13" t="s">
        <v>32</v>
      </c>
      <c r="C22" s="13" t="s">
        <v>26</v>
      </c>
      <c r="D22" s="14" t="n">
        <f aca="false">SUMIFS(College_Data!$G$2:$G$1515,College_Data!$A$2:$A$1515,$B22,College_Data!$B$2:$B$1515,$D$4,College_Data!$C$2:$C$1515,$D$5,College_Data!$D$2:$D$1515,$D$6,College_Data!$E$2:$E$1515,$D$7,College_Data!$F$2:$F$1515,$D$8)</f>
        <v>1676</v>
      </c>
      <c r="E22" s="15" t="n">
        <f aca="false">IFERROR(SUMIFS(College_Data!$K$2:$K$1515,College_Data!$A$2:$A$1515,$B22,College_Data!$B$2:$B$1515,$D$4,College_Data!$C$2:$C$1515,$D$5,College_Data!$D$2:$D$1515,$D$6,College_Data!$E$2:$E$1515,$D$7,College_Data!$F$2:$F$1515,$D$8)/D22,0)</f>
        <v>351285.143198091</v>
      </c>
      <c r="F22" s="16" t="n">
        <f aca="false">IFERROR(SUMIFS(College_Data!$L$2:$L$1515,College_Data!$A$2:$A$1515,$B22,College_Data!$B$2:$B$1515,$D$4,College_Data!$C$2:$C$1515,$D$5,College_Data!$D$2:$D$1515,$D$6,College_Data!$E$2:$E$1515,$D$7,College_Data!$F$2:$F$1515,$D$8)/D22,0)</f>
        <v>0.994033412887828</v>
      </c>
      <c r="G22" s="15" t="n">
        <f aca="false">IFERROR(SUMIFS(College_Data!$H$2:$H$1515,College_Data!$A$2:$A$1515,$B22,College_Data!$B$2:$B$1515,$D$4,College_Data!$C$2:$C$1515,$D$5,College_Data!$D$2:$D$1515,$D$6,College_Data!$E$2:$E$1515,$D$7,College_Data!$F$2:$F$1515,$D$8)/D22,0)</f>
        <v>87432.9952267303</v>
      </c>
      <c r="H22" s="15" t="n">
        <f aca="false">IFERROR(SUMIFS(College_Data!$I$2:$I$1515,College_Data!$A$2:$A$1515,$B22,College_Data!$B$2:$B$1515,$D$4,College_Data!$C$2:$C$1515,$D$5,College_Data!$D$2:$D$1515,$D$6,College_Data!$E$2:$E$1515,$D$7,College_Data!$F$2:$F$1515,$D$8)/D22,0)</f>
        <v>38454.6539379475</v>
      </c>
    </row>
    <row r="23" customFormat="false" ht="15" hidden="false" customHeight="false" outlineLevel="0" collapsed="false">
      <c r="B23" s="13" t="s">
        <v>33</v>
      </c>
      <c r="C23" s="13" t="s">
        <v>34</v>
      </c>
      <c r="D23" s="14" t="n">
        <f aca="false">SUMIFS(College_Data!$G$2:$G$1515,College_Data!$A$2:$A$1515,$B23,College_Data!$B$2:$B$1515,$D$4,College_Data!$C$2:$C$1515,$D$5,College_Data!$D$2:$D$1515,$D$6,College_Data!$E$2:$E$1515,$D$7,College_Data!$F$2:$F$1515,$D$8)</f>
        <v>1589</v>
      </c>
      <c r="E23" s="15" t="n">
        <f aca="false">IFERROR(SUMIFS(College_Data!$K$2:$K$1515,College_Data!$A$2:$A$1515,$B23,College_Data!$B$2:$B$1515,$D$4,College_Data!$C$2:$C$1515,$D$5,College_Data!$D$2:$D$1515,$D$6,College_Data!$E$2:$E$1515,$D$7,College_Data!$F$2:$F$1515,$D$8)/D23,0)</f>
        <v>350828.82315922</v>
      </c>
      <c r="F23" s="16" t="n">
        <f aca="false">IFERROR(SUMIFS(College_Data!$L$2:$L$1515,College_Data!$A$2:$A$1515,$B23,College_Data!$B$2:$B$1515,$D$4,College_Data!$C$2:$C$1515,$D$5,College_Data!$D$2:$D$1515,$D$6,College_Data!$E$2:$E$1515,$D$7,College_Data!$F$2:$F$1515,$D$8)/D23,0)</f>
        <v>0.991818753933291</v>
      </c>
      <c r="G23" s="15" t="n">
        <f aca="false">IFERROR(SUMIFS(College_Data!$H$2:$H$1515,College_Data!$A$2:$A$1515,$B23,College_Data!$B$2:$B$1515,$D$4,College_Data!$C$2:$C$1515,$D$5,College_Data!$D$2:$D$1515,$D$6,College_Data!$E$2:$E$1515,$D$7,College_Data!$F$2:$F$1515,$D$8)/D23,0)</f>
        <v>89831.8439269981</v>
      </c>
      <c r="H23" s="15" t="n">
        <f aca="false">IFERROR(SUMIFS(College_Data!$I$2:$I$1515,College_Data!$A$2:$A$1515,$B23,College_Data!$B$2:$B$1515,$D$4,College_Data!$C$2:$C$1515,$D$5,College_Data!$D$2:$D$1515,$D$6,College_Data!$E$2:$E$1515,$D$7,College_Data!$F$2:$F$1515,$D$8)/D23,0)</f>
        <v>39586.0289490245</v>
      </c>
    </row>
    <row r="24" customFormat="false" ht="15" hidden="false" customHeight="false" outlineLevel="0" collapsed="false">
      <c r="B24" s="13" t="s">
        <v>26</v>
      </c>
      <c r="C24" s="13" t="s">
        <v>26</v>
      </c>
      <c r="D24" s="14" t="n">
        <f aca="false">SUMIFS(College_Data!$G$2:$G$1515,College_Data!$A$2:$A$1515,$B24,College_Data!$B$2:$B$1515,$D$4,College_Data!$C$2:$C$1515,$D$5,College_Data!$D$2:$D$1515,$D$6,College_Data!$E$2:$E$1515,$D$7,College_Data!$F$2:$F$1515,$D$8)</f>
        <v>1694</v>
      </c>
      <c r="E24" s="15" t="n">
        <f aca="false">IFERROR(SUMIFS(College_Data!$K$2:$K$1515,College_Data!$A$2:$A$1515,$B24,College_Data!$B$2:$B$1515,$D$4,College_Data!$C$2:$C$1515,$D$5,College_Data!$D$2:$D$1515,$D$6,College_Data!$E$2:$E$1515,$D$7,College_Data!$F$2:$F$1515,$D$8)/D24,0)</f>
        <v>269915.407319953</v>
      </c>
      <c r="F24" s="16" t="n">
        <f aca="false">IFERROR(SUMIFS(College_Data!$L$2:$L$1515,College_Data!$A$2:$A$1515,$B24,College_Data!$B$2:$B$1515,$D$4,College_Data!$C$2:$C$1515,$D$5,College_Data!$D$2:$D$1515,$D$6,College_Data!$E$2:$E$1515,$D$7,College_Data!$F$2:$F$1515,$D$8)/D24,0)</f>
        <v>0.982290436835891</v>
      </c>
      <c r="G24" s="15" t="n">
        <f aca="false">IFERROR(SUMIFS(College_Data!$H$2:$H$1515,College_Data!$A$2:$A$1515,$B24,College_Data!$B$2:$B$1515,$D$4,College_Data!$C$2:$C$1515,$D$5,College_Data!$D$2:$D$1515,$D$6,College_Data!$E$2:$E$1515,$D$7,College_Data!$F$2:$F$1515,$D$8)/D24,0)</f>
        <v>87600.3541912633</v>
      </c>
      <c r="H24" s="15" t="n">
        <f aca="false">IFERROR(SUMIFS(College_Data!$I$2:$I$1515,College_Data!$A$2:$A$1515,$B24,College_Data!$B$2:$B$1515,$D$4,College_Data!$C$2:$C$1515,$D$5,College_Data!$D$2:$D$1515,$D$6,College_Data!$E$2:$E$1515,$D$7,College_Data!$F$2:$F$1515,$D$8)/D24,0)</f>
        <v>36319.0082644628</v>
      </c>
    </row>
    <row r="25" customFormat="false" ht="15" hidden="false" customHeight="false" outlineLevel="0" collapsed="false">
      <c r="B25" s="13" t="s">
        <v>35</v>
      </c>
      <c r="C25" s="13" t="s">
        <v>26</v>
      </c>
      <c r="D25" s="14" t="n">
        <f aca="false">SUMIFS(College_Data!$G$2:$G$1515,College_Data!$A$2:$A$1515,$B25,College_Data!$B$2:$B$1515,$D$4,College_Data!$C$2:$C$1515,$D$5,College_Data!$D$2:$D$1515,$D$6,College_Data!$E$2:$E$1515,$D$7,College_Data!$F$2:$F$1515,$D$8)</f>
        <v>1703</v>
      </c>
      <c r="E25" s="15" t="n">
        <f aca="false">IFERROR(SUMIFS(College_Data!$K$2:$K$1515,College_Data!$A$2:$A$1515,$B25,College_Data!$B$2:$B$1515,$D$4,College_Data!$C$2:$C$1515,$D$5,College_Data!$D$2:$D$1515,$D$6,College_Data!$E$2:$E$1515,$D$7,College_Data!$F$2:$F$1515,$D$8)/D25,0)</f>
        <v>145174.398120963</v>
      </c>
      <c r="F25" s="16" t="n">
        <f aca="false">IFERROR(SUMIFS(College_Data!$L$2:$L$1515,College_Data!$A$2:$A$1515,$B25,College_Data!$B$2:$B$1515,$D$4,College_Data!$C$2:$C$1515,$D$5,College_Data!$D$2:$D$1515,$D$6,College_Data!$E$2:$E$1515,$D$7,College_Data!$F$2:$F$1515,$D$8)/D25,0)</f>
        <v>0.948913681738109</v>
      </c>
      <c r="G25" s="15" t="n">
        <f aca="false">IFERROR(SUMIFS(College_Data!$H$2:$H$1515,College_Data!$A$2:$A$1515,$B25,College_Data!$B$2:$B$1515,$D$4,College_Data!$C$2:$C$1515,$D$5,College_Data!$D$2:$D$1515,$D$6,College_Data!$E$2:$E$1515,$D$7,College_Data!$F$2:$F$1515,$D$8)/D25,0)</f>
        <v>88524.3100411039</v>
      </c>
      <c r="H25" s="15" t="n">
        <f aca="false">IFERROR(SUMIFS(College_Data!$I$2:$I$1515,College_Data!$A$2:$A$1515,$B25,College_Data!$B$2:$B$1515,$D$4,College_Data!$C$2:$C$1515,$D$5,College_Data!$D$2:$D$1515,$D$6,College_Data!$E$2:$E$1515,$D$7,College_Data!$F$2:$F$1515,$D$8)/D25,0)</f>
        <v>38433.2941867293</v>
      </c>
    </row>
    <row r="26" customFormat="false" ht="15" hidden="false" customHeight="false" outlineLevel="0" collapsed="false">
      <c r="B26" s="13" t="s">
        <v>36</v>
      </c>
      <c r="C26" s="13" t="s">
        <v>24</v>
      </c>
      <c r="D26" s="14" t="n">
        <f aca="false">SUMIFS(College_Data!$G$2:$G$1515,College_Data!$A$2:$A$1515,$B26,College_Data!$B$2:$B$1515,$D$4,College_Data!$C$2:$C$1515,$D$5,College_Data!$D$2:$D$1515,$D$6,College_Data!$E$2:$E$1515,$D$7,College_Data!$F$2:$F$1515,$D$8)</f>
        <v>1735</v>
      </c>
      <c r="E26" s="15" t="n">
        <f aca="false">IFERROR(SUMIFS(College_Data!$K$2:$K$1515,College_Data!$A$2:$A$1515,$B26,College_Data!$B$2:$B$1515,$D$4,College_Data!$C$2:$C$1515,$D$5,College_Data!$D$2:$D$1515,$D$6,College_Data!$E$2:$E$1515,$D$7,College_Data!$F$2:$F$1515,$D$8)/D26,0)</f>
        <v>136905.994236311</v>
      </c>
      <c r="F26" s="16" t="n">
        <f aca="false">IFERROR(SUMIFS(College_Data!$L$2:$L$1515,College_Data!$A$2:$A$1515,$B26,College_Data!$B$2:$B$1515,$D$4,College_Data!$C$2:$C$1515,$D$5,College_Data!$D$2:$D$1515,$D$6,College_Data!$E$2:$E$1515,$D$7,College_Data!$F$2:$F$1515,$D$8)/D26,0)</f>
        <v>0.934293948126801</v>
      </c>
      <c r="G26" s="15" t="n">
        <f aca="false">IFERROR(SUMIFS(College_Data!$H$2:$H$1515,College_Data!$A$2:$A$1515,$B26,College_Data!$B$2:$B$1515,$D$4,College_Data!$C$2:$C$1515,$D$5,College_Data!$D$2:$D$1515,$D$6,College_Data!$E$2:$E$1515,$D$7,College_Data!$F$2:$F$1515,$D$8)/D26,0)</f>
        <v>88062.3054755043</v>
      </c>
      <c r="H26" s="15" t="n">
        <f aca="false">IFERROR(SUMIFS(College_Data!$I$2:$I$1515,College_Data!$A$2:$A$1515,$B26,College_Data!$B$2:$B$1515,$D$4,College_Data!$C$2:$C$1515,$D$5,College_Data!$D$2:$D$1515,$D$6,College_Data!$E$2:$E$1515,$D$7,College_Data!$F$2:$F$1515,$D$8)/D26,0)</f>
        <v>37736.9452449568</v>
      </c>
    </row>
    <row r="27" customFormat="false" ht="15" hidden="false" customHeight="false" outlineLevel="0" collapsed="false">
      <c r="B27" s="13" t="s">
        <v>37</v>
      </c>
      <c r="C27" s="13" t="s">
        <v>38</v>
      </c>
      <c r="D27" s="14" t="n">
        <f aca="false">SUMIFS(College_Data!$G$2:$G$1515,College_Data!$A$2:$A$1515,$B27,College_Data!$B$2:$B$1515,$D$4,College_Data!$C$2:$C$1515,$D$5,College_Data!$D$2:$D$1515,$D$6,College_Data!$E$2:$E$1515,$D$7,College_Data!$F$2:$F$1515,$D$8)</f>
        <v>1788</v>
      </c>
      <c r="E27" s="15" t="n">
        <f aca="false">IFERROR(SUMIFS(College_Data!$K$2:$K$1515,College_Data!$A$2:$A$1515,$B27,College_Data!$B$2:$B$1515,$D$4,College_Data!$C$2:$C$1515,$D$5,College_Data!$D$2:$D$1515,$D$6,College_Data!$E$2:$E$1515,$D$7,College_Data!$F$2:$F$1515,$D$8)/D27,0)</f>
        <v>68425.2796420582</v>
      </c>
      <c r="F27" s="16" t="n">
        <f aca="false">IFERROR(SUMIFS(College_Data!$L$2:$L$1515,College_Data!$A$2:$A$1515,$B27,College_Data!$B$2:$B$1515,$D$4,College_Data!$C$2:$C$1515,$D$5,College_Data!$D$2:$D$1515,$D$6,College_Data!$E$2:$E$1515,$D$7,College_Data!$F$2:$F$1515,$D$8)/D27,0)</f>
        <v>0.828299776286353</v>
      </c>
      <c r="G27" s="15" t="n">
        <f aca="false">IFERROR(SUMIFS(College_Data!$H$2:$H$1515,College_Data!$A$2:$A$1515,$B27,College_Data!$B$2:$B$1515,$D$4,College_Data!$C$2:$C$1515,$D$5,College_Data!$D$2:$D$1515,$D$6,College_Data!$E$2:$E$1515,$D$7,College_Data!$F$2:$F$1515,$D$8)/D27,0)</f>
        <v>89599.9440715884</v>
      </c>
      <c r="H27" s="15" t="n">
        <f aca="false">IFERROR(SUMIFS(College_Data!$I$2:$I$1515,College_Data!$A$2:$A$1515,$B27,College_Data!$B$2:$B$1515,$D$4,College_Data!$C$2:$C$1515,$D$5,College_Data!$D$2:$D$1515,$D$6,College_Data!$E$2:$E$1515,$D$7,College_Data!$F$2:$F$1515,$D$8)/D27,0)</f>
        <v>39677.9082774049</v>
      </c>
    </row>
    <row r="28" customFormat="false" ht="15" hidden="false" customHeight="false" outlineLevel="0" collapsed="false">
      <c r="B28" s="13" t="s">
        <v>39</v>
      </c>
      <c r="C28" s="13" t="s">
        <v>38</v>
      </c>
      <c r="D28" s="14" t="n">
        <f aca="false">SUMIFS(College_Data!$G$2:$G$1515,College_Data!$A$2:$A$1515,$B28,College_Data!$B$2:$B$1515,$D$4,College_Data!$C$2:$C$1515,$D$5,College_Data!$D$2:$D$1515,$D$6,College_Data!$E$2:$E$1515,$D$7,College_Data!$F$2:$F$1515,$D$8)</f>
        <v>1376</v>
      </c>
      <c r="E28" s="15" t="n">
        <f aca="false">IFERROR(SUMIFS(College_Data!$K$2:$K$1515,College_Data!$A$2:$A$1515,$B28,College_Data!$B$2:$B$1515,$D$4,College_Data!$C$2:$C$1515,$D$5,College_Data!$D$2:$D$1515,$D$6,College_Data!$E$2:$E$1515,$D$7,College_Data!$F$2:$F$1515,$D$8)/D28,0)</f>
        <v>38536.4825581395</v>
      </c>
      <c r="F28" s="16" t="n">
        <f aca="false">IFERROR(SUMIFS(College_Data!$L$2:$L$1515,College_Data!$A$2:$A$1515,$B28,College_Data!$B$2:$B$1515,$D$4,College_Data!$C$2:$C$1515,$D$5,College_Data!$D$2:$D$1515,$D$6,College_Data!$E$2:$E$1515,$D$7,College_Data!$F$2:$F$1515,$D$8)/D28,0)</f>
        <v>0.739098837209302</v>
      </c>
      <c r="G28" s="15" t="n">
        <f aca="false">IFERROR(SUMIFS(College_Data!$H$2:$H$1515,College_Data!$A$2:$A$1515,$B28,College_Data!$B$2:$B$1515,$D$4,College_Data!$C$2:$C$1515,$D$5,College_Data!$D$2:$D$1515,$D$6,College_Data!$E$2:$E$1515,$D$7,College_Data!$F$2:$F$1515,$D$8)/D28,0)</f>
        <v>88675.5087209302</v>
      </c>
      <c r="H28" s="15" t="n">
        <f aca="false">IFERROR(SUMIFS(College_Data!$I$2:$I$1515,College_Data!$A$2:$A$1515,$B28,College_Data!$B$2:$B$1515,$D$4,College_Data!$C$2:$C$1515,$D$5,College_Data!$D$2:$D$1515,$D$6,College_Data!$E$2:$E$1515,$D$7,College_Data!$F$2:$F$1515,$D$8)/D28,0)</f>
        <v>39138.5174418605</v>
      </c>
    </row>
    <row r="29" customFormat="false" ht="15" hidden="false" customHeight="false" outlineLevel="0" collapsed="false">
      <c r="B29" s="13" t="s">
        <v>40</v>
      </c>
      <c r="C29" s="13" t="s">
        <v>40</v>
      </c>
      <c r="D29" s="14" t="n">
        <f aca="false">SUMIFS(College_Data!$G$2:$G$1515,College_Data!$A$2:$A$1515,$B29,College_Data!$B$2:$B$1515,$D$4,College_Data!$C$2:$C$1515,$D$5,College_Data!$D$2:$D$1515,$D$6,College_Data!$E$2:$E$1515,$D$7,College_Data!$F$2:$F$1515,$D$8)</f>
        <v>1352</v>
      </c>
      <c r="E29" s="15" t="n">
        <f aca="false">IFERROR(SUMIFS(College_Data!$K$2:$K$1515,College_Data!$A$2:$A$1515,$B29,College_Data!$B$2:$B$1515,$D$4,College_Data!$C$2:$C$1515,$D$5,College_Data!$D$2:$D$1515,$D$6,College_Data!$E$2:$E$1515,$D$7,College_Data!$F$2:$F$1515,$D$8)/D29,0)</f>
        <v>11547.8550295858</v>
      </c>
      <c r="F29" s="16" t="n">
        <f aca="false">IFERROR(SUMIFS(College_Data!$L$2:$L$1515,College_Data!$A$2:$A$1515,$B29,College_Data!$B$2:$B$1515,$D$4,College_Data!$C$2:$C$1515,$D$5,College_Data!$D$2:$D$1515,$D$6,College_Data!$E$2:$E$1515,$D$7,College_Data!$F$2:$F$1515,$D$8)/D29,0)</f>
        <v>0.581360946745562</v>
      </c>
      <c r="G29" s="15" t="n">
        <f aca="false">IFERROR(SUMIFS(College_Data!$H$2:$H$1515,College_Data!$A$2:$A$1515,$B29,College_Data!$B$2:$B$1515,$D$4,College_Data!$C$2:$C$1515,$D$5,College_Data!$D$2:$D$1515,$D$6,College_Data!$E$2:$E$1515,$D$7,College_Data!$F$2:$F$1515,$D$8)/D29,0)</f>
        <v>88636.9082840237</v>
      </c>
      <c r="H29" s="15" t="n">
        <f aca="false">IFERROR(SUMIFS(College_Data!$I$2:$I$1515,College_Data!$A$2:$A$1515,$B29,College_Data!$B$2:$B$1515,$D$4,College_Data!$C$2:$C$1515,$D$5,College_Data!$D$2:$D$1515,$D$6,College_Data!$E$2:$E$1515,$D$7,College_Data!$F$2:$F$1515,$D$8)/D29,0)</f>
        <v>38011.3165680473</v>
      </c>
    </row>
    <row r="30" customFormat="false" ht="15" hidden="false" customHeight="false" outlineLevel="0" collapsed="false">
      <c r="B30" s="13" t="s">
        <v>41</v>
      </c>
      <c r="C30" s="13" t="s">
        <v>38</v>
      </c>
      <c r="D30" s="14" t="n">
        <f aca="false">SUMIFS(College_Data!$G$2:$G$1515,College_Data!$A$2:$A$1515,$B30,College_Data!$B$2:$B$1515,$D$4,College_Data!$C$2:$C$1515,$D$5,College_Data!$D$2:$D$1515,$D$6,College_Data!$E$2:$E$1515,$D$7,College_Data!$F$2:$F$1515,$D$8)</f>
        <v>1396</v>
      </c>
      <c r="E30" s="15" t="n">
        <f aca="false">IFERROR(SUMIFS(College_Data!$K$2:$K$1515,College_Data!$A$2:$A$1515,$B30,College_Data!$B$2:$B$1515,$D$4,College_Data!$C$2:$C$1515,$D$5,College_Data!$D$2:$D$1515,$D$6,College_Data!$E$2:$E$1515,$D$7,College_Data!$F$2:$F$1515,$D$8)/D30,0)</f>
        <v>5908.38108882522</v>
      </c>
      <c r="F30" s="16" t="n">
        <f aca="false">IFERROR(SUMIFS(College_Data!$L$2:$L$1515,College_Data!$A$2:$A$1515,$B30,College_Data!$B$2:$B$1515,$D$4,College_Data!$C$2:$C$1515,$D$5,College_Data!$D$2:$D$1515,$D$6,College_Data!$E$2:$E$1515,$D$7,College_Data!$F$2:$F$1515,$D$8)/D30,0)</f>
        <v>0.549426934097421</v>
      </c>
      <c r="G30" s="15" t="n">
        <f aca="false">IFERROR(SUMIFS(College_Data!$H$2:$H$1515,College_Data!$A$2:$A$1515,$B30,College_Data!$B$2:$B$1515,$D$4,College_Data!$C$2:$C$1515,$D$5,College_Data!$D$2:$D$1515,$D$6,College_Data!$E$2:$E$1515,$D$7,College_Data!$F$2:$F$1515,$D$8)/D30,0)</f>
        <v>89204.5845272206</v>
      </c>
      <c r="H30" s="15" t="n">
        <f aca="false">IFERROR(SUMIFS(College_Data!$I$2:$I$1515,College_Data!$A$2:$A$1515,$B30,College_Data!$B$2:$B$1515,$D$4,College_Data!$C$2:$C$1515,$D$5,College_Data!$D$2:$D$1515,$D$6,College_Data!$E$2:$E$1515,$D$7,College_Data!$F$2:$F$1515,$D$8)/D30,0)</f>
        <v>38551.7908309456</v>
      </c>
    </row>
    <row r="31" customFormat="false" ht="15" hidden="false" customHeight="false" outlineLevel="0" collapsed="false">
      <c r="B31" s="13" t="s">
        <v>42</v>
      </c>
      <c r="C31" s="13" t="s">
        <v>38</v>
      </c>
      <c r="D31" s="14" t="n">
        <f aca="false">SUMIFS(College_Data!$G$2:$G$1515,College_Data!$A$2:$A$1515,$B31,College_Data!$B$2:$B$1515,$D$4,College_Data!$C$2:$C$1515,$D$5,College_Data!$D$2:$D$1515,$D$6,College_Data!$E$2:$E$1515,$D$7,College_Data!$F$2:$F$1515,$D$8)</f>
        <v>1429</v>
      </c>
      <c r="E31" s="15" t="n">
        <f aca="false">IFERROR(SUMIFS(College_Data!$K$2:$K$1515,College_Data!$A$2:$A$1515,$B31,College_Data!$B$2:$B$1515,$D$4,College_Data!$C$2:$C$1515,$D$5,College_Data!$D$2:$D$1515,$D$6,College_Data!$E$2:$E$1515,$D$7,College_Data!$F$2:$F$1515,$D$8)/D31,0)</f>
        <v>1696.08117564731</v>
      </c>
      <c r="F31" s="16" t="n">
        <f aca="false">IFERROR(SUMIFS(College_Data!$L$2:$L$1515,College_Data!$A$2:$A$1515,$B31,College_Data!$B$2:$B$1515,$D$4,College_Data!$C$2:$C$1515,$D$5,College_Data!$D$2:$D$1515,$D$6,College_Data!$E$2:$E$1515,$D$7,College_Data!$F$2:$F$1515,$D$8)/D31,0)</f>
        <v>0.517144856543037</v>
      </c>
      <c r="G31" s="15" t="n">
        <f aca="false">IFERROR(SUMIFS(College_Data!$H$2:$H$1515,College_Data!$A$2:$A$1515,$B31,College_Data!$B$2:$B$1515,$D$4,College_Data!$C$2:$C$1515,$D$5,College_Data!$D$2:$D$1515,$D$6,College_Data!$E$2:$E$1515,$D$7,College_Data!$F$2:$F$1515,$D$8)/D31,0)</f>
        <v>88463.1210636809</v>
      </c>
      <c r="H31" s="15" t="n">
        <f aca="false">IFERROR(SUMIFS(College_Data!$I$2:$I$1515,College_Data!$A$2:$A$1515,$B31,College_Data!$B$2:$B$1515,$D$4,College_Data!$C$2:$C$1515,$D$5,College_Data!$D$2:$D$1515,$D$6,College_Data!$E$2:$E$1515,$D$7,College_Data!$F$2:$F$1515,$D$8)/D31,0)</f>
        <v>38433.3100069979</v>
      </c>
    </row>
    <row r="32" customFormat="false" ht="15" hidden="false" customHeight="false" outlineLevel="0" collapsed="false">
      <c r="B32" s="13" t="s">
        <v>43</v>
      </c>
      <c r="C32" s="13" t="s">
        <v>43</v>
      </c>
      <c r="D32" s="14" t="n">
        <f aca="false">SUMIFS(College_Data!$G$2:$G$1515,College_Data!$A$2:$A$1515,$B32,College_Data!$B$2:$B$1515,$D$4,College_Data!$C$2:$C$1515,$D$5,College_Data!$D$2:$D$1515,$D$6,College_Data!$E$2:$E$1515,$D$7,College_Data!$F$2:$F$1515,$D$8)</f>
        <v>1410</v>
      </c>
      <c r="E32" s="15" t="n">
        <f aca="false">IFERROR(SUMIFS(College_Data!$K$2:$K$1515,College_Data!$A$2:$A$1515,$B32,College_Data!$B$2:$B$1515,$D$4,College_Data!$C$2:$C$1515,$D$5,College_Data!$D$2:$D$1515,$D$6,College_Data!$E$2:$E$1515,$D$7,College_Data!$F$2:$F$1515,$D$8)/D32,0)</f>
        <v>-13321.2056737589</v>
      </c>
      <c r="F32" s="16" t="n">
        <f aca="false">IFERROR(SUMIFS(College_Data!$L$2:$L$1515,College_Data!$A$2:$A$1515,$B32,College_Data!$B$2:$B$1515,$D$4,College_Data!$C$2:$C$1515,$D$5,College_Data!$D$2:$D$1515,$D$6,College_Data!$E$2:$E$1515,$D$7,College_Data!$F$2:$F$1515,$D$8)/D32,0)</f>
        <v>0.375886524822695</v>
      </c>
      <c r="G32" s="15" t="n">
        <f aca="false">IFERROR(SUMIFS(College_Data!$H$2:$H$1515,College_Data!$A$2:$A$1515,$B32,College_Data!$B$2:$B$1515,$D$4,College_Data!$C$2:$C$1515,$D$5,College_Data!$D$2:$D$1515,$D$6,College_Data!$E$2:$E$1515,$D$7,College_Data!$F$2:$F$1515,$D$8)/D32,0)</f>
        <v>89039.4326241135</v>
      </c>
      <c r="H32" s="15" t="n">
        <f aca="false">IFERROR(SUMIFS(College_Data!$I$2:$I$1515,College_Data!$A$2:$A$1515,$B32,College_Data!$B$2:$B$1515,$D$4,College_Data!$C$2:$C$1515,$D$5,College_Data!$D$2:$D$1515,$D$6,College_Data!$E$2:$E$1515,$D$7,College_Data!$F$2:$F$1515,$D$8)/D32,0)</f>
        <v>38644.0425531915</v>
      </c>
    </row>
    <row r="33" customFormat="false" ht="15" hidden="false" customHeight="false" outlineLevel="0" collapsed="false">
      <c r="B33" s="13" t="s">
        <v>44</v>
      </c>
      <c r="C33" s="13" t="s">
        <v>45</v>
      </c>
      <c r="D33" s="14" t="n">
        <f aca="false">SUMIFS(College_Data!$G$2:$G$1515,College_Data!$A$2:$A$1515,$B33,College_Data!$B$2:$B$1515,$D$4,College_Data!$C$2:$C$1515,$D$5,College_Data!$D$2:$D$1515,$D$6,College_Data!$E$2:$E$1515,$D$7,College_Data!$F$2:$F$1515,$D$8)</f>
        <v>1395</v>
      </c>
      <c r="E33" s="15" t="n">
        <f aca="false">IFERROR(SUMIFS(College_Data!$K$2:$K$1515,College_Data!$A$2:$A$1515,$B33,College_Data!$B$2:$B$1515,$D$4,College_Data!$C$2:$C$1515,$D$5,College_Data!$D$2:$D$1515,$D$6,College_Data!$E$2:$E$1515,$D$7,College_Data!$F$2:$F$1515,$D$8)/D33,0)</f>
        <v>-39821.146953405</v>
      </c>
      <c r="F33" s="16" t="n">
        <f aca="false">IFERROR(SUMIFS(College_Data!$L$2:$L$1515,College_Data!$A$2:$A$1515,$B33,College_Data!$B$2:$B$1515,$D$4,College_Data!$C$2:$C$1515,$D$5,College_Data!$D$2:$D$1515,$D$6,College_Data!$E$2:$E$1515,$D$7,College_Data!$F$2:$F$1515,$D$8)/D33,0)</f>
        <v>0.111111111111111</v>
      </c>
      <c r="G33" s="15" t="n">
        <f aca="false">IFERROR(SUMIFS(College_Data!$H$2:$H$1515,College_Data!$A$2:$A$1515,$B33,College_Data!$B$2:$B$1515,$D$4,College_Data!$C$2:$C$1515,$D$5,College_Data!$D$2:$D$1515,$D$6,College_Data!$E$2:$E$1515,$D$7,College_Data!$F$2:$F$1515,$D$8)/D33,0)</f>
        <v>87935.3405017921</v>
      </c>
      <c r="H33" s="15" t="n">
        <f aca="false">IFERROR(SUMIFS(College_Data!$I$2:$I$1515,College_Data!$A$2:$A$1515,$B33,College_Data!$B$2:$B$1515,$D$4,College_Data!$C$2:$C$1515,$D$5,College_Data!$D$2:$D$1515,$D$6,College_Data!$E$2:$E$1515,$D$7,College_Data!$F$2:$F$1515,$D$8)/D33,0)</f>
        <v>38392.8315412186</v>
      </c>
    </row>
    <row r="36" customFormat="false" ht="15" hidden="false" customHeight="false" outlineLevel="0" collapsed="false">
      <c r="B36" s="4" t="s">
        <v>46</v>
      </c>
      <c r="J36" s="4" t="s">
        <v>47</v>
      </c>
    </row>
    <row r="37" customFormat="false" ht="30" hidden="false" customHeight="true" outlineLevel="0" collapsed="false">
      <c r="B37" s="12" t="s">
        <v>48</v>
      </c>
      <c r="C37" s="12" t="s">
        <v>18</v>
      </c>
      <c r="D37" s="12" t="s">
        <v>19</v>
      </c>
      <c r="E37" s="12" t="s">
        <v>20</v>
      </c>
      <c r="F37" s="12" t="s">
        <v>21</v>
      </c>
      <c r="G37" s="12" t="s">
        <v>22</v>
      </c>
      <c r="H37" s="12" t="s">
        <v>49</v>
      </c>
      <c r="J37" s="12" t="s">
        <v>4</v>
      </c>
      <c r="K37" s="12" t="s">
        <v>18</v>
      </c>
      <c r="L37" s="12" t="s">
        <v>19</v>
      </c>
      <c r="M37" s="12" t="s">
        <v>20</v>
      </c>
    </row>
    <row r="38" customFormat="false" ht="15" hidden="false" customHeight="false" outlineLevel="0" collapsed="false">
      <c r="B38" s="13" t="s">
        <v>50</v>
      </c>
      <c r="C38" s="14" t="n">
        <f aca="false">SUMIFS(College_Data!$G$2:$G$1515,College_Data!$C$2:$C$1515,$B38,College_Data!$B$2:$B$1515,$D$4,College_Data!$D$2:$D$1515,$D$6,College_Data!$E$2:$E$1515,$D$7,College_Data!$F$2:$F$1515,$D$8)</f>
        <v>1752</v>
      </c>
      <c r="D38" s="15" t="n">
        <f aca="false">IFERROR(SUMIFS(College_Data!$K$2:$K$1515,College_Data!$C$2:$C$1515,$B38,College_Data!$B$2:$B$1515,$D$4,College_Data!$D$2:$D$1515,$D$6,College_Data!$E$2:$E$1515,$D$7,College_Data!$F$2:$F$1515,$D$8)/C38,0)</f>
        <v>380610.102739726</v>
      </c>
      <c r="E38" s="16" t="n">
        <f aca="false">IFERROR(SUMIFS(College_Data!$L$2:$L$1515,College_Data!$C$2:$C$1515,$B38,College_Data!$B$2:$B$1515,$D$4,College_Data!$D$2:$D$1515,$D$6,College_Data!$E$2:$E$1515,$D$7,College_Data!$F$2:$F$1515,$D$8)/C38,0)</f>
        <v>0.797374429223744</v>
      </c>
      <c r="F38" s="15" t="n">
        <f aca="false">IFERROR(SUMIFS(College_Data!$H$2:$H$1515,College_Data!$C$2:$C$1515,$B38,College_Data!$B$2:$B$1515,$D$4,College_Data!$D$2:$D$1515,$D$6,College_Data!$E$2:$E$1515,$D$7,College_Data!$F$2:$F$1515,$D$8)/C38,0)</f>
        <v>161819.006849315</v>
      </c>
      <c r="G38" s="15" t="n">
        <f aca="false">IFERROR(SUMIFS(College_Data!$I$2:$I$1515,College_Data!$C$2:$C$1515,$B38,College_Data!$B$2:$B$1515,$D$4,College_Data!$D$2:$D$1515,$D$6,College_Data!$E$2:$E$1515,$D$7,College_Data!$F$2:$F$1515,$D$8)/C38,0)</f>
        <v>72744.3493150685</v>
      </c>
      <c r="H38" s="15" t="n">
        <f aca="false">IFERROR(SUMIFS(College_Data!$J$2:$J$1515,College_Data!$C$2:$C$1515,$B38,College_Data!$B$2:$B$1515,$D$4,College_Data!$D$2:$D$1515,$D$6,College_Data!$E$2:$E$1515,$D$7,College_Data!$F$2:$F$1515,$D$8)/C38,0)</f>
        <v>542429.223744292</v>
      </c>
      <c r="J38" s="13" t="s">
        <v>24</v>
      </c>
      <c r="K38" s="14" t="n">
        <f aca="false">SUMIFS(College_Data!$G$2:$G$1515,College_Data!$B$2:$B$1515,$J38,College_Data!$C$2:$C$1515,$D$5,College_Data!$D$2:$D$1515,$D$6,College_Data!$E$2:$E$1515,$D$7,College_Data!$F$2:$F$1515,$D$8)</f>
        <v>9904</v>
      </c>
      <c r="L38" s="15" t="n">
        <f aca="false">IFERROR(SUMIFS(College_Data!$K$2:$K$1515,College_Data!$B$2:$B$1515,$J38,College_Data!$C$2:$C$1515,$D$5,College_Data!$D$2:$D$1515,$D$6,College_Data!$E$2:$E$1515,$D$7,College_Data!$F$2:$F$1515,$D$8)/K38,0)</f>
        <v>446999.798061389</v>
      </c>
      <c r="M38" s="16" t="n">
        <f aca="false">IFERROR(SUMIFS(College_Data!$L$2:$L$1515,College_Data!$B$2:$B$1515,$J38,College_Data!$C$2:$C$1515,$D$5,College_Data!$D$2:$D$1515,$D$6,College_Data!$E$2:$E$1515,$D$7,College_Data!$F$2:$F$1515,$D$8)/K38,0)</f>
        <v>0.986873990306947</v>
      </c>
    </row>
    <row r="39" customFormat="false" ht="15" hidden="false" customHeight="false" outlineLevel="0" collapsed="false">
      <c r="B39" s="13" t="s">
        <v>51</v>
      </c>
      <c r="C39" s="14" t="n">
        <f aca="false">SUMIFS(College_Data!$G$2:$G$1515,College_Data!$C$2:$C$1515,$B39,College_Data!$B$2:$B$1515,$D$4,College_Data!$D$2:$D$1515,$D$6,College_Data!$E$2:$E$1515,$D$7,College_Data!$F$2:$F$1515,$D$8)</f>
        <v>5996</v>
      </c>
      <c r="D39" s="15" t="n">
        <f aca="false">IFERROR(SUMIFS(College_Data!$K$2:$K$1515,College_Data!$C$2:$C$1515,$B39,College_Data!$B$2:$B$1515,$D$4,College_Data!$D$2:$D$1515,$D$6,College_Data!$E$2:$E$1515,$D$7,College_Data!$F$2:$F$1515,$D$8)/C39,0)</f>
        <v>328414.676450967</v>
      </c>
      <c r="E39" s="16" t="n">
        <f aca="false">IFERROR(SUMIFS(College_Data!$L$2:$L$1515,College_Data!$C$2:$C$1515,$B39,College_Data!$B$2:$B$1515,$D$4,College_Data!$D$2:$D$1515,$D$6,College_Data!$E$2:$E$1515,$D$7,College_Data!$F$2:$F$1515,$D$8)/C39,0)</f>
        <v>0.856070713809206</v>
      </c>
      <c r="F39" s="15" t="n">
        <f aca="false">IFERROR(SUMIFS(College_Data!$H$2:$H$1515,College_Data!$C$2:$C$1515,$B39,College_Data!$B$2:$B$1515,$D$4,College_Data!$D$2:$D$1515,$D$6,College_Data!$E$2:$E$1515,$D$7,College_Data!$F$2:$F$1515,$D$8)/C39,0)</f>
        <v>94036.5410273516</v>
      </c>
      <c r="G39" s="15" t="n">
        <f aca="false">IFERROR(SUMIFS(College_Data!$I$2:$I$1515,College_Data!$C$2:$C$1515,$B39,College_Data!$B$2:$B$1515,$D$4,College_Data!$D$2:$D$1515,$D$6,College_Data!$E$2:$E$1515,$D$7,College_Data!$F$2:$F$1515,$D$8)/C39,0)</f>
        <v>40436.224149433</v>
      </c>
      <c r="H39" s="15" t="n">
        <f aca="false">IFERROR(SUMIFS(College_Data!$J$2:$J$1515,College_Data!$C$2:$C$1515,$B39,College_Data!$B$2:$B$1515,$D$4,College_Data!$D$2:$D$1515,$D$6,College_Data!$E$2:$E$1515,$D$7,College_Data!$F$2:$F$1515,$D$8)/C39,0)</f>
        <v>422451.200800534</v>
      </c>
      <c r="J39" s="13" t="s">
        <v>45</v>
      </c>
      <c r="K39" s="14" t="n">
        <f aca="false">SUMIFS(College_Data!$G$2:$G$1515,College_Data!$B$2:$B$1515,$J39,College_Data!$C$2:$C$1515,$D$5,College_Data!$D$2:$D$1515,$D$6,College_Data!$E$2:$E$1515,$D$7,College_Data!$F$2:$F$1515,$D$8)</f>
        <v>1395</v>
      </c>
      <c r="L39" s="15" t="n">
        <f aca="false">IFERROR(SUMIFS(College_Data!$K$2:$K$1515,College_Data!$B$2:$B$1515,$J39,College_Data!$C$2:$C$1515,$D$5,College_Data!$D$2:$D$1515,$D$6,College_Data!$E$2:$E$1515,$D$7,College_Data!$F$2:$F$1515,$D$8)/K39,0)</f>
        <v>-39821.146953405</v>
      </c>
      <c r="M39" s="16" t="n">
        <f aca="false">IFERROR(SUMIFS(College_Data!$L$2:$L$1515,College_Data!$B$2:$B$1515,$J39,College_Data!$C$2:$C$1515,$D$5,College_Data!$D$2:$D$1515,$D$6,College_Data!$E$2:$E$1515,$D$7,College_Data!$F$2:$F$1515,$D$8)/K39,0)</f>
        <v>0.111111111111111</v>
      </c>
    </row>
    <row r="40" customFormat="false" ht="15" hidden="false" customHeight="false" outlineLevel="0" collapsed="false">
      <c r="B40" s="13" t="s">
        <v>52</v>
      </c>
      <c r="C40" s="14" t="n">
        <f aca="false">SUMIFS(College_Data!$G$2:$G$1515,College_Data!$C$2:$C$1515,$B40,College_Data!$B$2:$B$1515,$D$4,College_Data!$D$2:$D$1515,$D$6,College_Data!$E$2:$E$1515,$D$7,College_Data!$F$2:$F$1515,$D$8)</f>
        <v>10258</v>
      </c>
      <c r="D40" s="15" t="n">
        <f aca="false">IFERROR(SUMIFS(College_Data!$K$2:$K$1515,College_Data!$C$2:$C$1515,$B40,College_Data!$B$2:$B$1515,$D$4,College_Data!$D$2:$D$1515,$D$6,College_Data!$E$2:$E$1515,$D$7,College_Data!$F$2:$F$1515,$D$8)/C40,0)</f>
        <v>278175.229089491</v>
      </c>
      <c r="E40" s="16" t="n">
        <f aca="false">IFERROR(SUMIFS(College_Data!$L$2:$L$1515,College_Data!$C$2:$C$1515,$B40,College_Data!$B$2:$B$1515,$D$4,College_Data!$D$2:$D$1515,$D$6,College_Data!$E$2:$E$1515,$D$7,College_Data!$F$2:$F$1515,$D$8)/C40,0)</f>
        <v>0.852602846558783</v>
      </c>
      <c r="F40" s="15" t="n">
        <f aca="false">IFERROR(SUMIFS(College_Data!$H$2:$H$1515,College_Data!$C$2:$C$1515,$B40,College_Data!$B$2:$B$1515,$D$4,College_Data!$D$2:$D$1515,$D$6,College_Data!$E$2:$E$1515,$D$7,College_Data!$F$2:$F$1515,$D$8)/C40,0)</f>
        <v>84645.671670891</v>
      </c>
      <c r="G40" s="15" t="n">
        <f aca="false">IFERROR(SUMIFS(College_Data!$I$2:$I$1515,College_Data!$C$2:$C$1515,$B40,College_Data!$B$2:$B$1515,$D$4,College_Data!$D$2:$D$1515,$D$6,College_Data!$E$2:$E$1515,$D$7,College_Data!$F$2:$F$1515,$D$8)/C40,0)</f>
        <v>36543.819457984</v>
      </c>
      <c r="H40" s="15" t="n">
        <f aca="false">IFERROR(SUMIFS(College_Data!$J$2:$J$1515,College_Data!$C$2:$C$1515,$B40,College_Data!$B$2:$B$1515,$D$4,College_Data!$D$2:$D$1515,$D$6,College_Data!$E$2:$E$1515,$D$7,College_Data!$F$2:$F$1515,$D$8)/C40,0)</f>
        <v>362820.306102554</v>
      </c>
      <c r="J40" s="13" t="s">
        <v>26</v>
      </c>
      <c r="K40" s="14" t="n">
        <f aca="false">SUMIFS(College_Data!$G$2:$G$1515,College_Data!$B$2:$B$1515,$J40,College_Data!$C$2:$C$1515,$D$5,College_Data!$D$2:$D$1515,$D$6,College_Data!$E$2:$E$1515,$D$7,College_Data!$F$2:$F$1515,$D$8)</f>
        <v>8361</v>
      </c>
      <c r="L40" s="15" t="n">
        <f aca="false">IFERROR(SUMIFS(College_Data!$K$2:$K$1515,College_Data!$B$2:$B$1515,$J40,College_Data!$C$2:$C$1515,$D$5,College_Data!$D$2:$D$1515,$D$6,College_Data!$E$2:$E$1515,$D$7,College_Data!$F$2:$F$1515,$D$8)/K40,0)</f>
        <v>346099.366104533</v>
      </c>
      <c r="M40" s="16" t="n">
        <f aca="false">IFERROR(SUMIFS(College_Data!$L$2:$L$1515,College_Data!$B$2:$B$1515,$J40,College_Data!$C$2:$C$1515,$D$5,College_Data!$D$2:$D$1515,$D$6,College_Data!$E$2:$E$1515,$D$7,College_Data!$F$2:$F$1515,$D$8)/K40,0)</f>
        <v>0.984332017701232</v>
      </c>
    </row>
    <row r="41" customFormat="false" ht="15" hidden="false" customHeight="false" outlineLevel="0" collapsed="false">
      <c r="B41" s="13" t="s">
        <v>53</v>
      </c>
      <c r="C41" s="14" t="n">
        <f aca="false">SUMIFS(College_Data!$G$2:$G$1515,College_Data!$C$2:$C$1515,$B41,College_Data!$B$2:$B$1515,$D$4,College_Data!$D$2:$D$1515,$D$6,College_Data!$E$2:$E$1515,$D$7,College_Data!$F$2:$F$1515,$D$8)</f>
        <v>9060</v>
      </c>
      <c r="D41" s="15" t="n">
        <f aca="false">IFERROR(SUMIFS(College_Data!$K$2:$K$1515,College_Data!$C$2:$C$1515,$B41,College_Data!$B$2:$B$1515,$D$4,College_Data!$D$2:$D$1515,$D$6,College_Data!$E$2:$E$1515,$D$7,College_Data!$F$2:$F$1515,$D$8)/C41,0)</f>
        <v>244432.726269316</v>
      </c>
      <c r="E41" s="16" t="n">
        <f aca="false">IFERROR(SUMIFS(College_Data!$L$2:$L$1515,College_Data!$C$2:$C$1515,$B41,College_Data!$B$2:$B$1515,$D$4,College_Data!$D$2:$D$1515,$D$6,College_Data!$E$2:$E$1515,$D$7,College_Data!$F$2:$F$1515,$D$8)/C41,0)</f>
        <v>0.874834437086093</v>
      </c>
      <c r="F41" s="15" t="n">
        <f aca="false">IFERROR(SUMIFS(College_Data!$H$2:$H$1515,College_Data!$C$2:$C$1515,$B41,College_Data!$B$2:$B$1515,$D$4,College_Data!$D$2:$D$1515,$D$6,College_Data!$E$2:$E$1515,$D$7,College_Data!$F$2:$F$1515,$D$8)/C41,0)</f>
        <v>65321.710816777</v>
      </c>
      <c r="G41" s="15" t="n">
        <f aca="false">IFERROR(SUMIFS(College_Data!$I$2:$I$1515,College_Data!$C$2:$C$1515,$B41,College_Data!$B$2:$B$1515,$D$4,College_Data!$D$2:$D$1515,$D$6,College_Data!$E$2:$E$1515,$D$7,College_Data!$F$2:$F$1515,$D$8)/C41,0)</f>
        <v>28602.1633554084</v>
      </c>
      <c r="H41" s="15" t="n">
        <f aca="false">IFERROR(SUMIFS(College_Data!$J$2:$J$1515,College_Data!$C$2:$C$1515,$B41,College_Data!$B$2:$B$1515,$D$4,College_Data!$D$2:$D$1515,$D$6,College_Data!$E$2:$E$1515,$D$7,College_Data!$F$2:$F$1515,$D$8)/C41,0)</f>
        <v>309754.701986755</v>
      </c>
      <c r="J41" s="13" t="s">
        <v>40</v>
      </c>
      <c r="K41" s="14" t="n">
        <f aca="false">SUMIFS(College_Data!$G$2:$G$1515,College_Data!$B$2:$B$1515,$J41,College_Data!$C$2:$C$1515,$D$5,College_Data!$D$2:$D$1515,$D$6,College_Data!$E$2:$E$1515,$D$7,College_Data!$F$2:$F$1515,$D$8)</f>
        <v>1352</v>
      </c>
      <c r="L41" s="15" t="n">
        <f aca="false">IFERROR(SUMIFS(College_Data!$K$2:$K$1515,College_Data!$B$2:$B$1515,$J41,College_Data!$C$2:$C$1515,$D$5,College_Data!$D$2:$D$1515,$D$6,College_Data!$E$2:$E$1515,$D$7,College_Data!$F$2:$F$1515,$D$8)/K41,0)</f>
        <v>11547.8550295858</v>
      </c>
      <c r="M41" s="16" t="n">
        <f aca="false">IFERROR(SUMIFS(College_Data!$L$2:$L$1515,College_Data!$B$2:$B$1515,$J41,College_Data!$C$2:$C$1515,$D$5,College_Data!$D$2:$D$1515,$D$6,College_Data!$E$2:$E$1515,$D$7,College_Data!$F$2:$F$1515,$D$8)/K41,0)</f>
        <v>0.581360946745562</v>
      </c>
    </row>
    <row r="42" customFormat="false" ht="15" hidden="false" customHeight="false" outlineLevel="0" collapsed="false">
      <c r="B42" s="13" t="s">
        <v>54</v>
      </c>
      <c r="C42" s="14" t="n">
        <f aca="false">SUMIFS(College_Data!$G$2:$G$1515,College_Data!$C$2:$C$1515,$B42,College_Data!$B$2:$B$1515,$D$4,College_Data!$D$2:$D$1515,$D$6,College_Data!$E$2:$E$1515,$D$7,College_Data!$F$2:$F$1515,$D$8)</f>
        <v>2934</v>
      </c>
      <c r="D42" s="15" t="n">
        <f aca="false">IFERROR(SUMIFS(College_Data!$K$2:$K$1515,College_Data!$C$2:$C$1515,$B42,College_Data!$B$2:$B$1515,$D$4,College_Data!$D$2:$D$1515,$D$6,College_Data!$E$2:$E$1515,$D$7,College_Data!$F$2:$F$1515,$D$8)/C42,0)</f>
        <v>102769.665985003</v>
      </c>
      <c r="E42" s="16" t="n">
        <f aca="false">IFERROR(SUMIFS(College_Data!$L$2:$L$1515,College_Data!$C$2:$C$1515,$B42,College_Data!$B$2:$B$1515,$D$4,College_Data!$D$2:$D$1515,$D$6,College_Data!$E$2:$E$1515,$D$7,College_Data!$F$2:$F$1515,$D$8)/C42,0)</f>
        <v>0.631561008861622</v>
      </c>
      <c r="F42" s="15" t="n">
        <f aca="false">IFERROR(SUMIFS(College_Data!$H$2:$H$1515,College_Data!$C$2:$C$1515,$B42,College_Data!$B$2:$B$1515,$D$4,College_Data!$D$2:$D$1515,$D$6,College_Data!$E$2:$E$1515,$D$7,College_Data!$F$2:$F$1515,$D$8)/C42,0)</f>
        <v>119694.921608725</v>
      </c>
      <c r="G42" s="15" t="n">
        <f aca="false">IFERROR(SUMIFS(College_Data!$I$2:$I$1515,College_Data!$C$2:$C$1515,$B42,College_Data!$B$2:$B$1515,$D$4,College_Data!$D$2:$D$1515,$D$6,College_Data!$E$2:$E$1515,$D$7,College_Data!$F$2:$F$1515,$D$8)/C42,0)</f>
        <v>51477.8800272665</v>
      </c>
      <c r="H42" s="15" t="n">
        <f aca="false">IFERROR(SUMIFS(College_Data!$J$2:$J$1515,College_Data!$C$2:$C$1515,$B42,College_Data!$B$2:$B$1515,$D$4,College_Data!$D$2:$D$1515,$D$6,College_Data!$E$2:$E$1515,$D$7,College_Data!$F$2:$F$1515,$D$8)/C42,0)</f>
        <v>222465.337423313</v>
      </c>
      <c r="J42" s="13" t="s">
        <v>34</v>
      </c>
      <c r="K42" s="14" t="n">
        <f aca="false">SUMIFS(College_Data!$G$2:$G$1515,College_Data!$B$2:$B$1515,$J42,College_Data!$C$2:$C$1515,$D$5,College_Data!$D$2:$D$1515,$D$6,College_Data!$E$2:$E$1515,$D$7,College_Data!$F$2:$F$1515,$D$8)</f>
        <v>1589</v>
      </c>
      <c r="L42" s="15" t="n">
        <f aca="false">IFERROR(SUMIFS(College_Data!$K$2:$K$1515,College_Data!$B$2:$B$1515,$J42,College_Data!$C$2:$C$1515,$D$5,College_Data!$D$2:$D$1515,$D$6,College_Data!$E$2:$E$1515,$D$7,College_Data!$F$2:$F$1515,$D$8)/K42,0)</f>
        <v>350828.82315922</v>
      </c>
      <c r="M42" s="16" t="n">
        <f aca="false">IFERROR(SUMIFS(College_Data!$L$2:$L$1515,College_Data!$B$2:$B$1515,$J42,College_Data!$C$2:$C$1515,$D$5,College_Data!$D$2:$D$1515,$D$6,College_Data!$E$2:$E$1515,$D$7,College_Data!$F$2:$F$1515,$D$8)/K42,0)</f>
        <v>0.991818753933291</v>
      </c>
    </row>
    <row r="43" customFormat="false" ht="15" hidden="false" customHeight="false" outlineLevel="0" collapsed="false">
      <c r="J43" s="13" t="s">
        <v>43</v>
      </c>
      <c r="K43" s="14" t="n">
        <f aca="false">SUMIFS(College_Data!$G$2:$G$1515,College_Data!$B$2:$B$1515,$J43,College_Data!$C$2:$C$1515,$D$5,College_Data!$D$2:$D$1515,$D$6,College_Data!$E$2:$E$1515,$D$7,College_Data!$F$2:$F$1515,$D$8)</f>
        <v>1410</v>
      </c>
      <c r="L43" s="15" t="n">
        <f aca="false">IFERROR(SUMIFS(College_Data!$K$2:$K$1515,College_Data!$B$2:$B$1515,$J43,College_Data!$C$2:$C$1515,$D$5,College_Data!$D$2:$D$1515,$D$6,College_Data!$E$2:$E$1515,$D$7,College_Data!$F$2:$F$1515,$D$8)/K43,0)</f>
        <v>-13321.2056737589</v>
      </c>
      <c r="M43" s="16" t="n">
        <f aca="false">IFERROR(SUMIFS(College_Data!$L$2:$L$1515,College_Data!$B$2:$B$1515,$J43,College_Data!$C$2:$C$1515,$D$5,College_Data!$D$2:$D$1515,$D$6,College_Data!$E$2:$E$1515,$D$7,College_Data!$F$2:$F$1515,$D$8)/K43,0)</f>
        <v>0.375886524822695</v>
      </c>
    </row>
    <row r="44" customFormat="false" ht="15" hidden="false" customHeight="false" outlineLevel="0" collapsed="false">
      <c r="J44" s="13" t="s">
        <v>38</v>
      </c>
      <c r="K44" s="14" t="n">
        <f aca="false">SUMIFS(College_Data!$G$2:$G$1515,College_Data!$B$2:$B$1515,$J44,College_Data!$C$2:$C$1515,$D$5,College_Data!$D$2:$D$1515,$D$6,College_Data!$E$2:$E$1515,$D$7,College_Data!$F$2:$F$1515,$D$8)</f>
        <v>5989</v>
      </c>
      <c r="L44" s="15" t="n">
        <f aca="false">IFERROR(SUMIFS(College_Data!$K$2:$K$1515,College_Data!$B$2:$B$1515,$J44,College_Data!$C$2:$C$1515,$D$5,College_Data!$D$2:$D$1515,$D$6,College_Data!$E$2:$E$1515,$D$7,College_Data!$F$2:$F$1515,$D$8)/K44,0)</f>
        <v>31064.0173651695</v>
      </c>
      <c r="M44" s="16" t="n">
        <f aca="false">IFERROR(SUMIFS(College_Data!$L$2:$L$1515,College_Data!$B$2:$B$1515,$J44,College_Data!$C$2:$C$1515,$D$5,College_Data!$D$2:$D$1515,$D$6,College_Data!$E$2:$E$1515,$D$7,College_Data!$F$2:$F$1515,$D$8)/K44,0)</f>
        <v>0.668559024878945</v>
      </c>
    </row>
    <row r="81" customFormat="false" ht="15" hidden="false" customHeight="false" outlineLevel="0" collapsed="false">
      <c r="J81" s="4" t="s">
        <v>55</v>
      </c>
    </row>
    <row r="82" customFormat="false" ht="30" hidden="false" customHeight="true" outlineLevel="0" collapsed="false">
      <c r="J82" s="12" t="s">
        <v>8</v>
      </c>
      <c r="K82" s="12" t="s">
        <v>56</v>
      </c>
      <c r="L82" s="12" t="s">
        <v>18</v>
      </c>
      <c r="M82" s="12" t="s">
        <v>19</v>
      </c>
      <c r="N82" s="17" t="s">
        <v>57</v>
      </c>
    </row>
    <row r="83" customFormat="false" ht="15" hidden="false" customHeight="false" outlineLevel="0" collapsed="false">
      <c r="J83" s="13" t="s">
        <v>58</v>
      </c>
      <c r="K83" s="13" t="s">
        <v>58</v>
      </c>
      <c r="L83" s="14" t="n">
        <f aca="false">SUMIFS(College_Data!$G$2:$G$1515,College_Data!$E$2:$E$1515,$J83,College_Data!$F$2:$F$1515,$K83,College_Data!$B$2:$B$1515,$D$4,College_Data!$C$2:$C$1515,$D$5,College_Data!$D$2:$D$1515,$D$6)</f>
        <v>5374</v>
      </c>
      <c r="M83" s="15" t="n">
        <f aca="false">IFERROR(SUMIFS(College_Data!$K$2:$K$1515,College_Data!$E$2:$E$1515,$J83,College_Data!$F$2:$F$1515,$K83,College_Data!$B$2:$B$1515,$D$4,College_Data!$C$2:$C$1515,$D$5,College_Data!$D$2:$D$1515,$D$6)/L83,0)</f>
        <v>184150.837365091</v>
      </c>
      <c r="N83" s="13" t="str">
        <f aca="false">J83&amp;" / "&amp;K83</f>
        <v>No / No</v>
      </c>
    </row>
    <row r="84" customFormat="false" ht="15" hidden="false" customHeight="false" outlineLevel="0" collapsed="false">
      <c r="B84" s="5" t="s">
        <v>59</v>
      </c>
      <c r="J84" s="13" t="s">
        <v>58</v>
      </c>
      <c r="K84" s="13" t="s">
        <v>60</v>
      </c>
      <c r="L84" s="14" t="n">
        <f aca="false">SUMIFS(College_Data!$G$2:$G$1515,College_Data!$E$2:$E$1515,$J84,College_Data!$F$2:$F$1515,$K84,College_Data!$B$2:$B$1515,$D$4,College_Data!$C$2:$C$1515,$D$5,College_Data!$D$2:$D$1515,$D$6)</f>
        <v>11544</v>
      </c>
      <c r="M84" s="15" t="n">
        <f aca="false">IFERROR(SUMIFS(College_Data!$K$2:$K$1515,College_Data!$E$2:$E$1515,$J84,College_Data!$F$2:$F$1515,$K84,College_Data!$B$2:$B$1515,$D$4,College_Data!$C$2:$C$1515,$D$5,College_Data!$D$2:$D$1515,$D$6)/L84,0)</f>
        <v>246502.564102564</v>
      </c>
      <c r="N84" s="13" t="str">
        <f aca="false">J84&amp;" / "&amp;K84</f>
        <v>No / Yes</v>
      </c>
    </row>
    <row r="85" customFormat="false" ht="15" hidden="false" customHeight="false" outlineLevel="0" collapsed="false">
      <c r="J85" s="13" t="s">
        <v>60</v>
      </c>
      <c r="K85" s="13" t="s">
        <v>58</v>
      </c>
      <c r="L85" s="14" t="n">
        <f aca="false">SUMIFS(College_Data!$G$2:$G$1515,College_Data!$E$2:$E$1515,$J85,College_Data!$F$2:$F$1515,$K85,College_Data!$B$2:$B$1515,$D$4,College_Data!$C$2:$C$1515,$D$5,College_Data!$D$2:$D$1515,$D$6)</f>
        <v>4155</v>
      </c>
      <c r="M85" s="15" t="n">
        <f aca="false">IFERROR(SUMIFS(College_Data!$K$2:$K$1515,College_Data!$E$2:$E$1515,$J85,College_Data!$F$2:$F$1515,$K85,College_Data!$B$2:$B$1515,$D$4,College_Data!$C$2:$C$1515,$D$5,College_Data!$D$2:$D$1515,$D$6)/L85,0)</f>
        <v>274605.655836342</v>
      </c>
      <c r="N85" s="13" t="str">
        <f aca="false">J85&amp;" / "&amp;K85</f>
        <v>Yes / No</v>
      </c>
    </row>
    <row r="86" customFormat="false" ht="15" hidden="false" customHeight="false" outlineLevel="0" collapsed="false">
      <c r="J86" s="13" t="s">
        <v>60</v>
      </c>
      <c r="K86" s="13" t="s">
        <v>60</v>
      </c>
      <c r="L86" s="14" t="n">
        <f aca="false">SUMIFS(College_Data!$G$2:$G$1515,College_Data!$E$2:$E$1515,$J86,College_Data!$F$2:$F$1515,$K86,College_Data!$B$2:$B$1515,$D$4,College_Data!$C$2:$C$1515,$D$5,College_Data!$D$2:$D$1515,$D$6)</f>
        <v>8927</v>
      </c>
      <c r="M86" s="15" t="n">
        <f aca="false">IFERROR(SUMIFS(College_Data!$K$2:$K$1515,College_Data!$E$2:$E$1515,$J86,College_Data!$F$2:$F$1515,$K86,College_Data!$B$2:$B$1515,$D$4,College_Data!$C$2:$C$1515,$D$5,College_Data!$D$2:$D$1515,$D$6)/L86,0)</f>
        <v>339349.479108323</v>
      </c>
      <c r="N86" s="13" t="str">
        <f aca="false">J86&amp;" / "&amp;K86</f>
        <v>Yes / Yes</v>
      </c>
    </row>
  </sheetData>
  <dataValidations count="5">
    <dataValidation allowBlank="false" errorStyle="stop" operator="between" showDropDown="false" showErrorMessage="false" showInputMessage="false" sqref="C4" type="list">
      <formula1>"All,STEM,arts,business,education,health,humanities,social_science"</formula1>
      <formula2>0</formula2>
    </dataValidation>
    <dataValidation allowBlank="false" errorStyle="stop" operator="between" showDropDown="false" showErrorMessage="false" showInputMessage="false" sqref="C5" type="list">
      <formula1>"All,ivy_elite,top_public,mid_tier,regional,for_profit"</formula1>
      <formula2>0</formula2>
    </dataValidation>
    <dataValidation allowBlank="false" errorStyle="stop" operator="between" showDropDown="false" showErrorMessage="false" showInputMessage="false" sqref="C6" type="list">
      <formula1>"All,midwest,northeast,south,west"</formula1>
      <formula2>0</formula2>
    </dataValidation>
    <dataValidation allowBlank="false" errorStyle="stop" operator="between" showDropDown="false" showErrorMessage="false" showInputMessage="false" sqref="C7" type="list">
      <formula1>"All,Yes,No"</formula1>
      <formula2>0</formula2>
    </dataValidation>
    <dataValidation allowBlank="false" errorStyle="stop" operator="between" showDropDown="false" showErrorMessage="false" showInputMessage="false" sqref="C8" type="list">
      <formula1>"All,Yes,No"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8" min="3" style="0" width="15"/>
    <col collapsed="false" customWidth="true" hidden="false" outlineLevel="0" max="9" min="9" style="0" width="4"/>
    <col collapsed="false" customWidth="true" hidden="false" outlineLevel="0" max="19" min="10" style="0" width="15"/>
  </cols>
  <sheetData>
    <row r="1" customFormat="false" ht="30" hidden="false" customHeight="true" outlineLevel="0" collapsed="false">
      <c r="B1" s="1" t="s">
        <v>61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B2" s="3" t="s">
        <v>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B3" s="4" t="s">
        <v>2</v>
      </c>
      <c r="D3" s="5" t="s">
        <v>3</v>
      </c>
    </row>
    <row r="4" customFormat="false" ht="15" hidden="false" customHeight="false" outlineLevel="0" collapsed="false">
      <c r="B4" s="6" t="s">
        <v>63</v>
      </c>
      <c r="C4" s="7" t="s">
        <v>5</v>
      </c>
      <c r="D4" s="5" t="str">
        <f aca="false">IF(C4="All","*",C4)</f>
        <v>*</v>
      </c>
    </row>
    <row r="5" customFormat="false" ht="15" hidden="false" customHeight="false" outlineLevel="0" collapsed="false">
      <c r="B5" s="6" t="s">
        <v>64</v>
      </c>
      <c r="C5" s="7" t="s">
        <v>5</v>
      </c>
      <c r="D5" s="5" t="str">
        <f aca="false">IF(C5="All","*",C5)</f>
        <v>*</v>
      </c>
    </row>
    <row r="6" customFormat="false" ht="15" hidden="false" customHeight="false" outlineLevel="0" collapsed="false">
      <c r="B6" s="6" t="s">
        <v>65</v>
      </c>
      <c r="C6" s="7" t="s">
        <v>5</v>
      </c>
      <c r="D6" s="5" t="str">
        <f aca="false">IF(C6="All","*",C6)</f>
        <v>*</v>
      </c>
    </row>
    <row r="7" customFormat="false" ht="15" hidden="false" customHeight="false" outlineLevel="0" collapsed="false">
      <c r="B7" s="6" t="s">
        <v>66</v>
      </c>
      <c r="C7" s="7" t="s">
        <v>5</v>
      </c>
      <c r="D7" s="5" t="str">
        <f aca="false">IF(C7="All","*",C7)</f>
        <v>*</v>
      </c>
    </row>
    <row r="10" customFormat="false" ht="15" hidden="false" customHeight="false" outlineLevel="0" collapsed="false">
      <c r="B10" s="8" t="s">
        <v>67</v>
      </c>
      <c r="C10" s="8" t="s">
        <v>68</v>
      </c>
      <c r="D10" s="8" t="s">
        <v>69</v>
      </c>
      <c r="E10" s="8" t="s">
        <v>70</v>
      </c>
      <c r="F10" s="8" t="s">
        <v>71</v>
      </c>
      <c r="G10" s="8" t="s">
        <v>72</v>
      </c>
    </row>
    <row r="11" customFormat="false" ht="31.5" hidden="false" customHeight="true" outlineLevel="0" collapsed="false">
      <c r="B11" s="9" t="n">
        <f aca="false">COUNTIFS(AI_Data!$E$2:$E$2001,$D$4,AI_Data!$H$2:$H$2001,$D$5,AI_Data!$I$2:$I$2001,$D$6,AI_Data!$O$2:$O$2001,$D$7)</f>
        <v>2000</v>
      </c>
      <c r="C11" s="11" t="n">
        <f aca="false">IFERROR(COUNTIFS(AI_Data!$E$2:$E$2001,$D$4,AI_Data!$H$2:$H$2001,$D$5,AI_Data!$I$2:$I$2001,$D$6,AI_Data!$O$2:$O$2001,$D$7,AI_Data!$M$2:$M$2001,"Replaced")/COUNTIFS(AI_Data!$E$2:$E$2001,$D$4,AI_Data!$H$2:$H$2001,$D$5,AI_Data!$I$2:$I$2001,$D$6,AI_Data!$O$2:$O$2001,$D$7),0)</f>
        <v>0.053</v>
      </c>
      <c r="D11" s="11" t="n">
        <f aca="false">IFERROR(COUNTIFS(AI_Data!$E$2:$E$2001,$D$4,AI_Data!$H$2:$H$2001,$D$5,AI_Data!$I$2:$I$2001,$D$6,AI_Data!$O$2:$O$2001,$D$7,AI_Data!$M$2:$M$2001,"Modified")/COUNTIFS(AI_Data!$E$2:$E$2001,$D$4,AI_Data!$H$2:$H$2001,$D$5,AI_Data!$I$2:$I$2001,$D$6,AI_Data!$O$2:$O$2001,$D$7),0)</f>
        <v>0.4005</v>
      </c>
      <c r="E11" s="11" t="n">
        <f aca="false">IFERROR(AVERAGEIFS(AI_Data!$R$2:$R$2001,AI_Data!$E$2:$E$2001,$D$4,AI_Data!$H$2:$H$2001,$D$5,AI_Data!$I$2:$I$2001,$D$6,AI_Data!$O$2:$O$2001,$D$7),0)</f>
        <v>0.0604614374303073</v>
      </c>
      <c r="F11" s="18" t="n">
        <f aca="false">IFERROR(AVERAGEIFS(AI_Data!$Q$2:$Q$2001,AI_Data!$E$2:$E$2001,$D$4,AI_Data!$H$2:$H$2001,$D$5,AI_Data!$I$2:$I$2001,$D$6,AI_Data!$O$2:$O$2001,$D$7),0)</f>
        <v>9.78582</v>
      </c>
      <c r="G11" s="18" t="n">
        <f aca="false">IFERROR(AVERAGEIFS(AI_Data!$P$2:$P$2001,AI_Data!$E$2:$E$2001,$D$4,AI_Data!$H$2:$H$2001,$D$5,AI_Data!$I$2:$I$2001,$D$6,AI_Data!$O$2:$O$2001,$D$7),0)</f>
        <v>6.0205</v>
      </c>
    </row>
    <row r="13" customFormat="false" ht="15" hidden="false" customHeight="false" outlineLevel="0" collapsed="false">
      <c r="B13" s="4" t="s">
        <v>73</v>
      </c>
    </row>
    <row r="14" customFormat="false" ht="30" hidden="false" customHeight="true" outlineLevel="0" collapsed="false">
      <c r="B14" s="12" t="s">
        <v>64</v>
      </c>
      <c r="C14" s="12" t="s">
        <v>74</v>
      </c>
      <c r="D14" s="12" t="s">
        <v>75</v>
      </c>
      <c r="E14" s="12" t="s">
        <v>76</v>
      </c>
      <c r="F14" s="12" t="s">
        <v>77</v>
      </c>
      <c r="G14" s="12" t="s">
        <v>78</v>
      </c>
      <c r="H14" s="12" t="s">
        <v>79</v>
      </c>
    </row>
    <row r="15" customFormat="false" ht="15" hidden="false" customHeight="false" outlineLevel="0" collapsed="false">
      <c r="B15" s="13" t="s">
        <v>80</v>
      </c>
      <c r="C15" s="14" t="n">
        <f aca="false">COUNTIFS(AI_Data!$E$2:$E$2001,$D$4,AI_Data!$I$2:$I$2001,$D$6,AI_Data!$O$2:$O$2001,$D$7,AI_Data!$H$2:$H$2001,$B15)</f>
        <v>618</v>
      </c>
      <c r="D15" s="16" t="n">
        <f aca="false">IFERROR(COUNTIFS(AI_Data!$E$2:$E$2001,$D$4,AI_Data!$I$2:$I$2001,$D$6,AI_Data!$O$2:$O$2001,$D$7,AI_Data!$H$2:$H$2001,$B15,AI_Data!$M$2:$M$2001,"Unchanged")/COUNTIFS(AI_Data!$E$2:$E$2001,$D$4,AI_Data!$I$2:$I$2001,$D$6,AI_Data!$O$2:$O$2001,$D$7,AI_Data!$H$2:$H$2001,$B15),0)</f>
        <v>0.647249190938511</v>
      </c>
      <c r="E15" s="16" t="n">
        <f aca="false">IFERROR(COUNTIFS(AI_Data!$E$2:$E$2001,$D$4,AI_Data!$I$2:$I$2001,$D$6,AI_Data!$O$2:$O$2001,$D$7,AI_Data!$H$2:$H$2001,$B15,AI_Data!$M$2:$M$2001,"Modified")/COUNTIFS(AI_Data!$E$2:$E$2001,$D$4,AI_Data!$I$2:$I$2001,$D$6,AI_Data!$O$2:$O$2001,$D$7,AI_Data!$H$2:$H$2001,$B15),0)</f>
        <v>0.352750809061489</v>
      </c>
      <c r="F15" s="16" t="n">
        <f aca="false">IFERROR(COUNTIFS(AI_Data!$E$2:$E$2001,$D$4,AI_Data!$I$2:$I$2001,$D$6,AI_Data!$O$2:$O$2001,$D$7,AI_Data!$H$2:$H$2001,$B15,AI_Data!$M$2:$M$2001,"Replaced")/COUNTIFS(AI_Data!$E$2:$E$2001,$D$4,AI_Data!$I$2:$I$2001,$D$6,AI_Data!$O$2:$O$2001,$D$7,AI_Data!$H$2:$H$2001,$B15),0)</f>
        <v>0</v>
      </c>
      <c r="G15" s="19" t="n">
        <f aca="false">IFERROR(AVERAGEIFS(AI_Data!$Q$2:$Q$2001,AI_Data!$E$2:$E$2001,$D$4,AI_Data!$I$2:$I$2001,$D$6,AI_Data!$O$2:$O$2001,$D$7,AI_Data!$H$2:$H$2001,$B15),0)</f>
        <v>8.03126213592233</v>
      </c>
      <c r="H15" s="19" t="n">
        <f aca="false">IFERROR(AVERAGEIFS(AI_Data!$P$2:$P$2001,AI_Data!$E$2:$E$2001,$D$4,AI_Data!$I$2:$I$2001,$D$6,AI_Data!$O$2:$O$2001,$D$7,AI_Data!$H$2:$H$2001,$B15),0)</f>
        <v>6.04692556634304</v>
      </c>
    </row>
    <row r="16" customFormat="false" ht="15" hidden="false" customHeight="false" outlineLevel="0" collapsed="false">
      <c r="B16" s="13" t="s">
        <v>81</v>
      </c>
      <c r="C16" s="14" t="n">
        <f aca="false">COUNTIFS(AI_Data!$E$2:$E$2001,$D$4,AI_Data!$I$2:$I$2001,$D$6,AI_Data!$O$2:$O$2001,$D$7,AI_Data!$H$2:$H$2001,$B16)</f>
        <v>677</v>
      </c>
      <c r="D16" s="16" t="n">
        <f aca="false">IFERROR(COUNTIFS(AI_Data!$E$2:$E$2001,$D$4,AI_Data!$I$2:$I$2001,$D$6,AI_Data!$O$2:$O$2001,$D$7,AI_Data!$H$2:$H$2001,$B16,AI_Data!$M$2:$M$2001,"Unchanged")/COUNTIFS(AI_Data!$E$2:$E$2001,$D$4,AI_Data!$I$2:$I$2001,$D$6,AI_Data!$O$2:$O$2001,$D$7,AI_Data!$H$2:$H$2001,$B16),0)</f>
        <v>0.689807976366322</v>
      </c>
      <c r="E16" s="16" t="n">
        <f aca="false">IFERROR(COUNTIFS(AI_Data!$E$2:$E$2001,$D$4,AI_Data!$I$2:$I$2001,$D$6,AI_Data!$O$2:$O$2001,$D$7,AI_Data!$H$2:$H$2001,$B16,AI_Data!$M$2:$M$2001,"Modified")/COUNTIFS(AI_Data!$E$2:$E$2001,$D$4,AI_Data!$I$2:$I$2001,$D$6,AI_Data!$O$2:$O$2001,$D$7,AI_Data!$H$2:$H$2001,$B16),0)</f>
        <v>0.310192023633678</v>
      </c>
      <c r="F16" s="16" t="n">
        <f aca="false">IFERROR(COUNTIFS(AI_Data!$E$2:$E$2001,$D$4,AI_Data!$I$2:$I$2001,$D$6,AI_Data!$O$2:$O$2001,$D$7,AI_Data!$H$2:$H$2001,$B16,AI_Data!$M$2:$M$2001,"Replaced")/COUNTIFS(AI_Data!$E$2:$E$2001,$D$4,AI_Data!$I$2:$I$2001,$D$6,AI_Data!$O$2:$O$2001,$D$7,AI_Data!$H$2:$H$2001,$B16),0)</f>
        <v>0</v>
      </c>
      <c r="G16" s="19" t="n">
        <f aca="false">IFERROR(AVERAGEIFS(AI_Data!$Q$2:$Q$2001,AI_Data!$E$2:$E$2001,$D$4,AI_Data!$I$2:$I$2001,$D$6,AI_Data!$O$2:$O$2001,$D$7,AI_Data!$H$2:$H$2001,$B16),0)</f>
        <v>10.1745790251108</v>
      </c>
      <c r="H16" s="19" t="n">
        <f aca="false">IFERROR(AVERAGEIFS(AI_Data!$P$2:$P$2001,AI_Data!$E$2:$E$2001,$D$4,AI_Data!$I$2:$I$2001,$D$6,AI_Data!$O$2:$O$2001,$D$7,AI_Data!$H$2:$H$2001,$B16),0)</f>
        <v>5.98670605612999</v>
      </c>
    </row>
    <row r="17" customFormat="false" ht="15" hidden="false" customHeight="false" outlineLevel="0" collapsed="false">
      <c r="B17" s="13" t="s">
        <v>82</v>
      </c>
      <c r="C17" s="14" t="n">
        <f aca="false">COUNTIFS(AI_Data!$E$2:$E$2001,$D$4,AI_Data!$I$2:$I$2001,$D$6,AI_Data!$O$2:$O$2001,$D$7,AI_Data!$H$2:$H$2001,$B17)</f>
        <v>705</v>
      </c>
      <c r="D17" s="16" t="n">
        <f aca="false">IFERROR(COUNTIFS(AI_Data!$E$2:$E$2001,$D$4,AI_Data!$I$2:$I$2001,$D$6,AI_Data!$O$2:$O$2001,$D$7,AI_Data!$H$2:$H$2001,$B17,AI_Data!$M$2:$M$2001,"Unchanged")/COUNTIFS(AI_Data!$E$2:$E$2001,$D$4,AI_Data!$I$2:$I$2001,$D$6,AI_Data!$O$2:$O$2001,$D$7,AI_Data!$H$2:$H$2001,$B17),0)</f>
        <v>0.320567375886525</v>
      </c>
      <c r="E17" s="16" t="n">
        <f aca="false">IFERROR(COUNTIFS(AI_Data!$E$2:$E$2001,$D$4,AI_Data!$I$2:$I$2001,$D$6,AI_Data!$O$2:$O$2001,$D$7,AI_Data!$H$2:$H$2001,$B17,AI_Data!$M$2:$M$2001,"Modified")/COUNTIFS(AI_Data!$E$2:$E$2001,$D$4,AI_Data!$I$2:$I$2001,$D$6,AI_Data!$O$2:$O$2001,$D$7,AI_Data!$H$2:$H$2001,$B17),0)</f>
        <v>0.529078014184397</v>
      </c>
      <c r="F17" s="16" t="n">
        <f aca="false">IFERROR(COUNTIFS(AI_Data!$E$2:$E$2001,$D$4,AI_Data!$I$2:$I$2001,$D$6,AI_Data!$O$2:$O$2001,$D$7,AI_Data!$H$2:$H$2001,$B17,AI_Data!$M$2:$M$2001,"Replaced")/COUNTIFS(AI_Data!$E$2:$E$2001,$D$4,AI_Data!$I$2:$I$2001,$D$6,AI_Data!$O$2:$O$2001,$D$7,AI_Data!$H$2:$H$2001,$B17),0)</f>
        <v>0.150354609929078</v>
      </c>
      <c r="G17" s="19" t="n">
        <f aca="false">IFERROR(AVERAGEIFS(AI_Data!$Q$2:$Q$2001,AI_Data!$E$2:$E$2001,$D$4,AI_Data!$I$2:$I$2001,$D$6,AI_Data!$O$2:$O$2001,$D$7,AI_Data!$H$2:$H$2001,$B17),0)</f>
        <v>10.9505390070922</v>
      </c>
      <c r="H17" s="19" t="n">
        <f aca="false">IFERROR(AVERAGEIFS(AI_Data!$P$2:$P$2001,AI_Data!$E$2:$E$2001,$D$4,AI_Data!$I$2:$I$2001,$D$6,AI_Data!$O$2:$O$2001,$D$7,AI_Data!$H$2:$H$2001,$B17),0)</f>
        <v>6.02978723404255</v>
      </c>
    </row>
    <row r="20" customFormat="false" ht="15" hidden="false" customHeight="false" outlineLevel="0" collapsed="false">
      <c r="B20" s="4" t="s">
        <v>83</v>
      </c>
    </row>
    <row r="21" customFormat="false" ht="30" hidden="false" customHeight="true" outlineLevel="0" collapsed="false">
      <c r="B21" s="12" t="s">
        <v>63</v>
      </c>
      <c r="C21" s="12" t="s">
        <v>74</v>
      </c>
      <c r="D21" s="12" t="s">
        <v>77</v>
      </c>
      <c r="E21" s="12" t="s">
        <v>84</v>
      </c>
      <c r="F21" s="12" t="s">
        <v>85</v>
      </c>
      <c r="G21" s="12" t="s">
        <v>86</v>
      </c>
      <c r="H21" s="12" t="s">
        <v>78</v>
      </c>
    </row>
    <row r="22" customFormat="false" ht="15" hidden="false" customHeight="false" outlineLevel="0" collapsed="false">
      <c r="B22" s="13" t="s">
        <v>87</v>
      </c>
      <c r="C22" s="14" t="n">
        <f aca="false">COUNTIFS(AI_Data!$H$2:$H$2001,$D$5,AI_Data!$I$2:$I$2001,$D$6,AI_Data!$O$2:$O$2001,$D$7,AI_Data!$E$2:$E$2001,$B22)</f>
        <v>293</v>
      </c>
      <c r="D22" s="16" t="n">
        <f aca="false">IFERROR(COUNTIFS(AI_Data!$H$2:$H$2001,$D$5,AI_Data!$I$2:$I$2001,$D$6,AI_Data!$O$2:$O$2001,$D$7,AI_Data!$E$2:$E$2001,$B22,AI_Data!$M$2:$M$2001,"Replaced")/COUNTIFS(AI_Data!$H$2:$H$2001,$D$5,AI_Data!$I$2:$I$2001,$D$6,AI_Data!$O$2:$O$2001,$D$7,AI_Data!$E$2:$E$2001,$B22),0)</f>
        <v>0.0614334470989761</v>
      </c>
      <c r="E22" s="15" t="n">
        <f aca="false">IFERROR(AVERAGEIFS(AI_Data!$K$2:$K$2001,AI_Data!$H$2:$H$2001,$D$5,AI_Data!$I$2:$I$2001,$D$6,AI_Data!$O$2:$O$2001,$D$7,AI_Data!$E$2:$E$2001,$B22),0)</f>
        <v>73839.2081911263</v>
      </c>
      <c r="F22" s="15" t="n">
        <f aca="false">IFERROR(AVERAGEIFS(AI_Data!$L$2:$L$2001,AI_Data!$H$2:$H$2001,$D$5,AI_Data!$I$2:$I$2001,$D$6,AI_Data!$O$2:$O$2001,$D$7,AI_Data!$E$2:$E$2001,$B22),0)</f>
        <v>78322.7372013652</v>
      </c>
      <c r="G22" s="16" t="n">
        <f aca="false">IFERROR(AVERAGEIFS(AI_Data!$R$2:$R$2001,AI_Data!$H$2:$H$2001,$D$5,AI_Data!$I$2:$I$2001,$D$6,AI_Data!$O$2:$O$2001,$D$7,AI_Data!$E$2:$E$2001,$B22),0)</f>
        <v>0.0606322350770874</v>
      </c>
      <c r="H22" s="19" t="n">
        <f aca="false">IFERROR(AVERAGEIFS(AI_Data!$Q$2:$Q$2001,AI_Data!$H$2:$H$2001,$D$5,AI_Data!$I$2:$I$2001,$D$6,AI_Data!$O$2:$O$2001,$D$7,AI_Data!$E$2:$E$2001,$B22),0)</f>
        <v>10.0145051194539</v>
      </c>
    </row>
    <row r="23" customFormat="false" ht="15" hidden="false" customHeight="false" outlineLevel="0" collapsed="false">
      <c r="B23" s="13" t="s">
        <v>88</v>
      </c>
      <c r="C23" s="14" t="n">
        <f aca="false">COUNTIFS(AI_Data!$H$2:$H$2001,$D$5,AI_Data!$I$2:$I$2001,$D$6,AI_Data!$O$2:$O$2001,$D$7,AI_Data!$E$2:$E$2001,$B23)</f>
        <v>300</v>
      </c>
      <c r="D23" s="16" t="n">
        <f aca="false">IFERROR(COUNTIFS(AI_Data!$H$2:$H$2001,$D$5,AI_Data!$I$2:$I$2001,$D$6,AI_Data!$O$2:$O$2001,$D$7,AI_Data!$E$2:$E$2001,$B23,AI_Data!$M$2:$M$2001,"Replaced")/COUNTIFS(AI_Data!$H$2:$H$2001,$D$5,AI_Data!$I$2:$I$2001,$D$6,AI_Data!$O$2:$O$2001,$D$7,AI_Data!$E$2:$E$2001,$B23),0)</f>
        <v>0.06</v>
      </c>
      <c r="E23" s="15" t="n">
        <f aca="false">IFERROR(AVERAGEIFS(AI_Data!$K$2:$K$2001,AI_Data!$H$2:$H$2001,$D$5,AI_Data!$I$2:$I$2001,$D$6,AI_Data!$O$2:$O$2001,$D$7,AI_Data!$E$2:$E$2001,$B23),0)</f>
        <v>72531.7033333333</v>
      </c>
      <c r="F23" s="15" t="n">
        <f aca="false">IFERROR(AVERAGEIFS(AI_Data!$L$2:$L$2001,AI_Data!$H$2:$H$2001,$D$5,AI_Data!$I$2:$I$2001,$D$6,AI_Data!$O$2:$O$2001,$D$7,AI_Data!$E$2:$E$2001,$B23),0)</f>
        <v>76106.4333333333</v>
      </c>
      <c r="G23" s="16" t="n">
        <f aca="false">IFERROR(AVERAGEIFS(AI_Data!$R$2:$R$2001,AI_Data!$H$2:$H$2001,$D$5,AI_Data!$I$2:$I$2001,$D$6,AI_Data!$O$2:$O$2001,$D$7,AI_Data!$E$2:$E$2001,$B23),0)</f>
        <v>0.0523306515876915</v>
      </c>
      <c r="H23" s="19" t="n">
        <f aca="false">IFERROR(AVERAGEIFS(AI_Data!$Q$2:$Q$2001,AI_Data!$H$2:$H$2001,$D$5,AI_Data!$I$2:$I$2001,$D$6,AI_Data!$O$2:$O$2001,$D$7,AI_Data!$E$2:$E$2001,$B23),0)</f>
        <v>9.56576666666667</v>
      </c>
    </row>
    <row r="24" customFormat="false" ht="15" hidden="false" customHeight="false" outlineLevel="0" collapsed="false">
      <c r="B24" s="13" t="s">
        <v>89</v>
      </c>
      <c r="C24" s="14" t="n">
        <f aca="false">COUNTIFS(AI_Data!$H$2:$H$2001,$D$5,AI_Data!$I$2:$I$2001,$D$6,AI_Data!$O$2:$O$2001,$D$7,AI_Data!$E$2:$E$2001,$B24)</f>
        <v>270</v>
      </c>
      <c r="D24" s="16" t="n">
        <f aca="false">IFERROR(COUNTIFS(AI_Data!$H$2:$H$2001,$D$5,AI_Data!$I$2:$I$2001,$D$6,AI_Data!$O$2:$O$2001,$D$7,AI_Data!$E$2:$E$2001,$B24,AI_Data!$M$2:$M$2001,"Replaced")/COUNTIFS(AI_Data!$H$2:$H$2001,$D$5,AI_Data!$I$2:$I$2001,$D$6,AI_Data!$O$2:$O$2001,$D$7,AI_Data!$E$2:$E$2001,$B24),0)</f>
        <v>0.0407407407407407</v>
      </c>
      <c r="E24" s="15" t="n">
        <f aca="false">IFERROR(AVERAGEIFS(AI_Data!$K$2:$K$2001,AI_Data!$H$2:$H$2001,$D$5,AI_Data!$I$2:$I$2001,$D$6,AI_Data!$O$2:$O$2001,$D$7,AI_Data!$E$2:$E$2001,$B24),0)</f>
        <v>73128.737037037</v>
      </c>
      <c r="F24" s="15" t="n">
        <f aca="false">IFERROR(AVERAGEIFS(AI_Data!$L$2:$L$2001,AI_Data!$H$2:$H$2001,$D$5,AI_Data!$I$2:$I$2001,$D$6,AI_Data!$O$2:$O$2001,$D$7,AI_Data!$E$2:$E$2001,$B24),0)</f>
        <v>78702.0296296296</v>
      </c>
      <c r="G24" s="16" t="n">
        <f aca="false">IFERROR(AVERAGEIFS(AI_Data!$R$2:$R$2001,AI_Data!$H$2:$H$2001,$D$5,AI_Data!$I$2:$I$2001,$D$6,AI_Data!$O$2:$O$2001,$D$7,AI_Data!$E$2:$E$2001,$B24),0)</f>
        <v>0.0759166115641078</v>
      </c>
      <c r="H24" s="19" t="n">
        <f aca="false">IFERROR(AVERAGEIFS(AI_Data!$Q$2:$Q$2001,AI_Data!$H$2:$H$2001,$D$5,AI_Data!$I$2:$I$2001,$D$6,AI_Data!$O$2:$O$2001,$D$7,AI_Data!$E$2:$E$2001,$B24),0)</f>
        <v>9.30725925925926</v>
      </c>
    </row>
    <row r="25" customFormat="false" ht="15" hidden="false" customHeight="false" outlineLevel="0" collapsed="false">
      <c r="B25" s="13" t="s">
        <v>90</v>
      </c>
      <c r="C25" s="14" t="n">
        <f aca="false">COUNTIFS(AI_Data!$H$2:$H$2001,$D$5,AI_Data!$I$2:$I$2001,$D$6,AI_Data!$O$2:$O$2001,$D$7,AI_Data!$E$2:$E$2001,$B25)</f>
        <v>298</v>
      </c>
      <c r="D25" s="16" t="n">
        <f aca="false">IFERROR(COUNTIFS(AI_Data!$H$2:$H$2001,$D$5,AI_Data!$I$2:$I$2001,$D$6,AI_Data!$O$2:$O$2001,$D$7,AI_Data!$E$2:$E$2001,$B25,AI_Data!$M$2:$M$2001,"Replaced")/COUNTIFS(AI_Data!$H$2:$H$2001,$D$5,AI_Data!$I$2:$I$2001,$D$6,AI_Data!$O$2:$O$2001,$D$7,AI_Data!$E$2:$E$2001,$B25),0)</f>
        <v>0.0536912751677852</v>
      </c>
      <c r="E25" s="15" t="n">
        <f aca="false">IFERROR(AVERAGEIFS(AI_Data!$K$2:$K$2001,AI_Data!$H$2:$H$2001,$D$5,AI_Data!$I$2:$I$2001,$D$6,AI_Data!$O$2:$O$2001,$D$7,AI_Data!$E$2:$E$2001,$B25),0)</f>
        <v>74847.3791946309</v>
      </c>
      <c r="F25" s="15" t="n">
        <f aca="false">IFERROR(AVERAGEIFS(AI_Data!$L$2:$L$2001,AI_Data!$H$2:$H$2001,$D$5,AI_Data!$I$2:$I$2001,$D$6,AI_Data!$O$2:$O$2001,$D$7,AI_Data!$E$2:$E$2001,$B25),0)</f>
        <v>79551.5973154362</v>
      </c>
      <c r="G25" s="16" t="n">
        <f aca="false">IFERROR(AVERAGEIFS(AI_Data!$R$2:$R$2001,AI_Data!$H$2:$H$2001,$D$5,AI_Data!$I$2:$I$2001,$D$6,AI_Data!$O$2:$O$2001,$D$7,AI_Data!$E$2:$E$2001,$B25),0)</f>
        <v>0.0622576428581907</v>
      </c>
      <c r="H25" s="19" t="n">
        <f aca="false">IFERROR(AVERAGEIFS(AI_Data!$Q$2:$Q$2001,AI_Data!$H$2:$H$2001,$D$5,AI_Data!$I$2:$I$2001,$D$6,AI_Data!$O$2:$O$2001,$D$7,AI_Data!$E$2:$E$2001,$B25),0)</f>
        <v>9.06107382550336</v>
      </c>
    </row>
    <row r="26" customFormat="false" ht="15" hidden="false" customHeight="false" outlineLevel="0" collapsed="false">
      <c r="B26" s="13" t="s">
        <v>91</v>
      </c>
      <c r="C26" s="14" t="n">
        <f aca="false">COUNTIFS(AI_Data!$H$2:$H$2001,$D$5,AI_Data!$I$2:$I$2001,$D$6,AI_Data!$O$2:$O$2001,$D$7,AI_Data!$E$2:$E$2001,$B26)</f>
        <v>295</v>
      </c>
      <c r="D26" s="16" t="n">
        <f aca="false">IFERROR(COUNTIFS(AI_Data!$H$2:$H$2001,$D$5,AI_Data!$I$2:$I$2001,$D$6,AI_Data!$O$2:$O$2001,$D$7,AI_Data!$E$2:$E$2001,$B26,AI_Data!$M$2:$M$2001,"Replaced")/COUNTIFS(AI_Data!$H$2:$H$2001,$D$5,AI_Data!$I$2:$I$2001,$D$6,AI_Data!$O$2:$O$2001,$D$7,AI_Data!$E$2:$E$2001,$B26),0)</f>
        <v>0.0372881355932203</v>
      </c>
      <c r="E26" s="15" t="n">
        <f aca="false">IFERROR(AVERAGEIFS(AI_Data!$K$2:$K$2001,AI_Data!$H$2:$H$2001,$D$5,AI_Data!$I$2:$I$2001,$D$6,AI_Data!$O$2:$O$2001,$D$7,AI_Data!$E$2:$E$2001,$B26),0)</f>
        <v>74792.2949152542</v>
      </c>
      <c r="F26" s="15" t="n">
        <f aca="false">IFERROR(AVERAGEIFS(AI_Data!$L$2:$L$2001,AI_Data!$H$2:$H$2001,$D$5,AI_Data!$I$2:$I$2001,$D$6,AI_Data!$O$2:$O$2001,$D$7,AI_Data!$E$2:$E$2001,$B26),0)</f>
        <v>78489.9389830508</v>
      </c>
      <c r="G26" s="16" t="n">
        <f aca="false">IFERROR(AVERAGEIFS(AI_Data!$R$2:$R$2001,AI_Data!$H$2:$H$2001,$D$5,AI_Data!$I$2:$I$2001,$D$6,AI_Data!$O$2:$O$2001,$D$7,AI_Data!$E$2:$E$2001,$B26),0)</f>
        <v>0.0469666086601081</v>
      </c>
      <c r="H26" s="19" t="n">
        <f aca="false">IFERROR(AVERAGEIFS(AI_Data!$Q$2:$Q$2001,AI_Data!$H$2:$H$2001,$D$5,AI_Data!$I$2:$I$2001,$D$6,AI_Data!$O$2:$O$2001,$D$7,AI_Data!$E$2:$E$2001,$B26),0)</f>
        <v>10.6973898305085</v>
      </c>
    </row>
    <row r="27" customFormat="false" ht="15" hidden="false" customHeight="false" outlineLevel="0" collapsed="false">
      <c r="B27" s="13" t="s">
        <v>92</v>
      </c>
      <c r="C27" s="14" t="n">
        <f aca="false">COUNTIFS(AI_Data!$H$2:$H$2001,$D$5,AI_Data!$I$2:$I$2001,$D$6,AI_Data!$O$2:$O$2001,$D$7,AI_Data!$E$2:$E$2001,$B27)</f>
        <v>273</v>
      </c>
      <c r="D27" s="16" t="n">
        <f aca="false">IFERROR(COUNTIFS(AI_Data!$H$2:$H$2001,$D$5,AI_Data!$I$2:$I$2001,$D$6,AI_Data!$O$2:$O$2001,$D$7,AI_Data!$E$2:$E$2001,$B27,AI_Data!$M$2:$M$2001,"Replaced")/COUNTIFS(AI_Data!$H$2:$H$2001,$D$5,AI_Data!$I$2:$I$2001,$D$6,AI_Data!$O$2:$O$2001,$D$7,AI_Data!$E$2:$E$2001,$B27),0)</f>
        <v>0.0695970695970696</v>
      </c>
      <c r="E27" s="15" t="n">
        <f aca="false">IFERROR(AVERAGEIFS(AI_Data!$K$2:$K$2001,AI_Data!$H$2:$H$2001,$D$5,AI_Data!$I$2:$I$2001,$D$6,AI_Data!$O$2:$O$2001,$D$7,AI_Data!$E$2:$E$2001,$B27),0)</f>
        <v>73196.4981684982</v>
      </c>
      <c r="F27" s="15" t="n">
        <f aca="false">IFERROR(AVERAGEIFS(AI_Data!$L$2:$L$2001,AI_Data!$H$2:$H$2001,$D$5,AI_Data!$I$2:$I$2001,$D$6,AI_Data!$O$2:$O$2001,$D$7,AI_Data!$E$2:$E$2001,$B27),0)</f>
        <v>77597.7289377289</v>
      </c>
      <c r="G27" s="16" t="n">
        <f aca="false">IFERROR(AVERAGEIFS(AI_Data!$R$2:$R$2001,AI_Data!$H$2:$H$2001,$D$5,AI_Data!$I$2:$I$2001,$D$6,AI_Data!$O$2:$O$2001,$D$7,AI_Data!$E$2:$E$2001,$B27),0)</f>
        <v>0.0608025120110327</v>
      </c>
      <c r="H27" s="19" t="n">
        <f aca="false">IFERROR(AVERAGEIFS(AI_Data!$Q$2:$Q$2001,AI_Data!$H$2:$H$2001,$D$5,AI_Data!$I$2:$I$2001,$D$6,AI_Data!$O$2:$O$2001,$D$7,AI_Data!$E$2:$E$2001,$B27),0)</f>
        <v>10.3325274725275</v>
      </c>
    </row>
    <row r="28" customFormat="false" ht="15" hidden="false" customHeight="false" outlineLevel="0" collapsed="false">
      <c r="B28" s="13" t="s">
        <v>93</v>
      </c>
      <c r="C28" s="14" t="n">
        <f aca="false">COUNTIFS(AI_Data!$H$2:$H$2001,$D$5,AI_Data!$I$2:$I$2001,$D$6,AI_Data!$O$2:$O$2001,$D$7,AI_Data!$E$2:$E$2001,$B28)</f>
        <v>271</v>
      </c>
      <c r="D28" s="16" t="n">
        <f aca="false">IFERROR(COUNTIFS(AI_Data!$H$2:$H$2001,$D$5,AI_Data!$I$2:$I$2001,$D$6,AI_Data!$O$2:$O$2001,$D$7,AI_Data!$E$2:$E$2001,$B28,AI_Data!$M$2:$M$2001,"Replaced")/COUNTIFS(AI_Data!$H$2:$H$2001,$D$5,AI_Data!$I$2:$I$2001,$D$6,AI_Data!$O$2:$O$2001,$D$7,AI_Data!$E$2:$E$2001,$B28),0)</f>
        <v>0.0479704797047971</v>
      </c>
      <c r="E28" s="15" t="n">
        <f aca="false">IFERROR(AVERAGEIFS(AI_Data!$K$2:$K$2001,AI_Data!$H$2:$H$2001,$D$5,AI_Data!$I$2:$I$2001,$D$6,AI_Data!$O$2:$O$2001,$D$7,AI_Data!$E$2:$E$2001,$B28),0)</f>
        <v>75254.9704797048</v>
      </c>
      <c r="F28" s="15" t="n">
        <f aca="false">IFERROR(AVERAGEIFS(AI_Data!$L$2:$L$2001,AI_Data!$H$2:$H$2001,$D$5,AI_Data!$I$2:$I$2001,$D$6,AI_Data!$O$2:$O$2001,$D$7,AI_Data!$E$2:$E$2001,$B28),0)</f>
        <v>80376.963099631</v>
      </c>
      <c r="G28" s="16" t="n">
        <f aca="false">IFERROR(AVERAGEIFS(AI_Data!$R$2:$R$2001,AI_Data!$H$2:$H$2001,$D$5,AI_Data!$I$2:$I$2001,$D$6,AI_Data!$O$2:$O$2001,$D$7,AI_Data!$E$2:$E$2001,$B28),0)</f>
        <v>0.0662506881141211</v>
      </c>
      <c r="H28" s="19" t="n">
        <f aca="false">IFERROR(AVERAGEIFS(AI_Data!$Q$2:$Q$2001,AI_Data!$H$2:$H$2001,$D$5,AI_Data!$I$2:$I$2001,$D$6,AI_Data!$O$2:$O$2001,$D$7,AI_Data!$E$2:$E$2001,$B28),0)</f>
        <v>9.51287822878229</v>
      </c>
    </row>
    <row r="30" customFormat="false" ht="15" hidden="false" customHeight="false" outlineLevel="0" collapsed="false">
      <c r="B30" s="4" t="s">
        <v>94</v>
      </c>
    </row>
    <row r="31" customFormat="false" ht="30" hidden="false" customHeight="true" outlineLevel="0" collapsed="false">
      <c r="B31" s="12" t="s">
        <v>65</v>
      </c>
      <c r="C31" s="12" t="s">
        <v>74</v>
      </c>
      <c r="D31" s="12" t="s">
        <v>75</v>
      </c>
      <c r="E31" s="12" t="s">
        <v>76</v>
      </c>
      <c r="F31" s="12" t="s">
        <v>77</v>
      </c>
    </row>
    <row r="32" customFormat="false" ht="15" hidden="false" customHeight="false" outlineLevel="0" collapsed="false">
      <c r="B32" s="13" t="s">
        <v>80</v>
      </c>
      <c r="C32" s="14" t="n">
        <f aca="false">COUNTIFS(AI_Data!$E$2:$E$2001,$D$4,AI_Data!$H$2:$H$2001,$D$5,AI_Data!$O$2:$O$2001,$D$7,AI_Data!$I$2:$I$2001,$B32)</f>
        <v>650</v>
      </c>
      <c r="D32" s="16" t="n">
        <f aca="false">IFERROR(COUNTIFS(AI_Data!$E$2:$E$2001,$D$4,AI_Data!$H$2:$H$2001,$D$5,AI_Data!$O$2:$O$2001,$D$7,AI_Data!$I$2:$I$2001,$B32,AI_Data!$M$2:$M$2001,"Unchanged")/COUNTIFS(AI_Data!$E$2:$E$2001,$D$4,AI_Data!$H$2:$H$2001,$D$5,AI_Data!$O$2:$O$2001,$D$7,AI_Data!$I$2:$I$2001,$B32),0)</f>
        <v>1</v>
      </c>
      <c r="E32" s="16" t="n">
        <f aca="false">IFERROR(COUNTIFS(AI_Data!$E$2:$E$2001,$D$4,AI_Data!$H$2:$H$2001,$D$5,AI_Data!$O$2:$O$2001,$D$7,AI_Data!$I$2:$I$2001,$B32,AI_Data!$M$2:$M$2001,"Modified")/COUNTIFS(AI_Data!$E$2:$E$2001,$D$4,AI_Data!$H$2:$H$2001,$D$5,AI_Data!$O$2:$O$2001,$D$7,AI_Data!$I$2:$I$2001,$B32),0)</f>
        <v>0</v>
      </c>
      <c r="F32" s="16" t="n">
        <f aca="false">IFERROR(COUNTIFS(AI_Data!$E$2:$E$2001,$D$4,AI_Data!$H$2:$H$2001,$D$5,AI_Data!$O$2:$O$2001,$D$7,AI_Data!$I$2:$I$2001,$B32,AI_Data!$M$2:$M$2001,"Replaced")/COUNTIFS(AI_Data!$E$2:$E$2001,$D$4,AI_Data!$H$2:$H$2001,$D$5,AI_Data!$O$2:$O$2001,$D$7,AI_Data!$I$2:$I$2001,$B32),0)</f>
        <v>0</v>
      </c>
    </row>
    <row r="33" customFormat="false" ht="15" hidden="false" customHeight="false" outlineLevel="0" collapsed="false">
      <c r="B33" s="13" t="s">
        <v>81</v>
      </c>
      <c r="C33" s="14" t="n">
        <f aca="false">COUNTIFS(AI_Data!$E$2:$E$2001,$D$4,AI_Data!$H$2:$H$2001,$D$5,AI_Data!$O$2:$O$2001,$D$7,AI_Data!$I$2:$I$2001,$B33)</f>
        <v>668</v>
      </c>
      <c r="D33" s="16" t="n">
        <f aca="false">IFERROR(COUNTIFS(AI_Data!$E$2:$E$2001,$D$4,AI_Data!$H$2:$H$2001,$D$5,AI_Data!$O$2:$O$2001,$D$7,AI_Data!$I$2:$I$2001,$B33,AI_Data!$M$2:$M$2001,"Unchanged")/COUNTIFS(AI_Data!$E$2:$E$2001,$D$4,AI_Data!$H$2:$H$2001,$D$5,AI_Data!$O$2:$O$2001,$D$7,AI_Data!$I$2:$I$2001,$B33),0)</f>
        <v>0</v>
      </c>
      <c r="E33" s="16" t="n">
        <f aca="false">IFERROR(COUNTIFS(AI_Data!$E$2:$E$2001,$D$4,AI_Data!$H$2:$H$2001,$D$5,AI_Data!$O$2:$O$2001,$D$7,AI_Data!$I$2:$I$2001,$B33,AI_Data!$M$2:$M$2001,"Modified")/COUNTIFS(AI_Data!$E$2:$E$2001,$D$4,AI_Data!$H$2:$H$2001,$D$5,AI_Data!$O$2:$O$2001,$D$7,AI_Data!$I$2:$I$2001,$B33),0)</f>
        <v>1</v>
      </c>
      <c r="F33" s="16" t="n">
        <f aca="false">IFERROR(COUNTIFS(AI_Data!$E$2:$E$2001,$D$4,AI_Data!$H$2:$H$2001,$D$5,AI_Data!$O$2:$O$2001,$D$7,AI_Data!$I$2:$I$2001,$B33,AI_Data!$M$2:$M$2001,"Replaced")/COUNTIFS(AI_Data!$E$2:$E$2001,$D$4,AI_Data!$H$2:$H$2001,$D$5,AI_Data!$O$2:$O$2001,$D$7,AI_Data!$I$2:$I$2001,$B33),0)</f>
        <v>0</v>
      </c>
    </row>
    <row r="34" customFormat="false" ht="15" hidden="false" customHeight="false" outlineLevel="0" collapsed="false">
      <c r="B34" s="13" t="s">
        <v>82</v>
      </c>
      <c r="C34" s="14" t="n">
        <f aca="false">COUNTIFS(AI_Data!$E$2:$E$2001,$D$4,AI_Data!$H$2:$H$2001,$D$5,AI_Data!$O$2:$O$2001,$D$7,AI_Data!$I$2:$I$2001,$B34)</f>
        <v>682</v>
      </c>
      <c r="D34" s="16" t="n">
        <f aca="false">IFERROR(COUNTIFS(AI_Data!$E$2:$E$2001,$D$4,AI_Data!$H$2:$H$2001,$D$5,AI_Data!$O$2:$O$2001,$D$7,AI_Data!$I$2:$I$2001,$B34,AI_Data!$M$2:$M$2001,"Unchanged")/COUNTIFS(AI_Data!$E$2:$E$2001,$D$4,AI_Data!$H$2:$H$2001,$D$5,AI_Data!$O$2:$O$2001,$D$7,AI_Data!$I$2:$I$2001,$B34),0)</f>
        <v>0.649560117302053</v>
      </c>
      <c r="E34" s="16" t="n">
        <f aca="false">IFERROR(COUNTIFS(AI_Data!$E$2:$E$2001,$D$4,AI_Data!$H$2:$H$2001,$D$5,AI_Data!$O$2:$O$2001,$D$7,AI_Data!$I$2:$I$2001,$B34,AI_Data!$M$2:$M$2001,"Modified")/COUNTIFS(AI_Data!$E$2:$E$2001,$D$4,AI_Data!$H$2:$H$2001,$D$5,AI_Data!$O$2:$O$2001,$D$7,AI_Data!$I$2:$I$2001,$B34),0)</f>
        <v>0.195014662756598</v>
      </c>
      <c r="F34" s="16" t="n">
        <f aca="false">IFERROR(COUNTIFS(AI_Data!$E$2:$E$2001,$D$4,AI_Data!$H$2:$H$2001,$D$5,AI_Data!$O$2:$O$2001,$D$7,AI_Data!$I$2:$I$2001,$B34,AI_Data!$M$2:$M$2001,"Replaced")/COUNTIFS(AI_Data!$E$2:$E$2001,$D$4,AI_Data!$H$2:$H$2001,$D$5,AI_Data!$O$2:$O$2001,$D$7,AI_Data!$I$2:$I$2001,$B34),0)</f>
        <v>0.155425219941349</v>
      </c>
    </row>
    <row r="73" customFormat="false" ht="15" hidden="false" customHeight="false" outlineLevel="0" collapsed="false">
      <c r="B73" s="5" t="s">
        <v>95</v>
      </c>
    </row>
  </sheetData>
  <dataValidations count="4">
    <dataValidation allowBlank="false" errorStyle="stop" operator="between" showDropDown="false" showErrorMessage="false" showInputMessage="false" sqref="C4" type="list">
      <formula1>"All,Education,Finance,Healthcare,IT,Manufacturing,Marketing,Retail"</formula1>
      <formula2>0</formula2>
    </dataValidation>
    <dataValidation allowBlank="false" errorStyle="stop" operator="between" showDropDown="false" showErrorMessage="false" showInputMessage="false" sqref="C5" type="list">
      <formula1>"All,Low,Medium,High"</formula1>
      <formula2>0</formula2>
    </dataValidation>
    <dataValidation allowBlank="false" errorStyle="stop" operator="between" showDropDown="false" showErrorMessage="false" showInputMessage="false" sqref="C6" type="list">
      <formula1>"All,Low,Medium,High"</formula1>
      <formula2>0</formula2>
    </dataValidation>
    <dataValidation allowBlank="false" errorStyle="stop" operator="between" showDropDown="false" showErrorMessage="false" showInputMessage="false" sqref="C7" type="list">
      <formula1>"All,Yes,No"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8"/>
  </cols>
  <sheetData>
    <row r="1" customFormat="false" ht="15" hidden="false" customHeight="false" outlineLevel="0" collapsed="false">
      <c r="A1" s="17" t="s">
        <v>96</v>
      </c>
      <c r="B1" s="17" t="s">
        <v>97</v>
      </c>
      <c r="C1" s="17" t="s">
        <v>98</v>
      </c>
      <c r="D1" s="17" t="s">
        <v>99</v>
      </c>
      <c r="E1" s="17" t="s">
        <v>100</v>
      </c>
      <c r="F1" s="17" t="s">
        <v>101</v>
      </c>
      <c r="G1" s="17" t="s">
        <v>102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  <c r="P1" s="5" t="s">
        <v>110</v>
      </c>
    </row>
    <row r="2" customFormat="false" ht="15" hidden="false" customHeight="false" outlineLevel="0" collapsed="false">
      <c r="A2" s="6" t="s">
        <v>36</v>
      </c>
      <c r="B2" s="6" t="s">
        <v>24</v>
      </c>
      <c r="C2" s="6" t="s">
        <v>54</v>
      </c>
      <c r="D2" s="6" t="s">
        <v>111</v>
      </c>
      <c r="E2" s="6" t="s">
        <v>58</v>
      </c>
      <c r="F2" s="6" t="s">
        <v>58</v>
      </c>
      <c r="G2" s="6" t="n">
        <v>6</v>
      </c>
      <c r="H2" s="6" t="n">
        <v>750300</v>
      </c>
      <c r="I2" s="6" t="n">
        <v>362400</v>
      </c>
      <c r="J2" s="6" t="n">
        <v>886800</v>
      </c>
      <c r="K2" s="6" t="n">
        <v>136500</v>
      </c>
      <c r="L2" s="6" t="n">
        <v>4</v>
      </c>
      <c r="M2" s="6" t="n">
        <v>0</v>
      </c>
      <c r="N2" s="6" t="n">
        <v>136.4</v>
      </c>
    </row>
    <row r="3" customFormat="false" ht="15" hidden="false" customHeight="false" outlineLevel="0" collapsed="false">
      <c r="A3" s="6" t="s">
        <v>36</v>
      </c>
      <c r="B3" s="6" t="s">
        <v>24</v>
      </c>
      <c r="C3" s="6" t="s">
        <v>54</v>
      </c>
      <c r="D3" s="6" t="s">
        <v>111</v>
      </c>
      <c r="E3" s="6" t="s">
        <v>58</v>
      </c>
      <c r="F3" s="6" t="s">
        <v>60</v>
      </c>
      <c r="G3" s="6" t="n">
        <v>21</v>
      </c>
      <c r="H3" s="6" t="n">
        <v>2026100</v>
      </c>
      <c r="I3" s="6" t="n">
        <v>816800</v>
      </c>
      <c r="J3" s="6" t="n">
        <v>2983200</v>
      </c>
      <c r="K3" s="6" t="n">
        <v>957100</v>
      </c>
      <c r="L3" s="6" t="n">
        <v>17</v>
      </c>
      <c r="M3" s="6" t="n">
        <v>0</v>
      </c>
      <c r="N3" s="6" t="n">
        <v>1053.2</v>
      </c>
    </row>
    <row r="4" customFormat="false" ht="15" hidden="false" customHeight="false" outlineLevel="0" collapsed="false">
      <c r="A4" s="6" t="s">
        <v>36</v>
      </c>
      <c r="B4" s="6" t="s">
        <v>24</v>
      </c>
      <c r="C4" s="6" t="s">
        <v>54</v>
      </c>
      <c r="D4" s="6" t="s">
        <v>111</v>
      </c>
      <c r="E4" s="6" t="s">
        <v>60</v>
      </c>
      <c r="F4" s="6" t="s">
        <v>58</v>
      </c>
      <c r="G4" s="6" t="n">
        <v>2</v>
      </c>
      <c r="H4" s="6" t="n">
        <v>305300</v>
      </c>
      <c r="I4" s="6" t="n">
        <v>0</v>
      </c>
      <c r="J4" s="6" t="n">
        <v>297500</v>
      </c>
      <c r="K4" s="6" t="n">
        <v>-7800</v>
      </c>
      <c r="L4" s="6" t="n">
        <v>1</v>
      </c>
      <c r="M4" s="6" t="n">
        <v>0</v>
      </c>
      <c r="N4" s="6" t="n">
        <v>-12.3</v>
      </c>
    </row>
    <row r="5" customFormat="false" ht="15" hidden="false" customHeight="false" outlineLevel="0" collapsed="false">
      <c r="A5" s="6" t="s">
        <v>36</v>
      </c>
      <c r="B5" s="6" t="s">
        <v>24</v>
      </c>
      <c r="C5" s="6" t="s">
        <v>54</v>
      </c>
      <c r="D5" s="6" t="s">
        <v>111</v>
      </c>
      <c r="E5" s="6" t="s">
        <v>60</v>
      </c>
      <c r="F5" s="6" t="s">
        <v>60</v>
      </c>
      <c r="G5" s="6" t="n">
        <v>12</v>
      </c>
      <c r="H5" s="6" t="n">
        <v>1207900</v>
      </c>
      <c r="I5" s="6" t="n">
        <v>494300</v>
      </c>
      <c r="J5" s="6" t="n">
        <v>1956000</v>
      </c>
      <c r="K5" s="6" t="n">
        <v>748000</v>
      </c>
      <c r="L5" s="6" t="n">
        <v>10</v>
      </c>
      <c r="M5" s="6" t="n">
        <v>0</v>
      </c>
      <c r="N5" s="6" t="n">
        <v>821.6</v>
      </c>
    </row>
    <row r="6" customFormat="false" ht="15" hidden="false" customHeight="false" outlineLevel="0" collapsed="false">
      <c r="A6" s="6" t="s">
        <v>36</v>
      </c>
      <c r="B6" s="6" t="s">
        <v>24</v>
      </c>
      <c r="C6" s="6" t="s">
        <v>54</v>
      </c>
      <c r="D6" s="6" t="s">
        <v>112</v>
      </c>
      <c r="E6" s="6" t="s">
        <v>58</v>
      </c>
      <c r="F6" s="6" t="s">
        <v>58</v>
      </c>
      <c r="G6" s="6" t="n">
        <v>17</v>
      </c>
      <c r="H6" s="6" t="n">
        <v>2361700</v>
      </c>
      <c r="I6" s="6" t="n">
        <v>1052200</v>
      </c>
      <c r="J6" s="6" t="n">
        <v>2191500</v>
      </c>
      <c r="K6" s="6" t="n">
        <v>-170500</v>
      </c>
      <c r="L6" s="6" t="n">
        <v>6</v>
      </c>
      <c r="M6" s="6" t="n">
        <v>0</v>
      </c>
      <c r="N6" s="6" t="n">
        <v>-74.7</v>
      </c>
    </row>
    <row r="7" customFormat="false" ht="15" hidden="false" customHeight="false" outlineLevel="0" collapsed="false">
      <c r="A7" s="6" t="s">
        <v>36</v>
      </c>
      <c r="B7" s="6" t="s">
        <v>24</v>
      </c>
      <c r="C7" s="6" t="s">
        <v>54</v>
      </c>
      <c r="D7" s="6" t="s">
        <v>112</v>
      </c>
      <c r="E7" s="6" t="s">
        <v>58</v>
      </c>
      <c r="F7" s="6" t="s">
        <v>60</v>
      </c>
      <c r="G7" s="6" t="n">
        <v>17</v>
      </c>
      <c r="H7" s="6" t="n">
        <v>1747200</v>
      </c>
      <c r="I7" s="6" t="n">
        <v>870200</v>
      </c>
      <c r="J7" s="6" t="n">
        <v>2320500</v>
      </c>
      <c r="K7" s="6" t="n">
        <v>573300</v>
      </c>
      <c r="L7" s="6" t="n">
        <v>12</v>
      </c>
      <c r="M7" s="6" t="n">
        <v>0</v>
      </c>
      <c r="N7" s="6" t="n">
        <v>608.9</v>
      </c>
    </row>
    <row r="8" customFormat="false" ht="15" hidden="false" customHeight="false" outlineLevel="0" collapsed="false">
      <c r="A8" s="6" t="s">
        <v>36</v>
      </c>
      <c r="B8" s="6" t="s">
        <v>24</v>
      </c>
      <c r="C8" s="6" t="s">
        <v>54</v>
      </c>
      <c r="D8" s="6" t="s">
        <v>112</v>
      </c>
      <c r="E8" s="6" t="s">
        <v>60</v>
      </c>
      <c r="F8" s="6" t="s">
        <v>58</v>
      </c>
      <c r="G8" s="6" t="n">
        <v>1</v>
      </c>
      <c r="H8" s="6" t="n">
        <v>153600</v>
      </c>
      <c r="I8" s="6" t="n">
        <v>72200</v>
      </c>
      <c r="J8" s="6" t="n">
        <v>335600</v>
      </c>
      <c r="K8" s="6" t="n">
        <v>182000</v>
      </c>
      <c r="L8" s="6" t="n">
        <v>1</v>
      </c>
      <c r="M8" s="6" t="n">
        <v>0</v>
      </c>
      <c r="N8" s="6" t="n">
        <v>118.5</v>
      </c>
    </row>
    <row r="9" customFormat="false" ht="15" hidden="false" customHeight="false" outlineLevel="0" collapsed="false">
      <c r="A9" s="6" t="s">
        <v>36</v>
      </c>
      <c r="B9" s="6" t="s">
        <v>24</v>
      </c>
      <c r="C9" s="6" t="s">
        <v>54</v>
      </c>
      <c r="D9" s="6" t="s">
        <v>112</v>
      </c>
      <c r="E9" s="6" t="s">
        <v>60</v>
      </c>
      <c r="F9" s="6" t="s">
        <v>60</v>
      </c>
      <c r="G9" s="6" t="n">
        <v>5</v>
      </c>
      <c r="H9" s="6" t="n">
        <v>566400</v>
      </c>
      <c r="I9" s="6" t="n">
        <v>275400</v>
      </c>
      <c r="J9" s="6" t="n">
        <v>618100</v>
      </c>
      <c r="K9" s="6" t="n">
        <v>51800</v>
      </c>
      <c r="L9" s="6" t="n">
        <v>2</v>
      </c>
      <c r="M9" s="6" t="n">
        <v>0</v>
      </c>
      <c r="N9" s="6" t="n">
        <v>44.4</v>
      </c>
    </row>
    <row r="10" customFormat="false" ht="15" hidden="false" customHeight="false" outlineLevel="0" collapsed="false">
      <c r="A10" s="6" t="s">
        <v>36</v>
      </c>
      <c r="B10" s="6" t="s">
        <v>24</v>
      </c>
      <c r="C10" s="6" t="s">
        <v>54</v>
      </c>
      <c r="D10" s="6" t="s">
        <v>113</v>
      </c>
      <c r="E10" s="6" t="s">
        <v>58</v>
      </c>
      <c r="F10" s="6" t="s">
        <v>58</v>
      </c>
      <c r="G10" s="6" t="n">
        <v>11</v>
      </c>
      <c r="H10" s="6" t="n">
        <v>1463200</v>
      </c>
      <c r="I10" s="6" t="n">
        <v>852900</v>
      </c>
      <c r="J10" s="6" t="n">
        <v>1574300</v>
      </c>
      <c r="K10" s="6" t="n">
        <v>111100</v>
      </c>
      <c r="L10" s="6" t="n">
        <v>4</v>
      </c>
      <c r="M10" s="6" t="n">
        <v>0</v>
      </c>
      <c r="N10" s="6" t="n">
        <v>115.4</v>
      </c>
    </row>
    <row r="11" customFormat="false" ht="15" hidden="false" customHeight="false" outlineLevel="0" collapsed="false">
      <c r="A11" s="6" t="s">
        <v>36</v>
      </c>
      <c r="B11" s="6" t="s">
        <v>24</v>
      </c>
      <c r="C11" s="6" t="s">
        <v>54</v>
      </c>
      <c r="D11" s="6" t="s">
        <v>113</v>
      </c>
      <c r="E11" s="6" t="s">
        <v>58</v>
      </c>
      <c r="F11" s="6" t="s">
        <v>60</v>
      </c>
      <c r="G11" s="6" t="n">
        <v>20</v>
      </c>
      <c r="H11" s="6" t="n">
        <v>2073800</v>
      </c>
      <c r="I11" s="6" t="n">
        <v>1060900</v>
      </c>
      <c r="J11" s="6" t="n">
        <v>2785500</v>
      </c>
      <c r="K11" s="6" t="n">
        <v>711400</v>
      </c>
      <c r="L11" s="6" t="n">
        <v>15</v>
      </c>
      <c r="M11" s="6" t="n">
        <v>0</v>
      </c>
      <c r="N11" s="6" t="n">
        <v>707.9</v>
      </c>
    </row>
    <row r="12" customFormat="false" ht="15" hidden="false" customHeight="false" outlineLevel="0" collapsed="false">
      <c r="A12" s="6" t="s">
        <v>36</v>
      </c>
      <c r="B12" s="6" t="s">
        <v>24</v>
      </c>
      <c r="C12" s="6" t="s">
        <v>54</v>
      </c>
      <c r="D12" s="6" t="s">
        <v>113</v>
      </c>
      <c r="E12" s="6" t="s">
        <v>60</v>
      </c>
      <c r="F12" s="6" t="s">
        <v>58</v>
      </c>
      <c r="G12" s="6" t="n">
        <v>5</v>
      </c>
      <c r="H12" s="6" t="n">
        <v>648800</v>
      </c>
      <c r="I12" s="6" t="n">
        <v>312400</v>
      </c>
      <c r="J12" s="6" t="n">
        <v>659200</v>
      </c>
      <c r="K12" s="6" t="n">
        <v>10300</v>
      </c>
      <c r="L12" s="6" t="n">
        <v>3</v>
      </c>
      <c r="M12" s="6" t="n">
        <v>0</v>
      </c>
      <c r="N12" s="6" t="n">
        <v>51.4</v>
      </c>
    </row>
    <row r="13" customFormat="false" ht="15" hidden="false" customHeight="false" outlineLevel="0" collapsed="false">
      <c r="A13" s="6" t="s">
        <v>36</v>
      </c>
      <c r="B13" s="6" t="s">
        <v>24</v>
      </c>
      <c r="C13" s="6" t="s">
        <v>54</v>
      </c>
      <c r="D13" s="6" t="s">
        <v>113</v>
      </c>
      <c r="E13" s="6" t="s">
        <v>60</v>
      </c>
      <c r="F13" s="6" t="s">
        <v>60</v>
      </c>
      <c r="G13" s="6" t="n">
        <v>12</v>
      </c>
      <c r="H13" s="6" t="n">
        <v>1274700</v>
      </c>
      <c r="I13" s="6" t="n">
        <v>643500</v>
      </c>
      <c r="J13" s="6" t="n">
        <v>1857100</v>
      </c>
      <c r="K13" s="6" t="n">
        <v>582700</v>
      </c>
      <c r="L13" s="6" t="n">
        <v>10</v>
      </c>
      <c r="M13" s="6" t="n">
        <v>0</v>
      </c>
      <c r="N13" s="6" t="n">
        <v>561.3</v>
      </c>
    </row>
    <row r="14" customFormat="false" ht="15" hidden="false" customHeight="false" outlineLevel="0" collapsed="false">
      <c r="A14" s="6" t="s">
        <v>36</v>
      </c>
      <c r="B14" s="6" t="s">
        <v>24</v>
      </c>
      <c r="C14" s="6" t="s">
        <v>54</v>
      </c>
      <c r="D14" s="6" t="s">
        <v>114</v>
      </c>
      <c r="E14" s="6" t="s">
        <v>58</v>
      </c>
      <c r="F14" s="6" t="s">
        <v>58</v>
      </c>
      <c r="G14" s="6" t="n">
        <v>5</v>
      </c>
      <c r="H14" s="6" t="n">
        <v>745800</v>
      </c>
      <c r="I14" s="6" t="n">
        <v>224700</v>
      </c>
      <c r="J14" s="6" t="n">
        <v>536200</v>
      </c>
      <c r="K14" s="6" t="n">
        <v>-209700</v>
      </c>
      <c r="L14" s="6" t="n">
        <v>0</v>
      </c>
      <c r="M14" s="6" t="n">
        <v>0</v>
      </c>
      <c r="N14" s="6" t="n">
        <v>-146</v>
      </c>
    </row>
    <row r="15" customFormat="false" ht="15" hidden="false" customHeight="false" outlineLevel="0" collapsed="false">
      <c r="A15" s="6" t="s">
        <v>36</v>
      </c>
      <c r="B15" s="6" t="s">
        <v>24</v>
      </c>
      <c r="C15" s="6" t="s">
        <v>54</v>
      </c>
      <c r="D15" s="6" t="s">
        <v>114</v>
      </c>
      <c r="E15" s="6" t="s">
        <v>58</v>
      </c>
      <c r="F15" s="6" t="s">
        <v>60</v>
      </c>
      <c r="G15" s="6" t="n">
        <v>22</v>
      </c>
      <c r="H15" s="6" t="n">
        <v>2287600</v>
      </c>
      <c r="I15" s="6" t="n">
        <v>930500</v>
      </c>
      <c r="J15" s="6" t="n">
        <v>3015300</v>
      </c>
      <c r="K15" s="6" t="n">
        <v>727700</v>
      </c>
      <c r="L15" s="6" t="n">
        <v>15</v>
      </c>
      <c r="M15" s="6" t="n">
        <v>0</v>
      </c>
      <c r="N15" s="6" t="n">
        <v>726.7</v>
      </c>
    </row>
    <row r="16" customFormat="false" ht="15" hidden="false" customHeight="false" outlineLevel="0" collapsed="false">
      <c r="A16" s="6" t="s">
        <v>36</v>
      </c>
      <c r="B16" s="6" t="s">
        <v>24</v>
      </c>
      <c r="C16" s="6" t="s">
        <v>54</v>
      </c>
      <c r="D16" s="6" t="s">
        <v>114</v>
      </c>
      <c r="E16" s="6" t="s">
        <v>60</v>
      </c>
      <c r="F16" s="6" t="s">
        <v>58</v>
      </c>
      <c r="G16" s="6" t="n">
        <v>4</v>
      </c>
      <c r="H16" s="6" t="n">
        <v>616000</v>
      </c>
      <c r="I16" s="6" t="n">
        <v>206200</v>
      </c>
      <c r="J16" s="6" t="n">
        <v>568100</v>
      </c>
      <c r="K16" s="6" t="n">
        <v>-47800</v>
      </c>
      <c r="L16" s="6" t="n">
        <v>1</v>
      </c>
      <c r="M16" s="6" t="n">
        <v>0</v>
      </c>
      <c r="N16" s="6" t="n">
        <v>-20.5</v>
      </c>
    </row>
    <row r="17" customFormat="false" ht="15" hidden="false" customHeight="false" outlineLevel="0" collapsed="false">
      <c r="A17" s="6" t="s">
        <v>36</v>
      </c>
      <c r="B17" s="6" t="s">
        <v>24</v>
      </c>
      <c r="C17" s="6" t="s">
        <v>54</v>
      </c>
      <c r="D17" s="6" t="s">
        <v>114</v>
      </c>
      <c r="E17" s="6" t="s">
        <v>60</v>
      </c>
      <c r="F17" s="6" t="s">
        <v>60</v>
      </c>
      <c r="G17" s="6" t="n">
        <v>7</v>
      </c>
      <c r="H17" s="6" t="n">
        <v>743400</v>
      </c>
      <c r="I17" s="6" t="n">
        <v>261600</v>
      </c>
      <c r="J17" s="6" t="n">
        <v>1024300</v>
      </c>
      <c r="K17" s="6" t="n">
        <v>280900</v>
      </c>
      <c r="L17" s="6" t="n">
        <v>7</v>
      </c>
      <c r="M17" s="6" t="n">
        <v>0</v>
      </c>
      <c r="N17" s="6" t="n">
        <v>282.4</v>
      </c>
    </row>
    <row r="18" customFormat="false" ht="15" hidden="false" customHeight="false" outlineLevel="0" collapsed="false">
      <c r="A18" s="6" t="s">
        <v>36</v>
      </c>
      <c r="B18" s="6" t="s">
        <v>24</v>
      </c>
      <c r="C18" s="6" t="s">
        <v>50</v>
      </c>
      <c r="D18" s="6" t="s">
        <v>111</v>
      </c>
      <c r="E18" s="6" t="s">
        <v>58</v>
      </c>
      <c r="F18" s="6" t="s">
        <v>58</v>
      </c>
      <c r="G18" s="6" t="n">
        <v>6</v>
      </c>
      <c r="H18" s="6" t="n">
        <v>1053100</v>
      </c>
      <c r="I18" s="6" t="n">
        <v>575400</v>
      </c>
      <c r="J18" s="6" t="n">
        <v>2017900</v>
      </c>
      <c r="K18" s="6" t="n">
        <v>964900</v>
      </c>
      <c r="L18" s="6" t="n">
        <v>5</v>
      </c>
      <c r="M18" s="6" t="n">
        <v>0</v>
      </c>
      <c r="N18" s="6" t="n">
        <v>602.2</v>
      </c>
    </row>
    <row r="19" customFormat="false" ht="15" hidden="false" customHeight="false" outlineLevel="0" collapsed="false">
      <c r="A19" s="6" t="s">
        <v>36</v>
      </c>
      <c r="B19" s="6" t="s">
        <v>24</v>
      </c>
      <c r="C19" s="6" t="s">
        <v>50</v>
      </c>
      <c r="D19" s="6" t="s">
        <v>111</v>
      </c>
      <c r="E19" s="6" t="s">
        <v>58</v>
      </c>
      <c r="F19" s="6" t="s">
        <v>60</v>
      </c>
      <c r="G19" s="6" t="n">
        <v>15</v>
      </c>
      <c r="H19" s="6" t="n">
        <v>2181800</v>
      </c>
      <c r="I19" s="6" t="n">
        <v>1077500</v>
      </c>
      <c r="J19" s="6" t="n">
        <v>5063300</v>
      </c>
      <c r="K19" s="6" t="n">
        <v>2881500</v>
      </c>
      <c r="L19" s="6" t="n">
        <v>13</v>
      </c>
      <c r="M19" s="6" t="n">
        <v>2</v>
      </c>
      <c r="N19" s="6" t="n">
        <v>2074.9</v>
      </c>
    </row>
    <row r="20" customFormat="false" ht="15" hidden="false" customHeight="false" outlineLevel="0" collapsed="false">
      <c r="A20" s="6" t="s">
        <v>36</v>
      </c>
      <c r="B20" s="6" t="s">
        <v>24</v>
      </c>
      <c r="C20" s="6" t="s">
        <v>50</v>
      </c>
      <c r="D20" s="6" t="s">
        <v>111</v>
      </c>
      <c r="E20" s="6" t="s">
        <v>60</v>
      </c>
      <c r="F20" s="6" t="s">
        <v>58</v>
      </c>
      <c r="G20" s="6" t="n">
        <v>1</v>
      </c>
      <c r="H20" s="6" t="n">
        <v>201700</v>
      </c>
      <c r="I20" s="6" t="n">
        <v>153300</v>
      </c>
      <c r="J20" s="6" t="n">
        <v>319300</v>
      </c>
      <c r="K20" s="6" t="n">
        <v>117600</v>
      </c>
      <c r="L20" s="6" t="n">
        <v>1</v>
      </c>
      <c r="M20" s="6" t="n">
        <v>0</v>
      </c>
      <c r="N20" s="6" t="n">
        <v>58.3</v>
      </c>
    </row>
    <row r="21" customFormat="false" ht="15" hidden="false" customHeight="false" outlineLevel="0" collapsed="false">
      <c r="A21" s="6" t="s">
        <v>36</v>
      </c>
      <c r="B21" s="6" t="s">
        <v>24</v>
      </c>
      <c r="C21" s="6" t="s">
        <v>50</v>
      </c>
      <c r="D21" s="6" t="s">
        <v>111</v>
      </c>
      <c r="E21" s="6" t="s">
        <v>60</v>
      </c>
      <c r="F21" s="6" t="s">
        <v>60</v>
      </c>
      <c r="G21" s="6" t="n">
        <v>7</v>
      </c>
      <c r="H21" s="6" t="n">
        <v>1025300</v>
      </c>
      <c r="I21" s="6" t="n">
        <v>387200</v>
      </c>
      <c r="J21" s="6" t="n">
        <v>2755500</v>
      </c>
      <c r="K21" s="6" t="n">
        <v>1730300</v>
      </c>
      <c r="L21" s="6" t="n">
        <v>7</v>
      </c>
      <c r="M21" s="6" t="n">
        <v>2</v>
      </c>
      <c r="N21" s="6" t="n">
        <v>1086.1</v>
      </c>
    </row>
    <row r="22" customFormat="false" ht="15" hidden="false" customHeight="false" outlineLevel="0" collapsed="false">
      <c r="A22" s="6" t="s">
        <v>36</v>
      </c>
      <c r="B22" s="6" t="s">
        <v>24</v>
      </c>
      <c r="C22" s="6" t="s">
        <v>50</v>
      </c>
      <c r="D22" s="6" t="s">
        <v>112</v>
      </c>
      <c r="E22" s="6" t="s">
        <v>58</v>
      </c>
      <c r="F22" s="6" t="s">
        <v>58</v>
      </c>
      <c r="G22" s="6" t="n">
        <v>4</v>
      </c>
      <c r="H22" s="6" t="n">
        <v>742300</v>
      </c>
      <c r="I22" s="6" t="n">
        <v>0</v>
      </c>
      <c r="J22" s="6" t="n">
        <v>1595600</v>
      </c>
      <c r="K22" s="6" t="n">
        <v>853200</v>
      </c>
      <c r="L22" s="6" t="n">
        <v>4</v>
      </c>
      <c r="M22" s="6" t="n">
        <v>0</v>
      </c>
      <c r="N22" s="6" t="n">
        <v>454.2</v>
      </c>
    </row>
    <row r="23" customFormat="false" ht="15" hidden="false" customHeight="false" outlineLevel="0" collapsed="false">
      <c r="A23" s="6" t="s">
        <v>36</v>
      </c>
      <c r="B23" s="6" t="s">
        <v>24</v>
      </c>
      <c r="C23" s="6" t="s">
        <v>50</v>
      </c>
      <c r="D23" s="6" t="s">
        <v>112</v>
      </c>
      <c r="E23" s="6" t="s">
        <v>58</v>
      </c>
      <c r="F23" s="6" t="s">
        <v>60</v>
      </c>
      <c r="G23" s="6" t="n">
        <v>13</v>
      </c>
      <c r="H23" s="6" t="n">
        <v>1753600</v>
      </c>
      <c r="I23" s="6" t="n">
        <v>543000</v>
      </c>
      <c r="J23" s="6" t="n">
        <v>4445300</v>
      </c>
      <c r="K23" s="6" t="n">
        <v>2691600</v>
      </c>
      <c r="L23" s="6" t="n">
        <v>11</v>
      </c>
      <c r="M23" s="6" t="n">
        <v>0</v>
      </c>
      <c r="N23" s="6" t="n">
        <v>2059.2</v>
      </c>
    </row>
    <row r="24" customFormat="false" ht="15" hidden="false" customHeight="false" outlineLevel="0" collapsed="false">
      <c r="A24" s="6" t="s">
        <v>36</v>
      </c>
      <c r="B24" s="6" t="s">
        <v>24</v>
      </c>
      <c r="C24" s="6" t="s">
        <v>50</v>
      </c>
      <c r="D24" s="6" t="s">
        <v>112</v>
      </c>
      <c r="E24" s="6" t="s">
        <v>60</v>
      </c>
      <c r="F24" s="6" t="s">
        <v>58</v>
      </c>
      <c r="G24" s="6" t="n">
        <v>3</v>
      </c>
      <c r="H24" s="6" t="n">
        <v>692000</v>
      </c>
      <c r="I24" s="6" t="n">
        <v>246200</v>
      </c>
      <c r="J24" s="6" t="n">
        <v>714600</v>
      </c>
      <c r="K24" s="6" t="n">
        <v>22700</v>
      </c>
      <c r="L24" s="6" t="n">
        <v>2</v>
      </c>
      <c r="M24" s="6" t="n">
        <v>0</v>
      </c>
      <c r="N24" s="6" t="n">
        <v>43</v>
      </c>
    </row>
    <row r="25" customFormat="false" ht="15" hidden="false" customHeight="false" outlineLevel="0" collapsed="false">
      <c r="A25" s="6" t="s">
        <v>36</v>
      </c>
      <c r="B25" s="6" t="s">
        <v>24</v>
      </c>
      <c r="C25" s="6" t="s">
        <v>50</v>
      </c>
      <c r="D25" s="6" t="s">
        <v>112</v>
      </c>
      <c r="E25" s="6" t="s">
        <v>60</v>
      </c>
      <c r="F25" s="6" t="s">
        <v>60</v>
      </c>
      <c r="G25" s="6" t="n">
        <v>2</v>
      </c>
      <c r="H25" s="6" t="n">
        <v>268700</v>
      </c>
      <c r="I25" s="6" t="n">
        <v>135700</v>
      </c>
      <c r="J25" s="6" t="n">
        <v>819500</v>
      </c>
      <c r="K25" s="6" t="n">
        <v>550700</v>
      </c>
      <c r="L25" s="6" t="n">
        <v>2</v>
      </c>
      <c r="M25" s="6" t="n">
        <v>0</v>
      </c>
      <c r="N25" s="6" t="n">
        <v>391.2</v>
      </c>
    </row>
    <row r="26" customFormat="false" ht="15" hidden="false" customHeight="false" outlineLevel="0" collapsed="false">
      <c r="A26" s="6" t="s">
        <v>36</v>
      </c>
      <c r="B26" s="6" t="s">
        <v>24</v>
      </c>
      <c r="C26" s="6" t="s">
        <v>50</v>
      </c>
      <c r="D26" s="6" t="s">
        <v>113</v>
      </c>
      <c r="E26" s="6" t="s">
        <v>58</v>
      </c>
      <c r="F26" s="6" t="s">
        <v>58</v>
      </c>
      <c r="G26" s="6" t="n">
        <v>7</v>
      </c>
      <c r="H26" s="6" t="n">
        <v>1488600</v>
      </c>
      <c r="I26" s="6" t="n">
        <v>342600</v>
      </c>
      <c r="J26" s="6" t="n">
        <v>2025000</v>
      </c>
      <c r="K26" s="6" t="n">
        <v>536400</v>
      </c>
      <c r="L26" s="6" t="n">
        <v>7</v>
      </c>
      <c r="M26" s="6" t="n">
        <v>0</v>
      </c>
      <c r="N26" s="6" t="n">
        <v>274.4</v>
      </c>
    </row>
    <row r="27" customFormat="false" ht="15" hidden="false" customHeight="false" outlineLevel="0" collapsed="false">
      <c r="A27" s="6" t="s">
        <v>36</v>
      </c>
      <c r="B27" s="6" t="s">
        <v>24</v>
      </c>
      <c r="C27" s="6" t="s">
        <v>50</v>
      </c>
      <c r="D27" s="6" t="s">
        <v>113</v>
      </c>
      <c r="E27" s="6" t="s">
        <v>58</v>
      </c>
      <c r="F27" s="6" t="s">
        <v>60</v>
      </c>
      <c r="G27" s="6" t="n">
        <v>17</v>
      </c>
      <c r="H27" s="6" t="n">
        <v>2410400</v>
      </c>
      <c r="I27" s="6" t="n">
        <v>991600</v>
      </c>
      <c r="J27" s="6" t="n">
        <v>5991700</v>
      </c>
      <c r="K27" s="6" t="n">
        <v>3581000</v>
      </c>
      <c r="L27" s="6" t="n">
        <v>17</v>
      </c>
      <c r="M27" s="6" t="n">
        <v>1</v>
      </c>
      <c r="N27" s="6" t="n">
        <v>2714.3</v>
      </c>
    </row>
    <row r="28" customFormat="false" ht="15" hidden="false" customHeight="false" outlineLevel="0" collapsed="false">
      <c r="A28" s="6" t="s">
        <v>36</v>
      </c>
      <c r="B28" s="6" t="s">
        <v>24</v>
      </c>
      <c r="C28" s="6" t="s">
        <v>50</v>
      </c>
      <c r="D28" s="6" t="s">
        <v>113</v>
      </c>
      <c r="E28" s="6" t="s">
        <v>60</v>
      </c>
      <c r="F28" s="6" t="s">
        <v>58</v>
      </c>
      <c r="G28" s="6" t="n">
        <v>5</v>
      </c>
      <c r="H28" s="6" t="n">
        <v>953300</v>
      </c>
      <c r="I28" s="6" t="n">
        <v>510400</v>
      </c>
      <c r="J28" s="6" t="n">
        <v>2026100</v>
      </c>
      <c r="K28" s="6" t="n">
        <v>1073000</v>
      </c>
      <c r="L28" s="6" t="n">
        <v>5</v>
      </c>
      <c r="M28" s="6" t="n">
        <v>0</v>
      </c>
      <c r="N28" s="6" t="n">
        <v>567.3</v>
      </c>
    </row>
    <row r="29" customFormat="false" ht="15" hidden="false" customHeight="false" outlineLevel="0" collapsed="false">
      <c r="A29" s="6" t="s">
        <v>36</v>
      </c>
      <c r="B29" s="6" t="s">
        <v>24</v>
      </c>
      <c r="C29" s="6" t="s">
        <v>50</v>
      </c>
      <c r="D29" s="6" t="s">
        <v>113</v>
      </c>
      <c r="E29" s="6" t="s">
        <v>60</v>
      </c>
      <c r="F29" s="6" t="s">
        <v>60</v>
      </c>
      <c r="G29" s="6" t="n">
        <v>6</v>
      </c>
      <c r="H29" s="6" t="n">
        <v>814000</v>
      </c>
      <c r="I29" s="6" t="n">
        <v>219100</v>
      </c>
      <c r="J29" s="6" t="n">
        <v>1845900</v>
      </c>
      <c r="K29" s="6" t="n">
        <v>1031800</v>
      </c>
      <c r="L29" s="6" t="n">
        <v>6</v>
      </c>
      <c r="M29" s="6" t="n">
        <v>0</v>
      </c>
      <c r="N29" s="6" t="n">
        <v>787.5</v>
      </c>
    </row>
    <row r="30" customFormat="false" ht="15" hidden="false" customHeight="false" outlineLevel="0" collapsed="false">
      <c r="A30" s="6" t="s">
        <v>36</v>
      </c>
      <c r="B30" s="6" t="s">
        <v>24</v>
      </c>
      <c r="C30" s="6" t="s">
        <v>50</v>
      </c>
      <c r="D30" s="6" t="s">
        <v>114</v>
      </c>
      <c r="E30" s="6" t="s">
        <v>58</v>
      </c>
      <c r="F30" s="6" t="s">
        <v>58</v>
      </c>
      <c r="G30" s="6" t="n">
        <v>4</v>
      </c>
      <c r="H30" s="6" t="n">
        <v>873300</v>
      </c>
      <c r="I30" s="6" t="n">
        <v>640100</v>
      </c>
      <c r="J30" s="6" t="n">
        <v>1275100</v>
      </c>
      <c r="K30" s="6" t="n">
        <v>401800</v>
      </c>
      <c r="L30" s="6" t="n">
        <v>4</v>
      </c>
      <c r="M30" s="6" t="n">
        <v>0</v>
      </c>
      <c r="N30" s="6" t="n">
        <v>206.9</v>
      </c>
    </row>
    <row r="31" customFormat="false" ht="15" hidden="false" customHeight="false" outlineLevel="0" collapsed="false">
      <c r="A31" s="6" t="s">
        <v>36</v>
      </c>
      <c r="B31" s="6" t="s">
        <v>24</v>
      </c>
      <c r="C31" s="6" t="s">
        <v>50</v>
      </c>
      <c r="D31" s="6" t="s">
        <v>114</v>
      </c>
      <c r="E31" s="6" t="s">
        <v>58</v>
      </c>
      <c r="F31" s="6" t="s">
        <v>60</v>
      </c>
      <c r="G31" s="6" t="n">
        <v>8</v>
      </c>
      <c r="H31" s="6" t="n">
        <v>1083600</v>
      </c>
      <c r="I31" s="6" t="n">
        <v>636300</v>
      </c>
      <c r="J31" s="6" t="n">
        <v>2855800</v>
      </c>
      <c r="K31" s="6" t="n">
        <v>1772300</v>
      </c>
      <c r="L31" s="6" t="n">
        <v>8</v>
      </c>
      <c r="M31" s="6" t="n">
        <v>1</v>
      </c>
      <c r="N31" s="6" t="n">
        <v>1429.5</v>
      </c>
    </row>
    <row r="32" customFormat="false" ht="15" hidden="false" customHeight="false" outlineLevel="0" collapsed="false">
      <c r="A32" s="6" t="s">
        <v>36</v>
      </c>
      <c r="B32" s="6" t="s">
        <v>24</v>
      </c>
      <c r="C32" s="6" t="s">
        <v>50</v>
      </c>
      <c r="D32" s="6" t="s">
        <v>114</v>
      </c>
      <c r="E32" s="6" t="s">
        <v>60</v>
      </c>
      <c r="F32" s="6" t="s">
        <v>58</v>
      </c>
      <c r="G32" s="6" t="n">
        <v>3</v>
      </c>
      <c r="H32" s="6" t="n">
        <v>698100</v>
      </c>
      <c r="I32" s="6" t="n">
        <v>118200</v>
      </c>
      <c r="J32" s="6" t="n">
        <v>731200</v>
      </c>
      <c r="K32" s="6" t="n">
        <v>33000</v>
      </c>
      <c r="L32" s="6" t="n">
        <v>2</v>
      </c>
      <c r="M32" s="6" t="n">
        <v>0</v>
      </c>
      <c r="N32" s="6" t="n">
        <v>20.9</v>
      </c>
    </row>
    <row r="33" customFormat="false" ht="15" hidden="false" customHeight="false" outlineLevel="0" collapsed="false">
      <c r="A33" s="6" t="s">
        <v>36</v>
      </c>
      <c r="B33" s="6" t="s">
        <v>24</v>
      </c>
      <c r="C33" s="6" t="s">
        <v>50</v>
      </c>
      <c r="D33" s="6" t="s">
        <v>114</v>
      </c>
      <c r="E33" s="6" t="s">
        <v>60</v>
      </c>
      <c r="F33" s="6" t="s">
        <v>60</v>
      </c>
      <c r="G33" s="6" t="n">
        <v>8</v>
      </c>
      <c r="H33" s="6" t="n">
        <v>1183400</v>
      </c>
      <c r="I33" s="6" t="n">
        <v>801700</v>
      </c>
      <c r="J33" s="6" t="n">
        <v>3235800</v>
      </c>
      <c r="K33" s="6" t="n">
        <v>2052500</v>
      </c>
      <c r="L33" s="6" t="n">
        <v>8</v>
      </c>
      <c r="M33" s="6" t="n">
        <v>1</v>
      </c>
      <c r="N33" s="6" t="n">
        <v>1474.4</v>
      </c>
    </row>
    <row r="34" customFormat="false" ht="15" hidden="false" customHeight="false" outlineLevel="0" collapsed="false">
      <c r="A34" s="6" t="s">
        <v>36</v>
      </c>
      <c r="B34" s="6" t="s">
        <v>24</v>
      </c>
      <c r="C34" s="6" t="s">
        <v>52</v>
      </c>
      <c r="D34" s="6" t="s">
        <v>111</v>
      </c>
      <c r="E34" s="6" t="s">
        <v>58</v>
      </c>
      <c r="F34" s="6" t="s">
        <v>58</v>
      </c>
      <c r="G34" s="6" t="n">
        <v>23</v>
      </c>
      <c r="H34" s="6" t="n">
        <v>2399400</v>
      </c>
      <c r="I34" s="6" t="n">
        <v>1208700</v>
      </c>
      <c r="J34" s="6" t="n">
        <v>4234900</v>
      </c>
      <c r="K34" s="6" t="n">
        <v>1835600</v>
      </c>
      <c r="L34" s="6" t="n">
        <v>20</v>
      </c>
      <c r="M34" s="6" t="n">
        <v>0</v>
      </c>
      <c r="N34" s="6" t="n">
        <v>1808.6</v>
      </c>
    </row>
    <row r="35" customFormat="false" ht="15" hidden="false" customHeight="false" outlineLevel="0" collapsed="false">
      <c r="A35" s="6" t="s">
        <v>36</v>
      </c>
      <c r="B35" s="6" t="s">
        <v>24</v>
      </c>
      <c r="C35" s="6" t="s">
        <v>52</v>
      </c>
      <c r="D35" s="6" t="s">
        <v>111</v>
      </c>
      <c r="E35" s="6" t="s">
        <v>58</v>
      </c>
      <c r="F35" s="6" t="s">
        <v>60</v>
      </c>
      <c r="G35" s="6" t="n">
        <v>55</v>
      </c>
      <c r="H35" s="6" t="n">
        <v>3932800</v>
      </c>
      <c r="I35" s="6" t="n">
        <v>1864700</v>
      </c>
      <c r="J35" s="6" t="n">
        <v>11924800</v>
      </c>
      <c r="K35" s="6" t="n">
        <v>7992300</v>
      </c>
      <c r="L35" s="6" t="n">
        <v>53</v>
      </c>
      <c r="M35" s="6" t="n">
        <v>0</v>
      </c>
      <c r="N35" s="6" t="n">
        <v>11894.7</v>
      </c>
    </row>
    <row r="36" customFormat="false" ht="15" hidden="false" customHeight="false" outlineLevel="0" collapsed="false">
      <c r="A36" s="6" t="s">
        <v>36</v>
      </c>
      <c r="B36" s="6" t="s">
        <v>24</v>
      </c>
      <c r="C36" s="6" t="s">
        <v>52</v>
      </c>
      <c r="D36" s="6" t="s">
        <v>111</v>
      </c>
      <c r="E36" s="6" t="s">
        <v>60</v>
      </c>
      <c r="F36" s="6" t="s">
        <v>58</v>
      </c>
      <c r="G36" s="6" t="n">
        <v>12</v>
      </c>
      <c r="H36" s="6" t="n">
        <v>1226000</v>
      </c>
      <c r="I36" s="6" t="n">
        <v>760900</v>
      </c>
      <c r="J36" s="6" t="n">
        <v>2748100</v>
      </c>
      <c r="K36" s="6" t="n">
        <v>1522200</v>
      </c>
      <c r="L36" s="6" t="n">
        <v>11</v>
      </c>
      <c r="M36" s="6" t="n">
        <v>0</v>
      </c>
      <c r="N36" s="6" t="n">
        <v>1600</v>
      </c>
    </row>
    <row r="37" customFormat="false" ht="15" hidden="false" customHeight="false" outlineLevel="0" collapsed="false">
      <c r="A37" s="6" t="s">
        <v>36</v>
      </c>
      <c r="B37" s="6" t="s">
        <v>24</v>
      </c>
      <c r="C37" s="6" t="s">
        <v>52</v>
      </c>
      <c r="D37" s="6" t="s">
        <v>111</v>
      </c>
      <c r="E37" s="6" t="s">
        <v>60</v>
      </c>
      <c r="F37" s="6" t="s">
        <v>60</v>
      </c>
      <c r="G37" s="6" t="n">
        <v>37</v>
      </c>
      <c r="H37" s="6" t="n">
        <v>2798200</v>
      </c>
      <c r="I37" s="6" t="n">
        <v>867600</v>
      </c>
      <c r="J37" s="6" t="n">
        <v>9173600</v>
      </c>
      <c r="K37" s="6" t="n">
        <v>6374700</v>
      </c>
      <c r="L37" s="6" t="n">
        <v>37</v>
      </c>
      <c r="M37" s="6" t="n">
        <v>1</v>
      </c>
      <c r="N37" s="6" t="n">
        <v>8591.9</v>
      </c>
    </row>
    <row r="38" customFormat="false" ht="15" hidden="false" customHeight="false" outlineLevel="0" collapsed="false">
      <c r="A38" s="6" t="s">
        <v>36</v>
      </c>
      <c r="B38" s="6" t="s">
        <v>24</v>
      </c>
      <c r="C38" s="6" t="s">
        <v>52</v>
      </c>
      <c r="D38" s="6" t="s">
        <v>112</v>
      </c>
      <c r="E38" s="6" t="s">
        <v>58</v>
      </c>
      <c r="F38" s="6" t="s">
        <v>58</v>
      </c>
      <c r="G38" s="6" t="n">
        <v>37</v>
      </c>
      <c r="H38" s="6" t="n">
        <v>3750700</v>
      </c>
      <c r="I38" s="6" t="n">
        <v>1408300</v>
      </c>
      <c r="J38" s="6" t="n">
        <v>8218200</v>
      </c>
      <c r="K38" s="6" t="n">
        <v>4466900</v>
      </c>
      <c r="L38" s="6" t="n">
        <v>34</v>
      </c>
      <c r="M38" s="6" t="n">
        <v>0</v>
      </c>
      <c r="N38" s="6" t="n">
        <v>4572.1</v>
      </c>
    </row>
    <row r="39" customFormat="false" ht="15" hidden="false" customHeight="false" outlineLevel="0" collapsed="false">
      <c r="A39" s="6" t="s">
        <v>36</v>
      </c>
      <c r="B39" s="6" t="s">
        <v>24</v>
      </c>
      <c r="C39" s="6" t="s">
        <v>52</v>
      </c>
      <c r="D39" s="6" t="s">
        <v>112</v>
      </c>
      <c r="E39" s="6" t="s">
        <v>58</v>
      </c>
      <c r="F39" s="6" t="s">
        <v>60</v>
      </c>
      <c r="G39" s="6" t="n">
        <v>68</v>
      </c>
      <c r="H39" s="6" t="n">
        <v>5185900</v>
      </c>
      <c r="I39" s="6" t="n">
        <v>2237700</v>
      </c>
      <c r="J39" s="6" t="n">
        <v>15447400</v>
      </c>
      <c r="K39" s="6" t="n">
        <v>10261700</v>
      </c>
      <c r="L39" s="6" t="n">
        <v>68</v>
      </c>
      <c r="M39" s="6" t="n">
        <v>2</v>
      </c>
      <c r="N39" s="6" t="n">
        <v>14315.5</v>
      </c>
    </row>
    <row r="40" customFormat="false" ht="15" hidden="false" customHeight="false" outlineLevel="0" collapsed="false">
      <c r="A40" s="6" t="s">
        <v>36</v>
      </c>
      <c r="B40" s="6" t="s">
        <v>24</v>
      </c>
      <c r="C40" s="6" t="s">
        <v>52</v>
      </c>
      <c r="D40" s="6" t="s">
        <v>112</v>
      </c>
      <c r="E40" s="6" t="s">
        <v>60</v>
      </c>
      <c r="F40" s="6" t="s">
        <v>58</v>
      </c>
      <c r="G40" s="6" t="n">
        <v>15</v>
      </c>
      <c r="H40" s="6" t="n">
        <v>1467900</v>
      </c>
      <c r="I40" s="6" t="n">
        <v>431300</v>
      </c>
      <c r="J40" s="6" t="n">
        <v>3402300</v>
      </c>
      <c r="K40" s="6" t="n">
        <v>1934700</v>
      </c>
      <c r="L40" s="6" t="n">
        <v>15</v>
      </c>
      <c r="M40" s="6" t="n">
        <v>0</v>
      </c>
      <c r="N40" s="6" t="n">
        <v>1979.9</v>
      </c>
    </row>
    <row r="41" customFormat="false" ht="15" hidden="false" customHeight="false" outlineLevel="0" collapsed="false">
      <c r="A41" s="6" t="s">
        <v>36</v>
      </c>
      <c r="B41" s="6" t="s">
        <v>24</v>
      </c>
      <c r="C41" s="6" t="s">
        <v>52</v>
      </c>
      <c r="D41" s="6" t="s">
        <v>112</v>
      </c>
      <c r="E41" s="6" t="s">
        <v>60</v>
      </c>
      <c r="F41" s="6" t="s">
        <v>60</v>
      </c>
      <c r="G41" s="6" t="n">
        <v>32</v>
      </c>
      <c r="H41" s="6" t="n">
        <v>2466300</v>
      </c>
      <c r="I41" s="6" t="n">
        <v>987100</v>
      </c>
      <c r="J41" s="6" t="n">
        <v>8644500</v>
      </c>
      <c r="K41" s="6" t="n">
        <v>6178100</v>
      </c>
      <c r="L41" s="6" t="n">
        <v>32</v>
      </c>
      <c r="M41" s="6" t="n">
        <v>1</v>
      </c>
      <c r="N41" s="6" t="n">
        <v>8311</v>
      </c>
    </row>
    <row r="42" customFormat="false" ht="15" hidden="false" customHeight="false" outlineLevel="0" collapsed="false">
      <c r="A42" s="6" t="s">
        <v>36</v>
      </c>
      <c r="B42" s="6" t="s">
        <v>24</v>
      </c>
      <c r="C42" s="6" t="s">
        <v>52</v>
      </c>
      <c r="D42" s="6" t="s">
        <v>113</v>
      </c>
      <c r="E42" s="6" t="s">
        <v>58</v>
      </c>
      <c r="F42" s="6" t="s">
        <v>58</v>
      </c>
      <c r="G42" s="6" t="n">
        <v>44</v>
      </c>
      <c r="H42" s="6" t="n">
        <v>4928800</v>
      </c>
      <c r="I42" s="6" t="n">
        <v>1647400</v>
      </c>
      <c r="J42" s="6" t="n">
        <v>7908000</v>
      </c>
      <c r="K42" s="6" t="n">
        <v>2978900</v>
      </c>
      <c r="L42" s="6" t="n">
        <v>33</v>
      </c>
      <c r="M42" s="6" t="n">
        <v>0</v>
      </c>
      <c r="N42" s="6" t="n">
        <v>3085.6</v>
      </c>
    </row>
    <row r="43" customFormat="false" ht="15" hidden="false" customHeight="false" outlineLevel="0" collapsed="false">
      <c r="A43" s="6" t="s">
        <v>36</v>
      </c>
      <c r="B43" s="6" t="s">
        <v>24</v>
      </c>
      <c r="C43" s="6" t="s">
        <v>52</v>
      </c>
      <c r="D43" s="6" t="s">
        <v>113</v>
      </c>
      <c r="E43" s="6" t="s">
        <v>58</v>
      </c>
      <c r="F43" s="6" t="s">
        <v>60</v>
      </c>
      <c r="G43" s="6" t="n">
        <v>77</v>
      </c>
      <c r="H43" s="6" t="n">
        <v>5816800</v>
      </c>
      <c r="I43" s="6" t="n">
        <v>2544600</v>
      </c>
      <c r="J43" s="6" t="n">
        <v>18938900</v>
      </c>
      <c r="K43" s="6" t="n">
        <v>13121700</v>
      </c>
      <c r="L43" s="6" t="n">
        <v>77</v>
      </c>
      <c r="M43" s="6" t="n">
        <v>0</v>
      </c>
      <c r="N43" s="6" t="n">
        <v>18123.7</v>
      </c>
    </row>
    <row r="44" customFormat="false" ht="15" hidden="false" customHeight="false" outlineLevel="0" collapsed="false">
      <c r="A44" s="6" t="s">
        <v>36</v>
      </c>
      <c r="B44" s="6" t="s">
        <v>24</v>
      </c>
      <c r="C44" s="6" t="s">
        <v>52</v>
      </c>
      <c r="D44" s="6" t="s">
        <v>113</v>
      </c>
      <c r="E44" s="6" t="s">
        <v>60</v>
      </c>
      <c r="F44" s="6" t="s">
        <v>58</v>
      </c>
      <c r="G44" s="6" t="n">
        <v>20</v>
      </c>
      <c r="H44" s="6" t="n">
        <v>2085700</v>
      </c>
      <c r="I44" s="6" t="n">
        <v>952400</v>
      </c>
      <c r="J44" s="6" t="n">
        <v>4324000</v>
      </c>
      <c r="K44" s="6" t="n">
        <v>2238000</v>
      </c>
      <c r="L44" s="6" t="n">
        <v>19</v>
      </c>
      <c r="M44" s="6" t="n">
        <v>0</v>
      </c>
      <c r="N44" s="6" t="n">
        <v>2521</v>
      </c>
    </row>
    <row r="45" customFormat="false" ht="15" hidden="false" customHeight="false" outlineLevel="0" collapsed="false">
      <c r="A45" s="6" t="s">
        <v>36</v>
      </c>
      <c r="B45" s="6" t="s">
        <v>24</v>
      </c>
      <c r="C45" s="6" t="s">
        <v>52</v>
      </c>
      <c r="D45" s="6" t="s">
        <v>113</v>
      </c>
      <c r="E45" s="6" t="s">
        <v>60</v>
      </c>
      <c r="F45" s="6" t="s">
        <v>60</v>
      </c>
      <c r="G45" s="6" t="n">
        <v>52</v>
      </c>
      <c r="H45" s="6" t="n">
        <v>3981100</v>
      </c>
      <c r="I45" s="6" t="n">
        <v>1621000</v>
      </c>
      <c r="J45" s="6" t="n">
        <v>13764900</v>
      </c>
      <c r="K45" s="6" t="n">
        <v>9784300</v>
      </c>
      <c r="L45" s="6" t="n">
        <v>52</v>
      </c>
      <c r="M45" s="6" t="n">
        <v>2</v>
      </c>
      <c r="N45" s="6" t="n">
        <v>13385.3</v>
      </c>
    </row>
    <row r="46" customFormat="false" ht="15" hidden="false" customHeight="false" outlineLevel="0" collapsed="false">
      <c r="A46" s="6" t="s">
        <v>36</v>
      </c>
      <c r="B46" s="6" t="s">
        <v>24</v>
      </c>
      <c r="C46" s="6" t="s">
        <v>52</v>
      </c>
      <c r="D46" s="6" t="s">
        <v>114</v>
      </c>
      <c r="E46" s="6" t="s">
        <v>58</v>
      </c>
      <c r="F46" s="6" t="s">
        <v>58</v>
      </c>
      <c r="G46" s="6" t="n">
        <v>22</v>
      </c>
      <c r="H46" s="6" t="n">
        <v>2537100</v>
      </c>
      <c r="I46" s="6" t="n">
        <v>1333000</v>
      </c>
      <c r="J46" s="6" t="n">
        <v>4910200</v>
      </c>
      <c r="K46" s="6" t="n">
        <v>2373500</v>
      </c>
      <c r="L46" s="6" t="n">
        <v>20</v>
      </c>
      <c r="M46" s="6" t="n">
        <v>0</v>
      </c>
      <c r="N46" s="6" t="n">
        <v>2298.7</v>
      </c>
    </row>
    <row r="47" customFormat="false" ht="15" hidden="false" customHeight="false" outlineLevel="0" collapsed="false">
      <c r="A47" s="6" t="s">
        <v>36</v>
      </c>
      <c r="B47" s="6" t="s">
        <v>24</v>
      </c>
      <c r="C47" s="6" t="s">
        <v>52</v>
      </c>
      <c r="D47" s="6" t="s">
        <v>114</v>
      </c>
      <c r="E47" s="6" t="s">
        <v>58</v>
      </c>
      <c r="F47" s="6" t="s">
        <v>60</v>
      </c>
      <c r="G47" s="6" t="n">
        <v>67</v>
      </c>
      <c r="H47" s="6" t="n">
        <v>5202100</v>
      </c>
      <c r="I47" s="6" t="n">
        <v>2442900</v>
      </c>
      <c r="J47" s="6" t="n">
        <v>14814800</v>
      </c>
      <c r="K47" s="6" t="n">
        <v>9613000</v>
      </c>
      <c r="L47" s="6" t="n">
        <v>65</v>
      </c>
      <c r="M47" s="6" t="n">
        <v>3</v>
      </c>
      <c r="N47" s="6" t="n">
        <v>12544.6</v>
      </c>
    </row>
    <row r="48" customFormat="false" ht="15" hidden="false" customHeight="false" outlineLevel="0" collapsed="false">
      <c r="A48" s="6" t="s">
        <v>36</v>
      </c>
      <c r="B48" s="6" t="s">
        <v>24</v>
      </c>
      <c r="C48" s="6" t="s">
        <v>52</v>
      </c>
      <c r="D48" s="6" t="s">
        <v>114</v>
      </c>
      <c r="E48" s="6" t="s">
        <v>60</v>
      </c>
      <c r="F48" s="6" t="s">
        <v>58</v>
      </c>
      <c r="G48" s="6" t="n">
        <v>16</v>
      </c>
      <c r="H48" s="6" t="n">
        <v>1573200</v>
      </c>
      <c r="I48" s="6" t="n">
        <v>706800</v>
      </c>
      <c r="J48" s="6" t="n">
        <v>3842600</v>
      </c>
      <c r="K48" s="6" t="n">
        <v>2269300</v>
      </c>
      <c r="L48" s="6" t="n">
        <v>16</v>
      </c>
      <c r="M48" s="6" t="n">
        <v>0</v>
      </c>
      <c r="N48" s="6" t="n">
        <v>2577</v>
      </c>
    </row>
    <row r="49" customFormat="false" ht="15" hidden="false" customHeight="false" outlineLevel="0" collapsed="false">
      <c r="A49" s="6" t="s">
        <v>36</v>
      </c>
      <c r="B49" s="6" t="s">
        <v>24</v>
      </c>
      <c r="C49" s="6" t="s">
        <v>52</v>
      </c>
      <c r="D49" s="6" t="s">
        <v>114</v>
      </c>
      <c r="E49" s="6" t="s">
        <v>60</v>
      </c>
      <c r="F49" s="6" t="s">
        <v>60</v>
      </c>
      <c r="G49" s="6" t="n">
        <v>33</v>
      </c>
      <c r="H49" s="6" t="n">
        <v>2580400</v>
      </c>
      <c r="I49" s="6" t="n">
        <v>1287800</v>
      </c>
      <c r="J49" s="6" t="n">
        <v>7002900</v>
      </c>
      <c r="K49" s="6" t="n">
        <v>4423100</v>
      </c>
      <c r="L49" s="6" t="n">
        <v>33</v>
      </c>
      <c r="M49" s="6" t="n">
        <v>0</v>
      </c>
      <c r="N49" s="6" t="n">
        <v>5818.3</v>
      </c>
    </row>
    <row r="50" customFormat="false" ht="15" hidden="false" customHeight="false" outlineLevel="0" collapsed="false">
      <c r="A50" s="6" t="s">
        <v>36</v>
      </c>
      <c r="B50" s="6" t="s">
        <v>24</v>
      </c>
      <c r="C50" s="6" t="s">
        <v>53</v>
      </c>
      <c r="D50" s="6" t="s">
        <v>111</v>
      </c>
      <c r="E50" s="6" t="s">
        <v>58</v>
      </c>
      <c r="F50" s="6" t="s">
        <v>58</v>
      </c>
      <c r="G50" s="6" t="n">
        <v>19</v>
      </c>
      <c r="H50" s="6" t="n">
        <v>1450400</v>
      </c>
      <c r="I50" s="6" t="n">
        <v>888500</v>
      </c>
      <c r="J50" s="6" t="n">
        <v>3610800</v>
      </c>
      <c r="K50" s="6" t="n">
        <v>2160800</v>
      </c>
      <c r="L50" s="6" t="n">
        <v>19</v>
      </c>
      <c r="M50" s="6" t="n">
        <v>0</v>
      </c>
      <c r="N50" s="6" t="n">
        <v>2972.9</v>
      </c>
    </row>
    <row r="51" customFormat="false" ht="15" hidden="false" customHeight="false" outlineLevel="0" collapsed="false">
      <c r="A51" s="6" t="s">
        <v>36</v>
      </c>
      <c r="B51" s="6" t="s">
        <v>24</v>
      </c>
      <c r="C51" s="6" t="s">
        <v>53</v>
      </c>
      <c r="D51" s="6" t="s">
        <v>111</v>
      </c>
      <c r="E51" s="6" t="s">
        <v>58</v>
      </c>
      <c r="F51" s="6" t="s">
        <v>60</v>
      </c>
      <c r="G51" s="6" t="n">
        <v>58</v>
      </c>
      <c r="H51" s="6" t="n">
        <v>3281000</v>
      </c>
      <c r="I51" s="6" t="n">
        <v>1374300</v>
      </c>
      <c r="J51" s="6" t="n">
        <v>11090000</v>
      </c>
      <c r="K51" s="6" t="n">
        <v>7808900</v>
      </c>
      <c r="L51" s="6" t="n">
        <v>56</v>
      </c>
      <c r="M51" s="6" t="n">
        <v>0</v>
      </c>
      <c r="N51" s="6" t="n">
        <v>14347.3</v>
      </c>
    </row>
    <row r="52" customFormat="false" ht="15" hidden="false" customHeight="false" outlineLevel="0" collapsed="false">
      <c r="A52" s="6" t="s">
        <v>36</v>
      </c>
      <c r="B52" s="6" t="s">
        <v>24</v>
      </c>
      <c r="C52" s="6" t="s">
        <v>53</v>
      </c>
      <c r="D52" s="6" t="s">
        <v>111</v>
      </c>
      <c r="E52" s="6" t="s">
        <v>60</v>
      </c>
      <c r="F52" s="6" t="s">
        <v>58</v>
      </c>
      <c r="G52" s="6" t="n">
        <v>9</v>
      </c>
      <c r="H52" s="6" t="n">
        <v>805400</v>
      </c>
      <c r="I52" s="6" t="n">
        <v>269500</v>
      </c>
      <c r="J52" s="6" t="n">
        <v>1708900</v>
      </c>
      <c r="K52" s="6" t="n">
        <v>903300</v>
      </c>
      <c r="L52" s="6" t="n">
        <v>9</v>
      </c>
      <c r="M52" s="6" t="n">
        <v>0</v>
      </c>
      <c r="N52" s="6" t="n">
        <v>1079.1</v>
      </c>
    </row>
    <row r="53" customFormat="false" ht="15" hidden="false" customHeight="false" outlineLevel="0" collapsed="false">
      <c r="A53" s="6" t="s">
        <v>36</v>
      </c>
      <c r="B53" s="6" t="s">
        <v>24</v>
      </c>
      <c r="C53" s="6" t="s">
        <v>53</v>
      </c>
      <c r="D53" s="6" t="s">
        <v>111</v>
      </c>
      <c r="E53" s="6" t="s">
        <v>60</v>
      </c>
      <c r="F53" s="6" t="s">
        <v>60</v>
      </c>
      <c r="G53" s="6" t="n">
        <v>17</v>
      </c>
      <c r="H53" s="6" t="n">
        <v>977500</v>
      </c>
      <c r="I53" s="6" t="n">
        <v>455400</v>
      </c>
      <c r="J53" s="6" t="n">
        <v>4311500</v>
      </c>
      <c r="K53" s="6" t="n">
        <v>3334300</v>
      </c>
      <c r="L53" s="6" t="n">
        <v>17</v>
      </c>
      <c r="M53" s="6" t="n">
        <v>1</v>
      </c>
      <c r="N53" s="6" t="n">
        <v>6034.4</v>
      </c>
    </row>
    <row r="54" customFormat="false" ht="15" hidden="false" customHeight="false" outlineLevel="0" collapsed="false">
      <c r="A54" s="6" t="s">
        <v>36</v>
      </c>
      <c r="B54" s="6" t="s">
        <v>24</v>
      </c>
      <c r="C54" s="6" t="s">
        <v>53</v>
      </c>
      <c r="D54" s="6" t="s">
        <v>112</v>
      </c>
      <c r="E54" s="6" t="s">
        <v>58</v>
      </c>
      <c r="F54" s="6" t="s">
        <v>58</v>
      </c>
      <c r="G54" s="6" t="n">
        <v>23</v>
      </c>
      <c r="H54" s="6" t="n">
        <v>1742100</v>
      </c>
      <c r="I54" s="6" t="n">
        <v>880900</v>
      </c>
      <c r="J54" s="6" t="n">
        <v>3814000</v>
      </c>
      <c r="K54" s="6" t="n">
        <v>2072000</v>
      </c>
      <c r="L54" s="6" t="n">
        <v>22</v>
      </c>
      <c r="M54" s="6" t="n">
        <v>0</v>
      </c>
      <c r="N54" s="6" t="n">
        <v>2824.4</v>
      </c>
    </row>
    <row r="55" customFormat="false" ht="15" hidden="false" customHeight="false" outlineLevel="0" collapsed="false">
      <c r="A55" s="6" t="s">
        <v>36</v>
      </c>
      <c r="B55" s="6" t="s">
        <v>24</v>
      </c>
      <c r="C55" s="6" t="s">
        <v>53</v>
      </c>
      <c r="D55" s="6" t="s">
        <v>112</v>
      </c>
      <c r="E55" s="6" t="s">
        <v>58</v>
      </c>
      <c r="F55" s="6" t="s">
        <v>60</v>
      </c>
      <c r="G55" s="6" t="n">
        <v>65</v>
      </c>
      <c r="H55" s="6" t="n">
        <v>3748000</v>
      </c>
      <c r="I55" s="6" t="n">
        <v>1467700</v>
      </c>
      <c r="J55" s="6" t="n">
        <v>12432300</v>
      </c>
      <c r="K55" s="6" t="n">
        <v>8684500</v>
      </c>
      <c r="L55" s="6" t="n">
        <v>63</v>
      </c>
      <c r="M55" s="6" t="n">
        <v>1</v>
      </c>
      <c r="N55" s="6" t="n">
        <v>15635.9</v>
      </c>
    </row>
    <row r="56" customFormat="false" ht="15" hidden="false" customHeight="false" outlineLevel="0" collapsed="false">
      <c r="A56" s="6" t="s">
        <v>36</v>
      </c>
      <c r="B56" s="6" t="s">
        <v>24</v>
      </c>
      <c r="C56" s="6" t="s">
        <v>53</v>
      </c>
      <c r="D56" s="6" t="s">
        <v>112</v>
      </c>
      <c r="E56" s="6" t="s">
        <v>60</v>
      </c>
      <c r="F56" s="6" t="s">
        <v>58</v>
      </c>
      <c r="G56" s="6" t="n">
        <v>12</v>
      </c>
      <c r="H56" s="6" t="n">
        <v>914900</v>
      </c>
      <c r="I56" s="6" t="n">
        <v>235700</v>
      </c>
      <c r="J56" s="6" t="n">
        <v>2830300</v>
      </c>
      <c r="K56" s="6" t="n">
        <v>1915500</v>
      </c>
      <c r="L56" s="6" t="n">
        <v>12</v>
      </c>
      <c r="M56" s="6" t="n">
        <v>0</v>
      </c>
      <c r="N56" s="6" t="n">
        <v>2683.7</v>
      </c>
    </row>
    <row r="57" customFormat="false" ht="15" hidden="false" customHeight="false" outlineLevel="0" collapsed="false">
      <c r="A57" s="6" t="s">
        <v>36</v>
      </c>
      <c r="B57" s="6" t="s">
        <v>24</v>
      </c>
      <c r="C57" s="6" t="s">
        <v>53</v>
      </c>
      <c r="D57" s="6" t="s">
        <v>112</v>
      </c>
      <c r="E57" s="6" t="s">
        <v>60</v>
      </c>
      <c r="F57" s="6" t="s">
        <v>60</v>
      </c>
      <c r="G57" s="6" t="n">
        <v>39</v>
      </c>
      <c r="H57" s="6" t="n">
        <v>2254200</v>
      </c>
      <c r="I57" s="6" t="n">
        <v>1006100</v>
      </c>
      <c r="J57" s="6" t="n">
        <v>7748300</v>
      </c>
      <c r="K57" s="6" t="n">
        <v>5493700</v>
      </c>
      <c r="L57" s="6" t="n">
        <v>39</v>
      </c>
      <c r="M57" s="6" t="n">
        <v>0</v>
      </c>
      <c r="N57" s="6" t="n">
        <v>9578.1</v>
      </c>
    </row>
    <row r="58" customFormat="false" ht="15" hidden="false" customHeight="false" outlineLevel="0" collapsed="false">
      <c r="A58" s="6" t="s">
        <v>36</v>
      </c>
      <c r="B58" s="6" t="s">
        <v>24</v>
      </c>
      <c r="C58" s="6" t="s">
        <v>53</v>
      </c>
      <c r="D58" s="6" t="s">
        <v>113</v>
      </c>
      <c r="E58" s="6" t="s">
        <v>58</v>
      </c>
      <c r="F58" s="6" t="s">
        <v>58</v>
      </c>
      <c r="G58" s="6" t="n">
        <v>29</v>
      </c>
      <c r="H58" s="6" t="n">
        <v>2482100</v>
      </c>
      <c r="I58" s="6" t="n">
        <v>1109500</v>
      </c>
      <c r="J58" s="6" t="n">
        <v>4862000</v>
      </c>
      <c r="K58" s="6" t="n">
        <v>2379800</v>
      </c>
      <c r="L58" s="6" t="n">
        <v>23</v>
      </c>
      <c r="M58" s="6" t="n">
        <v>0</v>
      </c>
      <c r="N58" s="6" t="n">
        <v>3245.9</v>
      </c>
    </row>
    <row r="59" customFormat="false" ht="15" hidden="false" customHeight="false" outlineLevel="0" collapsed="false">
      <c r="A59" s="6" t="s">
        <v>36</v>
      </c>
      <c r="B59" s="6" t="s">
        <v>24</v>
      </c>
      <c r="C59" s="6" t="s">
        <v>53</v>
      </c>
      <c r="D59" s="6" t="s">
        <v>113</v>
      </c>
      <c r="E59" s="6" t="s">
        <v>58</v>
      </c>
      <c r="F59" s="6" t="s">
        <v>60</v>
      </c>
      <c r="G59" s="6" t="n">
        <v>57</v>
      </c>
      <c r="H59" s="6" t="n">
        <v>3235200</v>
      </c>
      <c r="I59" s="6" t="n">
        <v>1340800</v>
      </c>
      <c r="J59" s="6" t="n">
        <v>10878300</v>
      </c>
      <c r="K59" s="6" t="n">
        <v>7642900</v>
      </c>
      <c r="L59" s="6" t="n">
        <v>56</v>
      </c>
      <c r="M59" s="6" t="n">
        <v>0</v>
      </c>
      <c r="N59" s="6" t="n">
        <v>13878.8</v>
      </c>
    </row>
    <row r="60" customFormat="false" ht="15" hidden="false" customHeight="false" outlineLevel="0" collapsed="false">
      <c r="A60" s="6" t="s">
        <v>36</v>
      </c>
      <c r="B60" s="6" t="s">
        <v>24</v>
      </c>
      <c r="C60" s="6" t="s">
        <v>53</v>
      </c>
      <c r="D60" s="6" t="s">
        <v>113</v>
      </c>
      <c r="E60" s="6" t="s">
        <v>60</v>
      </c>
      <c r="F60" s="6" t="s">
        <v>58</v>
      </c>
      <c r="G60" s="6" t="n">
        <v>13</v>
      </c>
      <c r="H60" s="6" t="n">
        <v>1073500</v>
      </c>
      <c r="I60" s="6" t="n">
        <v>525600</v>
      </c>
      <c r="J60" s="6" t="n">
        <v>2280400</v>
      </c>
      <c r="K60" s="6" t="n">
        <v>1206900</v>
      </c>
      <c r="L60" s="6" t="n">
        <v>12</v>
      </c>
      <c r="M60" s="6" t="n">
        <v>1</v>
      </c>
      <c r="N60" s="6" t="n">
        <v>1481.3</v>
      </c>
    </row>
    <row r="61" customFormat="false" ht="15" hidden="false" customHeight="false" outlineLevel="0" collapsed="false">
      <c r="A61" s="6" t="s">
        <v>36</v>
      </c>
      <c r="B61" s="6" t="s">
        <v>24</v>
      </c>
      <c r="C61" s="6" t="s">
        <v>53</v>
      </c>
      <c r="D61" s="6" t="s">
        <v>113</v>
      </c>
      <c r="E61" s="6" t="s">
        <v>60</v>
      </c>
      <c r="F61" s="6" t="s">
        <v>60</v>
      </c>
      <c r="G61" s="6" t="n">
        <v>44</v>
      </c>
      <c r="H61" s="6" t="n">
        <v>2576200</v>
      </c>
      <c r="I61" s="6" t="n">
        <v>1167000</v>
      </c>
      <c r="J61" s="6" t="n">
        <v>9112200</v>
      </c>
      <c r="K61" s="6" t="n">
        <v>6535900</v>
      </c>
      <c r="L61" s="6" t="n">
        <v>44</v>
      </c>
      <c r="M61" s="6" t="n">
        <v>0</v>
      </c>
      <c r="N61" s="6" t="n">
        <v>11908.8</v>
      </c>
    </row>
    <row r="62" customFormat="false" ht="15" hidden="false" customHeight="false" outlineLevel="0" collapsed="false">
      <c r="A62" s="6" t="s">
        <v>36</v>
      </c>
      <c r="B62" s="6" t="s">
        <v>24</v>
      </c>
      <c r="C62" s="6" t="s">
        <v>53</v>
      </c>
      <c r="D62" s="6" t="s">
        <v>114</v>
      </c>
      <c r="E62" s="6" t="s">
        <v>58</v>
      </c>
      <c r="F62" s="6" t="s">
        <v>58</v>
      </c>
      <c r="G62" s="6" t="n">
        <v>33</v>
      </c>
      <c r="H62" s="6" t="n">
        <v>2577800</v>
      </c>
      <c r="I62" s="6" t="n">
        <v>833700</v>
      </c>
      <c r="J62" s="6" t="n">
        <v>6513200</v>
      </c>
      <c r="K62" s="6" t="n">
        <v>3935300</v>
      </c>
      <c r="L62" s="6" t="n">
        <v>29</v>
      </c>
      <c r="M62" s="6" t="n">
        <v>0</v>
      </c>
      <c r="N62" s="6" t="n">
        <v>5400.5</v>
      </c>
    </row>
    <row r="63" customFormat="false" ht="15" hidden="false" customHeight="false" outlineLevel="0" collapsed="false">
      <c r="A63" s="6" t="s">
        <v>36</v>
      </c>
      <c r="B63" s="6" t="s">
        <v>24</v>
      </c>
      <c r="C63" s="6" t="s">
        <v>53</v>
      </c>
      <c r="D63" s="6" t="s">
        <v>114</v>
      </c>
      <c r="E63" s="6" t="s">
        <v>58</v>
      </c>
      <c r="F63" s="6" t="s">
        <v>60</v>
      </c>
      <c r="G63" s="6" t="n">
        <v>48</v>
      </c>
      <c r="H63" s="6" t="n">
        <v>2882100</v>
      </c>
      <c r="I63" s="6" t="n">
        <v>1007100</v>
      </c>
      <c r="J63" s="6" t="n">
        <v>9407700</v>
      </c>
      <c r="K63" s="6" t="n">
        <v>6525300</v>
      </c>
      <c r="L63" s="6" t="n">
        <v>48</v>
      </c>
      <c r="M63" s="6" t="n">
        <v>0</v>
      </c>
      <c r="N63" s="6" t="n">
        <v>11144.4</v>
      </c>
    </row>
    <row r="64" customFormat="false" ht="15" hidden="false" customHeight="false" outlineLevel="0" collapsed="false">
      <c r="A64" s="6" t="s">
        <v>36</v>
      </c>
      <c r="B64" s="6" t="s">
        <v>24</v>
      </c>
      <c r="C64" s="6" t="s">
        <v>53</v>
      </c>
      <c r="D64" s="6" t="s">
        <v>114</v>
      </c>
      <c r="E64" s="6" t="s">
        <v>60</v>
      </c>
      <c r="F64" s="6" t="s">
        <v>58</v>
      </c>
      <c r="G64" s="6" t="n">
        <v>11</v>
      </c>
      <c r="H64" s="6" t="n">
        <v>827400</v>
      </c>
      <c r="I64" s="6" t="n">
        <v>398500</v>
      </c>
      <c r="J64" s="6" t="n">
        <v>2346200</v>
      </c>
      <c r="K64" s="6" t="n">
        <v>1519000</v>
      </c>
      <c r="L64" s="6" t="n">
        <v>11</v>
      </c>
      <c r="M64" s="6" t="n">
        <v>0</v>
      </c>
      <c r="N64" s="6" t="n">
        <v>2089.7</v>
      </c>
    </row>
    <row r="65" customFormat="false" ht="15" hidden="false" customHeight="false" outlineLevel="0" collapsed="false">
      <c r="A65" s="6" t="s">
        <v>36</v>
      </c>
      <c r="B65" s="6" t="s">
        <v>24</v>
      </c>
      <c r="C65" s="6" t="s">
        <v>53</v>
      </c>
      <c r="D65" s="6" t="s">
        <v>114</v>
      </c>
      <c r="E65" s="6" t="s">
        <v>60</v>
      </c>
      <c r="F65" s="6" t="s">
        <v>60</v>
      </c>
      <c r="G65" s="6" t="n">
        <v>23</v>
      </c>
      <c r="H65" s="6" t="n">
        <v>1388800</v>
      </c>
      <c r="I65" s="6" t="n">
        <v>524900</v>
      </c>
      <c r="J65" s="6" t="n">
        <v>4747000</v>
      </c>
      <c r="K65" s="6" t="n">
        <v>3358200</v>
      </c>
      <c r="L65" s="6" t="n">
        <v>23</v>
      </c>
      <c r="M65" s="6" t="n">
        <v>0</v>
      </c>
      <c r="N65" s="6" t="n">
        <v>5665.6</v>
      </c>
    </row>
    <row r="66" customFormat="false" ht="15" hidden="false" customHeight="false" outlineLevel="0" collapsed="false">
      <c r="A66" s="6" t="s">
        <v>36</v>
      </c>
      <c r="B66" s="6" t="s">
        <v>24</v>
      </c>
      <c r="C66" s="6" t="s">
        <v>51</v>
      </c>
      <c r="D66" s="6" t="s">
        <v>111</v>
      </c>
      <c r="E66" s="6" t="s">
        <v>58</v>
      </c>
      <c r="F66" s="6" t="s">
        <v>58</v>
      </c>
      <c r="G66" s="6" t="n">
        <v>19</v>
      </c>
      <c r="H66" s="6" t="n">
        <v>2332800</v>
      </c>
      <c r="I66" s="6" t="n">
        <v>1088900</v>
      </c>
      <c r="J66" s="6" t="n">
        <v>5299100</v>
      </c>
      <c r="K66" s="6" t="n">
        <v>2966700</v>
      </c>
      <c r="L66" s="6" t="n">
        <v>18</v>
      </c>
      <c r="M66" s="6" t="n">
        <v>0</v>
      </c>
      <c r="N66" s="6" t="n">
        <v>2601.3</v>
      </c>
    </row>
    <row r="67" customFormat="false" ht="15" hidden="false" customHeight="false" outlineLevel="0" collapsed="false">
      <c r="A67" s="6" t="s">
        <v>36</v>
      </c>
      <c r="B67" s="6" t="s">
        <v>24</v>
      </c>
      <c r="C67" s="6" t="s">
        <v>51</v>
      </c>
      <c r="D67" s="6" t="s">
        <v>111</v>
      </c>
      <c r="E67" s="6" t="s">
        <v>58</v>
      </c>
      <c r="F67" s="6" t="s">
        <v>60</v>
      </c>
      <c r="G67" s="6" t="n">
        <v>33</v>
      </c>
      <c r="H67" s="6" t="n">
        <v>2594200</v>
      </c>
      <c r="I67" s="6" t="n">
        <v>1357200</v>
      </c>
      <c r="J67" s="6" t="n">
        <v>9423500</v>
      </c>
      <c r="K67" s="6" t="n">
        <v>6830000</v>
      </c>
      <c r="L67" s="6" t="n">
        <v>32</v>
      </c>
      <c r="M67" s="6" t="n">
        <v>4</v>
      </c>
      <c r="N67" s="6" t="n">
        <v>9144.5</v>
      </c>
    </row>
    <row r="68" customFormat="false" ht="15" hidden="false" customHeight="false" outlineLevel="0" collapsed="false">
      <c r="A68" s="6" t="s">
        <v>36</v>
      </c>
      <c r="B68" s="6" t="s">
        <v>24</v>
      </c>
      <c r="C68" s="6" t="s">
        <v>51</v>
      </c>
      <c r="D68" s="6" t="s">
        <v>111</v>
      </c>
      <c r="E68" s="6" t="s">
        <v>60</v>
      </c>
      <c r="F68" s="6" t="s">
        <v>58</v>
      </c>
      <c r="G68" s="6" t="n">
        <v>4</v>
      </c>
      <c r="H68" s="6" t="n">
        <v>491500</v>
      </c>
      <c r="I68" s="6" t="n">
        <v>244800</v>
      </c>
      <c r="J68" s="6" t="n">
        <v>834200</v>
      </c>
      <c r="K68" s="6" t="n">
        <v>342800</v>
      </c>
      <c r="L68" s="6" t="n">
        <v>4</v>
      </c>
      <c r="M68" s="6" t="n">
        <v>0</v>
      </c>
      <c r="N68" s="6" t="n">
        <v>276</v>
      </c>
    </row>
    <row r="69" customFormat="false" ht="15" hidden="false" customHeight="false" outlineLevel="0" collapsed="false">
      <c r="A69" s="6" t="s">
        <v>36</v>
      </c>
      <c r="B69" s="6" t="s">
        <v>24</v>
      </c>
      <c r="C69" s="6" t="s">
        <v>51</v>
      </c>
      <c r="D69" s="6" t="s">
        <v>111</v>
      </c>
      <c r="E69" s="6" t="s">
        <v>60</v>
      </c>
      <c r="F69" s="6" t="s">
        <v>60</v>
      </c>
      <c r="G69" s="6" t="n">
        <v>23</v>
      </c>
      <c r="H69" s="6" t="n">
        <v>1882100</v>
      </c>
      <c r="I69" s="6" t="n">
        <v>804000</v>
      </c>
      <c r="J69" s="6" t="n">
        <v>6140400</v>
      </c>
      <c r="K69" s="6" t="n">
        <v>4258400</v>
      </c>
      <c r="L69" s="6" t="n">
        <v>23</v>
      </c>
      <c r="M69" s="6" t="n">
        <v>1</v>
      </c>
      <c r="N69" s="6" t="n">
        <v>5402.2</v>
      </c>
    </row>
    <row r="70" customFormat="false" ht="15" hidden="false" customHeight="false" outlineLevel="0" collapsed="false">
      <c r="A70" s="6" t="s">
        <v>36</v>
      </c>
      <c r="B70" s="6" t="s">
        <v>24</v>
      </c>
      <c r="C70" s="6" t="s">
        <v>51</v>
      </c>
      <c r="D70" s="6" t="s">
        <v>112</v>
      </c>
      <c r="E70" s="6" t="s">
        <v>58</v>
      </c>
      <c r="F70" s="6" t="s">
        <v>58</v>
      </c>
      <c r="G70" s="6" t="n">
        <v>9</v>
      </c>
      <c r="H70" s="6" t="n">
        <v>990800</v>
      </c>
      <c r="I70" s="6" t="n">
        <v>446900</v>
      </c>
      <c r="J70" s="6" t="n">
        <v>2020100</v>
      </c>
      <c r="K70" s="6" t="n">
        <v>1029300</v>
      </c>
      <c r="L70" s="6" t="n">
        <v>8</v>
      </c>
      <c r="M70" s="6" t="n">
        <v>0</v>
      </c>
      <c r="N70" s="6" t="n">
        <v>1070.7</v>
      </c>
    </row>
    <row r="71" customFormat="false" ht="15" hidden="false" customHeight="false" outlineLevel="0" collapsed="false">
      <c r="A71" s="6" t="s">
        <v>36</v>
      </c>
      <c r="B71" s="6" t="s">
        <v>24</v>
      </c>
      <c r="C71" s="6" t="s">
        <v>51</v>
      </c>
      <c r="D71" s="6" t="s">
        <v>112</v>
      </c>
      <c r="E71" s="6" t="s">
        <v>58</v>
      </c>
      <c r="F71" s="6" t="s">
        <v>60</v>
      </c>
      <c r="G71" s="6" t="n">
        <v>39</v>
      </c>
      <c r="H71" s="6" t="n">
        <v>3327700</v>
      </c>
      <c r="I71" s="6" t="n">
        <v>1325900</v>
      </c>
      <c r="J71" s="6" t="n">
        <v>9896600</v>
      </c>
      <c r="K71" s="6" t="n">
        <v>6569100</v>
      </c>
      <c r="L71" s="6" t="n">
        <v>39</v>
      </c>
      <c r="M71" s="6" t="n">
        <v>1</v>
      </c>
      <c r="N71" s="6" t="n">
        <v>8010.2</v>
      </c>
    </row>
    <row r="72" customFormat="false" ht="15" hidden="false" customHeight="false" outlineLevel="0" collapsed="false">
      <c r="A72" s="6" t="s">
        <v>36</v>
      </c>
      <c r="B72" s="6" t="s">
        <v>24</v>
      </c>
      <c r="C72" s="6" t="s">
        <v>51</v>
      </c>
      <c r="D72" s="6" t="s">
        <v>112</v>
      </c>
      <c r="E72" s="6" t="s">
        <v>60</v>
      </c>
      <c r="F72" s="6" t="s">
        <v>58</v>
      </c>
      <c r="G72" s="6" t="n">
        <v>10</v>
      </c>
      <c r="H72" s="6" t="n">
        <v>1171800</v>
      </c>
      <c r="I72" s="6" t="n">
        <v>328600</v>
      </c>
      <c r="J72" s="6" t="n">
        <v>2082300</v>
      </c>
      <c r="K72" s="6" t="n">
        <v>910600</v>
      </c>
      <c r="L72" s="6" t="n">
        <v>10</v>
      </c>
      <c r="M72" s="6" t="n">
        <v>0</v>
      </c>
      <c r="N72" s="6" t="n">
        <v>881.9</v>
      </c>
    </row>
    <row r="73" customFormat="false" ht="15" hidden="false" customHeight="false" outlineLevel="0" collapsed="false">
      <c r="A73" s="6" t="s">
        <v>36</v>
      </c>
      <c r="B73" s="6" t="s">
        <v>24</v>
      </c>
      <c r="C73" s="6" t="s">
        <v>51</v>
      </c>
      <c r="D73" s="6" t="s">
        <v>112</v>
      </c>
      <c r="E73" s="6" t="s">
        <v>60</v>
      </c>
      <c r="F73" s="6" t="s">
        <v>60</v>
      </c>
      <c r="G73" s="6" t="n">
        <v>25</v>
      </c>
      <c r="H73" s="6" t="n">
        <v>2282100</v>
      </c>
      <c r="I73" s="6" t="n">
        <v>1464000</v>
      </c>
      <c r="J73" s="6" t="n">
        <v>6448200</v>
      </c>
      <c r="K73" s="6" t="n">
        <v>4166100</v>
      </c>
      <c r="L73" s="6" t="n">
        <v>24</v>
      </c>
      <c r="M73" s="6" t="n">
        <v>0</v>
      </c>
      <c r="N73" s="6" t="n">
        <v>4789.2</v>
      </c>
    </row>
    <row r="74" customFormat="false" ht="15" hidden="false" customHeight="false" outlineLevel="0" collapsed="false">
      <c r="A74" s="6" t="s">
        <v>36</v>
      </c>
      <c r="B74" s="6" t="s">
        <v>24</v>
      </c>
      <c r="C74" s="6" t="s">
        <v>51</v>
      </c>
      <c r="D74" s="6" t="s">
        <v>113</v>
      </c>
      <c r="E74" s="6" t="s">
        <v>58</v>
      </c>
      <c r="F74" s="6" t="s">
        <v>58</v>
      </c>
      <c r="G74" s="6" t="n">
        <v>24</v>
      </c>
      <c r="H74" s="6" t="n">
        <v>2748100</v>
      </c>
      <c r="I74" s="6" t="n">
        <v>816400</v>
      </c>
      <c r="J74" s="6" t="n">
        <v>6544800</v>
      </c>
      <c r="K74" s="6" t="n">
        <v>3796400</v>
      </c>
      <c r="L74" s="6" t="n">
        <v>24</v>
      </c>
      <c r="M74" s="6" t="n">
        <v>1</v>
      </c>
      <c r="N74" s="6" t="n">
        <v>3703.2</v>
      </c>
    </row>
    <row r="75" customFormat="false" ht="15" hidden="false" customHeight="false" outlineLevel="0" collapsed="false">
      <c r="A75" s="6" t="s">
        <v>36</v>
      </c>
      <c r="B75" s="6" t="s">
        <v>24</v>
      </c>
      <c r="C75" s="6" t="s">
        <v>51</v>
      </c>
      <c r="D75" s="6" t="s">
        <v>113</v>
      </c>
      <c r="E75" s="6" t="s">
        <v>58</v>
      </c>
      <c r="F75" s="6" t="s">
        <v>60</v>
      </c>
      <c r="G75" s="6" t="n">
        <v>52</v>
      </c>
      <c r="H75" s="6" t="n">
        <v>4237600</v>
      </c>
      <c r="I75" s="6" t="n">
        <v>1652900</v>
      </c>
      <c r="J75" s="6" t="n">
        <v>13884000</v>
      </c>
      <c r="K75" s="6" t="n">
        <v>9646100</v>
      </c>
      <c r="L75" s="6" t="n">
        <v>52</v>
      </c>
      <c r="M75" s="6" t="n">
        <v>2</v>
      </c>
      <c r="N75" s="6" t="n">
        <v>12498</v>
      </c>
    </row>
    <row r="76" customFormat="false" ht="15" hidden="false" customHeight="false" outlineLevel="0" collapsed="false">
      <c r="A76" s="6" t="s">
        <v>36</v>
      </c>
      <c r="B76" s="6" t="s">
        <v>24</v>
      </c>
      <c r="C76" s="6" t="s">
        <v>51</v>
      </c>
      <c r="D76" s="6" t="s">
        <v>113</v>
      </c>
      <c r="E76" s="6" t="s">
        <v>60</v>
      </c>
      <c r="F76" s="6" t="s">
        <v>58</v>
      </c>
      <c r="G76" s="6" t="n">
        <v>13</v>
      </c>
      <c r="H76" s="6" t="n">
        <v>1523200</v>
      </c>
      <c r="I76" s="6" t="n">
        <v>615100</v>
      </c>
      <c r="J76" s="6" t="n">
        <v>3438200</v>
      </c>
      <c r="K76" s="6" t="n">
        <v>1914900</v>
      </c>
      <c r="L76" s="6" t="n">
        <v>12</v>
      </c>
      <c r="M76" s="6" t="n">
        <v>1</v>
      </c>
      <c r="N76" s="6" t="n">
        <v>1814.8</v>
      </c>
    </row>
    <row r="77" customFormat="false" ht="15" hidden="false" customHeight="false" outlineLevel="0" collapsed="false">
      <c r="A77" s="6" t="s">
        <v>36</v>
      </c>
      <c r="B77" s="6" t="s">
        <v>24</v>
      </c>
      <c r="C77" s="6" t="s">
        <v>51</v>
      </c>
      <c r="D77" s="6" t="s">
        <v>113</v>
      </c>
      <c r="E77" s="6" t="s">
        <v>60</v>
      </c>
      <c r="F77" s="6" t="s">
        <v>60</v>
      </c>
      <c r="G77" s="6" t="n">
        <v>23</v>
      </c>
      <c r="H77" s="6" t="n">
        <v>1921600</v>
      </c>
      <c r="I77" s="6" t="n">
        <v>958900</v>
      </c>
      <c r="J77" s="6" t="n">
        <v>6572500</v>
      </c>
      <c r="K77" s="6" t="n">
        <v>4651300</v>
      </c>
      <c r="L77" s="6" t="n">
        <v>23</v>
      </c>
      <c r="M77" s="6" t="n">
        <v>0</v>
      </c>
      <c r="N77" s="6" t="n">
        <v>5717.7</v>
      </c>
    </row>
    <row r="78" customFormat="false" ht="15" hidden="false" customHeight="false" outlineLevel="0" collapsed="false">
      <c r="A78" s="6" t="s">
        <v>36</v>
      </c>
      <c r="B78" s="6" t="s">
        <v>24</v>
      </c>
      <c r="C78" s="6" t="s">
        <v>51</v>
      </c>
      <c r="D78" s="6" t="s">
        <v>114</v>
      </c>
      <c r="E78" s="6" t="s">
        <v>58</v>
      </c>
      <c r="F78" s="6" t="s">
        <v>58</v>
      </c>
      <c r="G78" s="6" t="n">
        <v>17</v>
      </c>
      <c r="H78" s="6" t="n">
        <v>1995400</v>
      </c>
      <c r="I78" s="6" t="n">
        <v>871300</v>
      </c>
      <c r="J78" s="6" t="n">
        <v>3673200</v>
      </c>
      <c r="K78" s="6" t="n">
        <v>1677900</v>
      </c>
      <c r="L78" s="6" t="n">
        <v>16</v>
      </c>
      <c r="M78" s="6" t="n">
        <v>0</v>
      </c>
      <c r="N78" s="6" t="n">
        <v>1491.3</v>
      </c>
    </row>
    <row r="79" customFormat="false" ht="15" hidden="false" customHeight="false" outlineLevel="0" collapsed="false">
      <c r="A79" s="6" t="s">
        <v>36</v>
      </c>
      <c r="B79" s="6" t="s">
        <v>24</v>
      </c>
      <c r="C79" s="6" t="s">
        <v>51</v>
      </c>
      <c r="D79" s="6" t="s">
        <v>114</v>
      </c>
      <c r="E79" s="6" t="s">
        <v>58</v>
      </c>
      <c r="F79" s="6" t="s">
        <v>60</v>
      </c>
      <c r="G79" s="6" t="n">
        <v>29</v>
      </c>
      <c r="H79" s="6" t="n">
        <v>2195100</v>
      </c>
      <c r="I79" s="6" t="n">
        <v>909500</v>
      </c>
      <c r="J79" s="6" t="n">
        <v>7967100</v>
      </c>
      <c r="K79" s="6" t="n">
        <v>5772100</v>
      </c>
      <c r="L79" s="6" t="n">
        <v>29</v>
      </c>
      <c r="M79" s="6" t="n">
        <v>0</v>
      </c>
      <c r="N79" s="6" t="n">
        <v>7946.7</v>
      </c>
    </row>
    <row r="80" customFormat="false" ht="15" hidden="false" customHeight="false" outlineLevel="0" collapsed="false">
      <c r="A80" s="6" t="s">
        <v>36</v>
      </c>
      <c r="B80" s="6" t="s">
        <v>24</v>
      </c>
      <c r="C80" s="6" t="s">
        <v>51</v>
      </c>
      <c r="D80" s="6" t="s">
        <v>114</v>
      </c>
      <c r="E80" s="6" t="s">
        <v>60</v>
      </c>
      <c r="F80" s="6" t="s">
        <v>58</v>
      </c>
      <c r="G80" s="6" t="n">
        <v>7</v>
      </c>
      <c r="H80" s="6" t="n">
        <v>840200</v>
      </c>
      <c r="I80" s="6" t="n">
        <v>388700</v>
      </c>
      <c r="J80" s="6" t="n">
        <v>1793600</v>
      </c>
      <c r="K80" s="6" t="n">
        <v>953500</v>
      </c>
      <c r="L80" s="6" t="n">
        <v>7</v>
      </c>
      <c r="M80" s="6" t="n">
        <v>0</v>
      </c>
      <c r="N80" s="6" t="n">
        <v>811.7</v>
      </c>
    </row>
    <row r="81" customFormat="false" ht="15" hidden="false" customHeight="false" outlineLevel="0" collapsed="false">
      <c r="A81" s="6" t="s">
        <v>36</v>
      </c>
      <c r="B81" s="6" t="s">
        <v>24</v>
      </c>
      <c r="C81" s="6" t="s">
        <v>51</v>
      </c>
      <c r="D81" s="6" t="s">
        <v>114</v>
      </c>
      <c r="E81" s="6" t="s">
        <v>60</v>
      </c>
      <c r="F81" s="6" t="s">
        <v>60</v>
      </c>
      <c r="G81" s="6" t="n">
        <v>22</v>
      </c>
      <c r="H81" s="6" t="n">
        <v>1709900</v>
      </c>
      <c r="I81" s="6" t="n">
        <v>598600</v>
      </c>
      <c r="J81" s="6" t="n">
        <v>5981000</v>
      </c>
      <c r="K81" s="6" t="n">
        <v>4271100</v>
      </c>
      <c r="L81" s="6" t="n">
        <v>22</v>
      </c>
      <c r="M81" s="6" t="n">
        <v>1</v>
      </c>
      <c r="N81" s="6" t="n">
        <v>5702.4</v>
      </c>
    </row>
    <row r="82" customFormat="false" ht="15" hidden="false" customHeight="false" outlineLevel="0" collapsed="false">
      <c r="A82" s="6" t="s">
        <v>26</v>
      </c>
      <c r="B82" s="6" t="s">
        <v>26</v>
      </c>
      <c r="C82" s="6" t="s">
        <v>54</v>
      </c>
      <c r="D82" s="6" t="s">
        <v>111</v>
      </c>
      <c r="E82" s="6" t="s">
        <v>58</v>
      </c>
      <c r="F82" s="6" t="s">
        <v>58</v>
      </c>
      <c r="G82" s="6" t="n">
        <v>6</v>
      </c>
      <c r="H82" s="6" t="n">
        <v>928000</v>
      </c>
      <c r="I82" s="6" t="n">
        <v>482700</v>
      </c>
      <c r="J82" s="6" t="n">
        <v>1142900</v>
      </c>
      <c r="K82" s="6" t="n">
        <v>214800</v>
      </c>
      <c r="L82" s="6" t="n">
        <v>3</v>
      </c>
      <c r="M82" s="6" t="n">
        <v>0</v>
      </c>
      <c r="N82" s="6" t="n">
        <v>118.4</v>
      </c>
    </row>
    <row r="83" customFormat="false" ht="15" hidden="false" customHeight="false" outlineLevel="0" collapsed="false">
      <c r="A83" s="6" t="s">
        <v>26</v>
      </c>
      <c r="B83" s="6" t="s">
        <v>26</v>
      </c>
      <c r="C83" s="6" t="s">
        <v>54</v>
      </c>
      <c r="D83" s="6" t="s">
        <v>111</v>
      </c>
      <c r="E83" s="6" t="s">
        <v>58</v>
      </c>
      <c r="F83" s="6" t="s">
        <v>60</v>
      </c>
      <c r="G83" s="6" t="n">
        <v>13</v>
      </c>
      <c r="H83" s="6" t="n">
        <v>1348300</v>
      </c>
      <c r="I83" s="6" t="n">
        <v>560400</v>
      </c>
      <c r="J83" s="6" t="n">
        <v>2367100</v>
      </c>
      <c r="K83" s="6" t="n">
        <v>1018800</v>
      </c>
      <c r="L83" s="6" t="n">
        <v>12</v>
      </c>
      <c r="M83" s="6" t="n">
        <v>0</v>
      </c>
      <c r="N83" s="6" t="n">
        <v>1074</v>
      </c>
    </row>
    <row r="84" customFormat="false" ht="15" hidden="false" customHeight="false" outlineLevel="0" collapsed="false">
      <c r="A84" s="6" t="s">
        <v>26</v>
      </c>
      <c r="B84" s="6" t="s">
        <v>26</v>
      </c>
      <c r="C84" s="6" t="s">
        <v>54</v>
      </c>
      <c r="D84" s="6" t="s">
        <v>111</v>
      </c>
      <c r="E84" s="6" t="s">
        <v>60</v>
      </c>
      <c r="F84" s="6" t="s">
        <v>58</v>
      </c>
      <c r="G84" s="6" t="n">
        <v>6</v>
      </c>
      <c r="H84" s="6" t="n">
        <v>899000</v>
      </c>
      <c r="I84" s="6" t="n">
        <v>330100</v>
      </c>
      <c r="J84" s="6" t="n">
        <v>1252900</v>
      </c>
      <c r="K84" s="6" t="n">
        <v>353800</v>
      </c>
      <c r="L84" s="6" t="n">
        <v>4</v>
      </c>
      <c r="M84" s="6" t="n">
        <v>0</v>
      </c>
      <c r="N84" s="6" t="n">
        <v>287.9</v>
      </c>
    </row>
    <row r="85" customFormat="false" ht="15" hidden="false" customHeight="false" outlineLevel="0" collapsed="false">
      <c r="A85" s="6" t="s">
        <v>26</v>
      </c>
      <c r="B85" s="6" t="s">
        <v>26</v>
      </c>
      <c r="C85" s="6" t="s">
        <v>54</v>
      </c>
      <c r="D85" s="6" t="s">
        <v>111</v>
      </c>
      <c r="E85" s="6" t="s">
        <v>60</v>
      </c>
      <c r="F85" s="6" t="s">
        <v>60</v>
      </c>
      <c r="G85" s="6" t="n">
        <v>14</v>
      </c>
      <c r="H85" s="6" t="n">
        <v>1570700</v>
      </c>
      <c r="I85" s="6" t="n">
        <v>615800</v>
      </c>
      <c r="J85" s="6" t="n">
        <v>3333300</v>
      </c>
      <c r="K85" s="6" t="n">
        <v>1762800</v>
      </c>
      <c r="L85" s="6" t="n">
        <v>13</v>
      </c>
      <c r="M85" s="6" t="n">
        <v>0</v>
      </c>
      <c r="N85" s="6" t="n">
        <v>1616.4</v>
      </c>
    </row>
    <row r="86" customFormat="false" ht="15" hidden="false" customHeight="false" outlineLevel="0" collapsed="false">
      <c r="A86" s="6" t="s">
        <v>26</v>
      </c>
      <c r="B86" s="6" t="s">
        <v>26</v>
      </c>
      <c r="C86" s="6" t="s">
        <v>54</v>
      </c>
      <c r="D86" s="6" t="s">
        <v>112</v>
      </c>
      <c r="E86" s="6" t="s">
        <v>58</v>
      </c>
      <c r="F86" s="6" t="s">
        <v>58</v>
      </c>
      <c r="G86" s="6" t="n">
        <v>8</v>
      </c>
      <c r="H86" s="6" t="n">
        <v>1236900</v>
      </c>
      <c r="I86" s="6" t="n">
        <v>586200</v>
      </c>
      <c r="J86" s="6" t="n">
        <v>1432200</v>
      </c>
      <c r="K86" s="6" t="n">
        <v>195200</v>
      </c>
      <c r="L86" s="6" t="n">
        <v>3</v>
      </c>
      <c r="M86" s="6" t="n">
        <v>0</v>
      </c>
      <c r="N86" s="6" t="n">
        <v>132</v>
      </c>
    </row>
    <row r="87" customFormat="false" ht="15" hidden="false" customHeight="false" outlineLevel="0" collapsed="false">
      <c r="A87" s="6" t="s">
        <v>26</v>
      </c>
      <c r="B87" s="6" t="s">
        <v>26</v>
      </c>
      <c r="C87" s="6" t="s">
        <v>54</v>
      </c>
      <c r="D87" s="6" t="s">
        <v>112</v>
      </c>
      <c r="E87" s="6" t="s">
        <v>58</v>
      </c>
      <c r="F87" s="6" t="s">
        <v>60</v>
      </c>
      <c r="G87" s="6" t="n">
        <v>8</v>
      </c>
      <c r="H87" s="6" t="n">
        <v>810600</v>
      </c>
      <c r="I87" s="6" t="n">
        <v>419400</v>
      </c>
      <c r="J87" s="6" t="n">
        <v>1857600</v>
      </c>
      <c r="K87" s="6" t="n">
        <v>1047000</v>
      </c>
      <c r="L87" s="6" t="n">
        <v>8</v>
      </c>
      <c r="M87" s="6" t="n">
        <v>0</v>
      </c>
      <c r="N87" s="6" t="n">
        <v>1053.4</v>
      </c>
    </row>
    <row r="88" customFormat="false" ht="15" hidden="false" customHeight="false" outlineLevel="0" collapsed="false">
      <c r="A88" s="6" t="s">
        <v>26</v>
      </c>
      <c r="B88" s="6" t="s">
        <v>26</v>
      </c>
      <c r="C88" s="6" t="s">
        <v>54</v>
      </c>
      <c r="D88" s="6" t="s">
        <v>112</v>
      </c>
      <c r="E88" s="6" t="s">
        <v>60</v>
      </c>
      <c r="F88" s="6" t="s">
        <v>58</v>
      </c>
      <c r="G88" s="6" t="n">
        <v>7</v>
      </c>
      <c r="H88" s="6" t="n">
        <v>1190700</v>
      </c>
      <c r="I88" s="6" t="n">
        <v>393100</v>
      </c>
      <c r="J88" s="6" t="n">
        <v>1231600</v>
      </c>
      <c r="K88" s="6" t="n">
        <v>40900</v>
      </c>
      <c r="L88" s="6" t="n">
        <v>3</v>
      </c>
      <c r="M88" s="6" t="n">
        <v>0</v>
      </c>
      <c r="N88" s="6" t="n">
        <v>44.4</v>
      </c>
    </row>
    <row r="89" customFormat="false" ht="15" hidden="false" customHeight="false" outlineLevel="0" collapsed="false">
      <c r="A89" s="6" t="s">
        <v>26</v>
      </c>
      <c r="B89" s="6" t="s">
        <v>26</v>
      </c>
      <c r="C89" s="6" t="s">
        <v>54</v>
      </c>
      <c r="D89" s="6" t="s">
        <v>112</v>
      </c>
      <c r="E89" s="6" t="s">
        <v>60</v>
      </c>
      <c r="F89" s="6" t="s">
        <v>60</v>
      </c>
      <c r="G89" s="6" t="n">
        <v>9</v>
      </c>
      <c r="H89" s="6" t="n">
        <v>907900</v>
      </c>
      <c r="I89" s="6" t="n">
        <v>315100</v>
      </c>
      <c r="J89" s="6" t="n">
        <v>2322600</v>
      </c>
      <c r="K89" s="6" t="n">
        <v>1414600</v>
      </c>
      <c r="L89" s="6" t="n">
        <v>8</v>
      </c>
      <c r="M89" s="6" t="n">
        <v>0</v>
      </c>
      <c r="N89" s="6" t="n">
        <v>1501.6</v>
      </c>
    </row>
    <row r="90" customFormat="false" ht="15" hidden="false" customHeight="false" outlineLevel="0" collapsed="false">
      <c r="A90" s="6" t="s">
        <v>26</v>
      </c>
      <c r="B90" s="6" t="s">
        <v>26</v>
      </c>
      <c r="C90" s="6" t="s">
        <v>54</v>
      </c>
      <c r="D90" s="6" t="s">
        <v>113</v>
      </c>
      <c r="E90" s="6" t="s">
        <v>58</v>
      </c>
      <c r="F90" s="6" t="s">
        <v>58</v>
      </c>
      <c r="G90" s="6" t="n">
        <v>6</v>
      </c>
      <c r="H90" s="6" t="n">
        <v>824100</v>
      </c>
      <c r="I90" s="6" t="n">
        <v>380900</v>
      </c>
      <c r="J90" s="6" t="n">
        <v>1151600</v>
      </c>
      <c r="K90" s="6" t="n">
        <v>327500</v>
      </c>
      <c r="L90" s="6" t="n">
        <v>5</v>
      </c>
      <c r="M90" s="6" t="n">
        <v>0</v>
      </c>
      <c r="N90" s="6" t="n">
        <v>244.3</v>
      </c>
    </row>
    <row r="91" customFormat="false" ht="15" hidden="false" customHeight="false" outlineLevel="0" collapsed="false">
      <c r="A91" s="6" t="s">
        <v>26</v>
      </c>
      <c r="B91" s="6" t="s">
        <v>26</v>
      </c>
      <c r="C91" s="6" t="s">
        <v>54</v>
      </c>
      <c r="D91" s="6" t="s">
        <v>113</v>
      </c>
      <c r="E91" s="6" t="s">
        <v>58</v>
      </c>
      <c r="F91" s="6" t="s">
        <v>60</v>
      </c>
      <c r="G91" s="6" t="n">
        <v>11</v>
      </c>
      <c r="H91" s="6" t="n">
        <v>1192900</v>
      </c>
      <c r="I91" s="6" t="n">
        <v>289900</v>
      </c>
      <c r="J91" s="6" t="n">
        <v>2283400</v>
      </c>
      <c r="K91" s="6" t="n">
        <v>1090500</v>
      </c>
      <c r="L91" s="6" t="n">
        <v>11</v>
      </c>
      <c r="M91" s="6" t="n">
        <v>0</v>
      </c>
      <c r="N91" s="6" t="n">
        <v>1022.8</v>
      </c>
    </row>
    <row r="92" customFormat="false" ht="15" hidden="false" customHeight="false" outlineLevel="0" collapsed="false">
      <c r="A92" s="6" t="s">
        <v>26</v>
      </c>
      <c r="B92" s="6" t="s">
        <v>26</v>
      </c>
      <c r="C92" s="6" t="s">
        <v>54</v>
      </c>
      <c r="D92" s="6" t="s">
        <v>113</v>
      </c>
      <c r="E92" s="6" t="s">
        <v>60</v>
      </c>
      <c r="F92" s="6" t="s">
        <v>58</v>
      </c>
      <c r="G92" s="6" t="n">
        <v>9</v>
      </c>
      <c r="H92" s="6" t="n">
        <v>1448900</v>
      </c>
      <c r="I92" s="6" t="n">
        <v>689200</v>
      </c>
      <c r="J92" s="6" t="n">
        <v>2060700</v>
      </c>
      <c r="K92" s="6" t="n">
        <v>612100</v>
      </c>
      <c r="L92" s="6" t="n">
        <v>6</v>
      </c>
      <c r="M92" s="6" t="n">
        <v>0</v>
      </c>
      <c r="N92" s="6" t="n">
        <v>466.9</v>
      </c>
    </row>
    <row r="93" customFormat="false" ht="15" hidden="false" customHeight="false" outlineLevel="0" collapsed="false">
      <c r="A93" s="6" t="s">
        <v>26</v>
      </c>
      <c r="B93" s="6" t="s">
        <v>26</v>
      </c>
      <c r="C93" s="6" t="s">
        <v>54</v>
      </c>
      <c r="D93" s="6" t="s">
        <v>113</v>
      </c>
      <c r="E93" s="6" t="s">
        <v>60</v>
      </c>
      <c r="F93" s="6" t="s">
        <v>60</v>
      </c>
      <c r="G93" s="6" t="n">
        <v>15</v>
      </c>
      <c r="H93" s="6" t="n">
        <v>1511200</v>
      </c>
      <c r="I93" s="6" t="n">
        <v>754800</v>
      </c>
      <c r="J93" s="6" t="n">
        <v>3783300</v>
      </c>
      <c r="K93" s="6" t="n">
        <v>2272300</v>
      </c>
      <c r="L93" s="6" t="n">
        <v>15</v>
      </c>
      <c r="M93" s="6" t="n">
        <v>0</v>
      </c>
      <c r="N93" s="6" t="n">
        <v>2324.1</v>
      </c>
    </row>
    <row r="94" customFormat="false" ht="15" hidden="false" customHeight="false" outlineLevel="0" collapsed="false">
      <c r="A94" s="6" t="s">
        <v>26</v>
      </c>
      <c r="B94" s="6" t="s">
        <v>26</v>
      </c>
      <c r="C94" s="6" t="s">
        <v>54</v>
      </c>
      <c r="D94" s="6" t="s">
        <v>114</v>
      </c>
      <c r="E94" s="6" t="s">
        <v>58</v>
      </c>
      <c r="F94" s="6" t="s">
        <v>58</v>
      </c>
      <c r="G94" s="6" t="n">
        <v>5</v>
      </c>
      <c r="H94" s="6" t="n">
        <v>736100</v>
      </c>
      <c r="I94" s="6" t="n">
        <v>205200</v>
      </c>
      <c r="J94" s="6" t="n">
        <v>1416500</v>
      </c>
      <c r="K94" s="6" t="n">
        <v>680400</v>
      </c>
      <c r="L94" s="6" t="n">
        <v>5</v>
      </c>
      <c r="M94" s="6" t="n">
        <v>0</v>
      </c>
      <c r="N94" s="6" t="n">
        <v>498</v>
      </c>
    </row>
    <row r="95" customFormat="false" ht="15" hidden="false" customHeight="false" outlineLevel="0" collapsed="false">
      <c r="A95" s="6" t="s">
        <v>26</v>
      </c>
      <c r="B95" s="6" t="s">
        <v>26</v>
      </c>
      <c r="C95" s="6" t="s">
        <v>54</v>
      </c>
      <c r="D95" s="6" t="s">
        <v>114</v>
      </c>
      <c r="E95" s="6" t="s">
        <v>58</v>
      </c>
      <c r="F95" s="6" t="s">
        <v>60</v>
      </c>
      <c r="G95" s="6" t="n">
        <v>7</v>
      </c>
      <c r="H95" s="6" t="n">
        <v>794700</v>
      </c>
      <c r="I95" s="6" t="n">
        <v>359400</v>
      </c>
      <c r="J95" s="6" t="n">
        <v>1650900</v>
      </c>
      <c r="K95" s="6" t="n">
        <v>856200</v>
      </c>
      <c r="L95" s="6" t="n">
        <v>5</v>
      </c>
      <c r="M95" s="6" t="n">
        <v>1</v>
      </c>
      <c r="N95" s="6" t="n">
        <v>810.7</v>
      </c>
    </row>
    <row r="96" customFormat="false" ht="15" hidden="false" customHeight="false" outlineLevel="0" collapsed="false">
      <c r="A96" s="6" t="s">
        <v>26</v>
      </c>
      <c r="B96" s="6" t="s">
        <v>26</v>
      </c>
      <c r="C96" s="6" t="s">
        <v>54</v>
      </c>
      <c r="D96" s="6" t="s">
        <v>114</v>
      </c>
      <c r="E96" s="6" t="s">
        <v>60</v>
      </c>
      <c r="F96" s="6" t="s">
        <v>58</v>
      </c>
      <c r="G96" s="6" t="n">
        <v>7</v>
      </c>
      <c r="H96" s="6" t="n">
        <v>957100</v>
      </c>
      <c r="I96" s="6" t="n">
        <v>656300</v>
      </c>
      <c r="J96" s="6" t="n">
        <v>1702600</v>
      </c>
      <c r="K96" s="6" t="n">
        <v>745400</v>
      </c>
      <c r="L96" s="6" t="n">
        <v>7</v>
      </c>
      <c r="M96" s="6" t="n">
        <v>0</v>
      </c>
      <c r="N96" s="6" t="n">
        <v>550.3</v>
      </c>
    </row>
    <row r="97" customFormat="false" ht="15" hidden="false" customHeight="false" outlineLevel="0" collapsed="false">
      <c r="A97" s="6" t="s">
        <v>26</v>
      </c>
      <c r="B97" s="6" t="s">
        <v>26</v>
      </c>
      <c r="C97" s="6" t="s">
        <v>54</v>
      </c>
      <c r="D97" s="6" t="s">
        <v>114</v>
      </c>
      <c r="E97" s="6" t="s">
        <v>60</v>
      </c>
      <c r="F97" s="6" t="s">
        <v>60</v>
      </c>
      <c r="G97" s="6" t="n">
        <v>11</v>
      </c>
      <c r="H97" s="6" t="n">
        <v>1145100</v>
      </c>
      <c r="I97" s="6" t="n">
        <v>408400</v>
      </c>
      <c r="J97" s="6" t="n">
        <v>2672900</v>
      </c>
      <c r="K97" s="6" t="n">
        <v>1528000</v>
      </c>
      <c r="L97" s="6" t="n">
        <v>10</v>
      </c>
      <c r="M97" s="6" t="n">
        <v>0</v>
      </c>
      <c r="N97" s="6" t="n">
        <v>1514.6</v>
      </c>
    </row>
    <row r="98" customFormat="false" ht="15" hidden="false" customHeight="false" outlineLevel="0" collapsed="false">
      <c r="A98" s="6" t="s">
        <v>26</v>
      </c>
      <c r="B98" s="6" t="s">
        <v>26</v>
      </c>
      <c r="C98" s="6" t="s">
        <v>50</v>
      </c>
      <c r="D98" s="6" t="s">
        <v>111</v>
      </c>
      <c r="E98" s="6" t="s">
        <v>58</v>
      </c>
      <c r="F98" s="6" t="s">
        <v>58</v>
      </c>
      <c r="G98" s="6" t="n">
        <v>3</v>
      </c>
      <c r="H98" s="6" t="n">
        <v>517100</v>
      </c>
      <c r="I98" s="6" t="n">
        <v>262400</v>
      </c>
      <c r="J98" s="6" t="n">
        <v>927300</v>
      </c>
      <c r="K98" s="6" t="n">
        <v>410200</v>
      </c>
      <c r="L98" s="6" t="n">
        <v>3</v>
      </c>
      <c r="M98" s="6" t="n">
        <v>0</v>
      </c>
      <c r="N98" s="6" t="n">
        <v>245.1</v>
      </c>
    </row>
    <row r="99" customFormat="false" ht="15" hidden="false" customHeight="false" outlineLevel="0" collapsed="false">
      <c r="A99" s="6" t="s">
        <v>26</v>
      </c>
      <c r="B99" s="6" t="s">
        <v>26</v>
      </c>
      <c r="C99" s="6" t="s">
        <v>50</v>
      </c>
      <c r="D99" s="6" t="s">
        <v>111</v>
      </c>
      <c r="E99" s="6" t="s">
        <v>58</v>
      </c>
      <c r="F99" s="6" t="s">
        <v>60</v>
      </c>
      <c r="G99" s="6" t="n">
        <v>6</v>
      </c>
      <c r="H99" s="6" t="n">
        <v>893100</v>
      </c>
      <c r="I99" s="6" t="n">
        <v>672400</v>
      </c>
      <c r="J99" s="6" t="n">
        <v>3759100</v>
      </c>
      <c r="K99" s="6" t="n">
        <v>2866200</v>
      </c>
      <c r="L99" s="6" t="n">
        <v>6</v>
      </c>
      <c r="M99" s="6" t="n">
        <v>4</v>
      </c>
      <c r="N99" s="6" t="n">
        <v>1973.7</v>
      </c>
    </row>
    <row r="100" customFormat="false" ht="15" hidden="false" customHeight="false" outlineLevel="0" collapsed="false">
      <c r="A100" s="6" t="s">
        <v>26</v>
      </c>
      <c r="B100" s="6" t="s">
        <v>26</v>
      </c>
      <c r="C100" s="6" t="s">
        <v>50</v>
      </c>
      <c r="D100" s="6" t="s">
        <v>111</v>
      </c>
      <c r="E100" s="6" t="s">
        <v>60</v>
      </c>
      <c r="F100" s="6" t="s">
        <v>58</v>
      </c>
      <c r="G100" s="6" t="n">
        <v>2</v>
      </c>
      <c r="H100" s="6" t="n">
        <v>473400</v>
      </c>
      <c r="I100" s="6" t="n">
        <v>158100</v>
      </c>
      <c r="J100" s="6" t="n">
        <v>743800</v>
      </c>
      <c r="K100" s="6" t="n">
        <v>270300</v>
      </c>
      <c r="L100" s="6" t="n">
        <v>2</v>
      </c>
      <c r="M100" s="6" t="n">
        <v>0</v>
      </c>
      <c r="N100" s="6" t="n">
        <v>113.1</v>
      </c>
    </row>
    <row r="101" customFormat="false" ht="15" hidden="false" customHeight="false" outlineLevel="0" collapsed="false">
      <c r="A101" s="6" t="s">
        <v>26</v>
      </c>
      <c r="B101" s="6" t="s">
        <v>26</v>
      </c>
      <c r="C101" s="6" t="s">
        <v>50</v>
      </c>
      <c r="D101" s="6" t="s">
        <v>111</v>
      </c>
      <c r="E101" s="6" t="s">
        <v>60</v>
      </c>
      <c r="F101" s="6" t="s">
        <v>60</v>
      </c>
      <c r="G101" s="6" t="n">
        <v>9</v>
      </c>
      <c r="H101" s="6" t="n">
        <v>1267700</v>
      </c>
      <c r="I101" s="6" t="n">
        <v>775600</v>
      </c>
      <c r="J101" s="6" t="n">
        <v>4999200</v>
      </c>
      <c r="K101" s="6" t="n">
        <v>3731500</v>
      </c>
      <c r="L101" s="6" t="n">
        <v>9</v>
      </c>
      <c r="M101" s="6" t="n">
        <v>4</v>
      </c>
      <c r="N101" s="6" t="n">
        <v>2711.8</v>
      </c>
    </row>
    <row r="102" customFormat="false" ht="15" hidden="false" customHeight="false" outlineLevel="0" collapsed="false">
      <c r="A102" s="6" t="s">
        <v>26</v>
      </c>
      <c r="B102" s="6" t="s">
        <v>26</v>
      </c>
      <c r="C102" s="6" t="s">
        <v>50</v>
      </c>
      <c r="D102" s="6" t="s">
        <v>112</v>
      </c>
      <c r="E102" s="6" t="s">
        <v>58</v>
      </c>
      <c r="F102" s="6" t="s">
        <v>58</v>
      </c>
      <c r="G102" s="6" t="n">
        <v>4</v>
      </c>
      <c r="H102" s="6" t="n">
        <v>733500</v>
      </c>
      <c r="I102" s="6" t="n">
        <v>159900</v>
      </c>
      <c r="J102" s="6" t="n">
        <v>2353000</v>
      </c>
      <c r="K102" s="6" t="n">
        <v>1619500</v>
      </c>
      <c r="L102" s="6" t="n">
        <v>4</v>
      </c>
      <c r="M102" s="6" t="n">
        <v>2</v>
      </c>
      <c r="N102" s="6" t="n">
        <v>903.4</v>
      </c>
    </row>
    <row r="103" customFormat="false" ht="15" hidden="false" customHeight="false" outlineLevel="0" collapsed="false">
      <c r="A103" s="6" t="s">
        <v>26</v>
      </c>
      <c r="B103" s="6" t="s">
        <v>26</v>
      </c>
      <c r="C103" s="6" t="s">
        <v>50</v>
      </c>
      <c r="D103" s="6" t="s">
        <v>112</v>
      </c>
      <c r="E103" s="6" t="s">
        <v>58</v>
      </c>
      <c r="F103" s="6" t="s">
        <v>60</v>
      </c>
      <c r="G103" s="6" t="n">
        <v>16</v>
      </c>
      <c r="H103" s="6" t="n">
        <v>2344300</v>
      </c>
      <c r="I103" s="6" t="n">
        <v>790300</v>
      </c>
      <c r="J103" s="6" t="n">
        <v>8524800</v>
      </c>
      <c r="K103" s="6" t="n">
        <v>6180400</v>
      </c>
      <c r="L103" s="6" t="n">
        <v>16</v>
      </c>
      <c r="M103" s="6" t="n">
        <v>6</v>
      </c>
      <c r="N103" s="6" t="n">
        <v>4196.6</v>
      </c>
    </row>
    <row r="104" customFormat="false" ht="15" hidden="false" customHeight="false" outlineLevel="0" collapsed="false">
      <c r="A104" s="6" t="s">
        <v>26</v>
      </c>
      <c r="B104" s="6" t="s">
        <v>26</v>
      </c>
      <c r="C104" s="6" t="s">
        <v>50</v>
      </c>
      <c r="D104" s="6" t="s">
        <v>112</v>
      </c>
      <c r="E104" s="6" t="s">
        <v>60</v>
      </c>
      <c r="F104" s="6" t="s">
        <v>58</v>
      </c>
      <c r="G104" s="6" t="n">
        <v>1</v>
      </c>
      <c r="H104" s="6" t="n">
        <v>208900</v>
      </c>
      <c r="I104" s="6" t="n">
        <v>162900</v>
      </c>
      <c r="J104" s="6" t="n">
        <v>631700</v>
      </c>
      <c r="K104" s="6" t="n">
        <v>422800</v>
      </c>
      <c r="L104" s="6" t="n">
        <v>1</v>
      </c>
      <c r="M104" s="6" t="n">
        <v>0</v>
      </c>
      <c r="N104" s="6" t="n">
        <v>202.4</v>
      </c>
    </row>
    <row r="105" customFormat="false" ht="15" hidden="false" customHeight="false" outlineLevel="0" collapsed="false">
      <c r="A105" s="6" t="s">
        <v>26</v>
      </c>
      <c r="B105" s="6" t="s">
        <v>26</v>
      </c>
      <c r="C105" s="6" t="s">
        <v>50</v>
      </c>
      <c r="D105" s="6" t="s">
        <v>112</v>
      </c>
      <c r="E105" s="6" t="s">
        <v>60</v>
      </c>
      <c r="F105" s="6" t="s">
        <v>60</v>
      </c>
      <c r="G105" s="6" t="n">
        <v>4</v>
      </c>
      <c r="H105" s="6" t="n">
        <v>543000</v>
      </c>
      <c r="I105" s="6" t="n">
        <v>125300</v>
      </c>
      <c r="J105" s="6" t="n">
        <v>4203100</v>
      </c>
      <c r="K105" s="6" t="n">
        <v>3660000</v>
      </c>
      <c r="L105" s="6" t="n">
        <v>4</v>
      </c>
      <c r="M105" s="6" t="n">
        <v>3</v>
      </c>
      <c r="N105" s="6" t="n">
        <v>2858.3</v>
      </c>
    </row>
    <row r="106" customFormat="false" ht="15" hidden="false" customHeight="false" outlineLevel="0" collapsed="false">
      <c r="A106" s="6" t="s">
        <v>26</v>
      </c>
      <c r="B106" s="6" t="s">
        <v>26</v>
      </c>
      <c r="C106" s="6" t="s">
        <v>50</v>
      </c>
      <c r="D106" s="6" t="s">
        <v>113</v>
      </c>
      <c r="E106" s="6" t="s">
        <v>58</v>
      </c>
      <c r="F106" s="6" t="s">
        <v>58</v>
      </c>
      <c r="G106" s="6" t="n">
        <v>7</v>
      </c>
      <c r="H106" s="6" t="n">
        <v>1473900</v>
      </c>
      <c r="I106" s="6" t="n">
        <v>563800</v>
      </c>
      <c r="J106" s="6" t="n">
        <v>2801300</v>
      </c>
      <c r="K106" s="6" t="n">
        <v>1327300</v>
      </c>
      <c r="L106" s="6" t="n">
        <v>7</v>
      </c>
      <c r="M106" s="6" t="n">
        <v>0</v>
      </c>
      <c r="N106" s="6" t="n">
        <v>635.1</v>
      </c>
    </row>
    <row r="107" customFormat="false" ht="15" hidden="false" customHeight="false" outlineLevel="0" collapsed="false">
      <c r="A107" s="6" t="s">
        <v>26</v>
      </c>
      <c r="B107" s="6" t="s">
        <v>26</v>
      </c>
      <c r="C107" s="6" t="s">
        <v>50</v>
      </c>
      <c r="D107" s="6" t="s">
        <v>113</v>
      </c>
      <c r="E107" s="6" t="s">
        <v>58</v>
      </c>
      <c r="F107" s="6" t="s">
        <v>60</v>
      </c>
      <c r="G107" s="6" t="n">
        <v>7</v>
      </c>
      <c r="H107" s="6" t="n">
        <v>942000</v>
      </c>
      <c r="I107" s="6" t="n">
        <v>500300</v>
      </c>
      <c r="J107" s="6" t="n">
        <v>3602300</v>
      </c>
      <c r="K107" s="6" t="n">
        <v>2660300</v>
      </c>
      <c r="L107" s="6" t="n">
        <v>7</v>
      </c>
      <c r="M107" s="6" t="n">
        <v>3</v>
      </c>
      <c r="N107" s="6" t="n">
        <v>1963.6</v>
      </c>
    </row>
    <row r="108" customFormat="false" ht="15" hidden="false" customHeight="false" outlineLevel="0" collapsed="false">
      <c r="A108" s="6" t="s">
        <v>26</v>
      </c>
      <c r="B108" s="6" t="s">
        <v>26</v>
      </c>
      <c r="C108" s="6" t="s">
        <v>50</v>
      </c>
      <c r="D108" s="6" t="s">
        <v>113</v>
      </c>
      <c r="E108" s="6" t="s">
        <v>60</v>
      </c>
      <c r="F108" s="6" t="s">
        <v>58</v>
      </c>
      <c r="G108" s="6" t="n">
        <v>5</v>
      </c>
      <c r="H108" s="6" t="n">
        <v>935800</v>
      </c>
      <c r="I108" s="6" t="n">
        <v>677800</v>
      </c>
      <c r="J108" s="6" t="n">
        <v>2910500</v>
      </c>
      <c r="K108" s="6" t="n">
        <v>1974700</v>
      </c>
      <c r="L108" s="6" t="n">
        <v>4</v>
      </c>
      <c r="M108" s="6" t="n">
        <v>2</v>
      </c>
      <c r="N108" s="6" t="n">
        <v>1153</v>
      </c>
    </row>
    <row r="109" customFormat="false" ht="15" hidden="false" customHeight="false" outlineLevel="0" collapsed="false">
      <c r="A109" s="6" t="s">
        <v>26</v>
      </c>
      <c r="B109" s="6" t="s">
        <v>26</v>
      </c>
      <c r="C109" s="6" t="s">
        <v>50</v>
      </c>
      <c r="D109" s="6" t="s">
        <v>113</v>
      </c>
      <c r="E109" s="6" t="s">
        <v>60</v>
      </c>
      <c r="F109" s="6" t="s">
        <v>60</v>
      </c>
      <c r="G109" s="6" t="n">
        <v>12</v>
      </c>
      <c r="H109" s="6" t="n">
        <v>1698600</v>
      </c>
      <c r="I109" s="6" t="n">
        <v>579900</v>
      </c>
      <c r="J109" s="6" t="n">
        <v>6253200</v>
      </c>
      <c r="K109" s="6" t="n">
        <v>4554700</v>
      </c>
      <c r="L109" s="6" t="n">
        <v>12</v>
      </c>
      <c r="M109" s="6" t="n">
        <v>3</v>
      </c>
      <c r="N109" s="6" t="n">
        <v>3317.7</v>
      </c>
    </row>
    <row r="110" customFormat="false" ht="15" hidden="false" customHeight="false" outlineLevel="0" collapsed="false">
      <c r="A110" s="6" t="s">
        <v>26</v>
      </c>
      <c r="B110" s="6" t="s">
        <v>26</v>
      </c>
      <c r="C110" s="6" t="s">
        <v>50</v>
      </c>
      <c r="D110" s="6" t="s">
        <v>114</v>
      </c>
      <c r="E110" s="6" t="s">
        <v>58</v>
      </c>
      <c r="F110" s="6" t="s">
        <v>58</v>
      </c>
      <c r="G110" s="6" t="n">
        <v>2</v>
      </c>
      <c r="H110" s="6" t="n">
        <v>381500</v>
      </c>
      <c r="I110" s="6" t="n">
        <v>118800</v>
      </c>
      <c r="J110" s="6" t="n">
        <v>1086400</v>
      </c>
      <c r="K110" s="6" t="n">
        <v>704900</v>
      </c>
      <c r="L110" s="6" t="n">
        <v>2</v>
      </c>
      <c r="M110" s="6" t="n">
        <v>1</v>
      </c>
      <c r="N110" s="6" t="n">
        <v>336.3</v>
      </c>
    </row>
    <row r="111" customFormat="false" ht="15" hidden="false" customHeight="false" outlineLevel="0" collapsed="false">
      <c r="A111" s="6" t="s">
        <v>26</v>
      </c>
      <c r="B111" s="6" t="s">
        <v>26</v>
      </c>
      <c r="C111" s="6" t="s">
        <v>50</v>
      </c>
      <c r="D111" s="6" t="s">
        <v>114</v>
      </c>
      <c r="E111" s="6" t="s">
        <v>58</v>
      </c>
      <c r="F111" s="6" t="s">
        <v>60</v>
      </c>
      <c r="G111" s="6" t="n">
        <v>10</v>
      </c>
      <c r="H111" s="6" t="n">
        <v>1343700</v>
      </c>
      <c r="I111" s="6" t="n">
        <v>817500</v>
      </c>
      <c r="J111" s="6" t="n">
        <v>5077900</v>
      </c>
      <c r="K111" s="6" t="n">
        <v>3734300</v>
      </c>
      <c r="L111" s="6" t="n">
        <v>9</v>
      </c>
      <c r="M111" s="6" t="n">
        <v>5</v>
      </c>
      <c r="N111" s="6" t="n">
        <v>2898.7</v>
      </c>
    </row>
    <row r="112" customFormat="false" ht="15" hidden="false" customHeight="false" outlineLevel="0" collapsed="false">
      <c r="A112" s="6" t="s">
        <v>26</v>
      </c>
      <c r="B112" s="6" t="s">
        <v>26</v>
      </c>
      <c r="C112" s="6" t="s">
        <v>50</v>
      </c>
      <c r="D112" s="6" t="s">
        <v>114</v>
      </c>
      <c r="E112" s="6" t="s">
        <v>60</v>
      </c>
      <c r="F112" s="6" t="s">
        <v>58</v>
      </c>
      <c r="G112" s="6" t="n">
        <v>1</v>
      </c>
      <c r="H112" s="6" t="n">
        <v>183600</v>
      </c>
      <c r="I112" s="6" t="n">
        <v>134500</v>
      </c>
      <c r="J112" s="6" t="n">
        <v>665900</v>
      </c>
      <c r="K112" s="6" t="n">
        <v>482300</v>
      </c>
      <c r="L112" s="6" t="n">
        <v>1</v>
      </c>
      <c r="M112" s="6" t="n">
        <v>1</v>
      </c>
      <c r="N112" s="6" t="n">
        <v>262.7</v>
      </c>
    </row>
    <row r="113" customFormat="false" ht="15" hidden="false" customHeight="false" outlineLevel="0" collapsed="false">
      <c r="A113" s="6" t="s">
        <v>26</v>
      </c>
      <c r="B113" s="6" t="s">
        <v>26</v>
      </c>
      <c r="C113" s="6" t="s">
        <v>50</v>
      </c>
      <c r="D113" s="6" t="s">
        <v>114</v>
      </c>
      <c r="E113" s="6" t="s">
        <v>60</v>
      </c>
      <c r="F113" s="6" t="s">
        <v>60</v>
      </c>
      <c r="G113" s="6" t="n">
        <v>7</v>
      </c>
      <c r="H113" s="6" t="n">
        <v>1016100</v>
      </c>
      <c r="I113" s="6" t="n">
        <v>394600</v>
      </c>
      <c r="J113" s="6" t="n">
        <v>3526800</v>
      </c>
      <c r="K113" s="6" t="n">
        <v>2510600</v>
      </c>
      <c r="L113" s="6" t="n">
        <v>7</v>
      </c>
      <c r="M113" s="6" t="n">
        <v>2</v>
      </c>
      <c r="N113" s="6" t="n">
        <v>1954</v>
      </c>
    </row>
    <row r="114" customFormat="false" ht="15" hidden="false" customHeight="false" outlineLevel="0" collapsed="false">
      <c r="A114" s="6" t="s">
        <v>26</v>
      </c>
      <c r="B114" s="6" t="s">
        <v>26</v>
      </c>
      <c r="C114" s="6" t="s">
        <v>52</v>
      </c>
      <c r="D114" s="6" t="s">
        <v>111</v>
      </c>
      <c r="E114" s="6" t="s">
        <v>58</v>
      </c>
      <c r="F114" s="6" t="s">
        <v>58</v>
      </c>
      <c r="G114" s="6" t="n">
        <v>26</v>
      </c>
      <c r="H114" s="6" t="n">
        <v>2736400</v>
      </c>
      <c r="I114" s="6" t="n">
        <v>1036700</v>
      </c>
      <c r="J114" s="6" t="n">
        <v>7991400</v>
      </c>
      <c r="K114" s="6" t="n">
        <v>5254900</v>
      </c>
      <c r="L114" s="6" t="n">
        <v>26</v>
      </c>
      <c r="M114" s="6" t="n">
        <v>2</v>
      </c>
      <c r="N114" s="6" t="n">
        <v>5125.3</v>
      </c>
    </row>
    <row r="115" customFormat="false" ht="15" hidden="false" customHeight="false" outlineLevel="0" collapsed="false">
      <c r="A115" s="6" t="s">
        <v>26</v>
      </c>
      <c r="B115" s="6" t="s">
        <v>26</v>
      </c>
      <c r="C115" s="6" t="s">
        <v>52</v>
      </c>
      <c r="D115" s="6" t="s">
        <v>111</v>
      </c>
      <c r="E115" s="6" t="s">
        <v>58</v>
      </c>
      <c r="F115" s="6" t="s">
        <v>60</v>
      </c>
      <c r="G115" s="6" t="n">
        <v>42</v>
      </c>
      <c r="H115" s="6" t="n">
        <v>3195200</v>
      </c>
      <c r="I115" s="6" t="n">
        <v>1512100</v>
      </c>
      <c r="J115" s="6" t="n">
        <v>16307100</v>
      </c>
      <c r="K115" s="6" t="n">
        <v>13111700</v>
      </c>
      <c r="L115" s="6" t="n">
        <v>42</v>
      </c>
      <c r="M115" s="6" t="n">
        <v>9</v>
      </c>
      <c r="N115" s="6" t="n">
        <v>18188.3</v>
      </c>
    </row>
    <row r="116" customFormat="false" ht="15" hidden="false" customHeight="false" outlineLevel="0" collapsed="false">
      <c r="A116" s="6" t="s">
        <v>26</v>
      </c>
      <c r="B116" s="6" t="s">
        <v>26</v>
      </c>
      <c r="C116" s="6" t="s">
        <v>52</v>
      </c>
      <c r="D116" s="6" t="s">
        <v>111</v>
      </c>
      <c r="E116" s="6" t="s">
        <v>60</v>
      </c>
      <c r="F116" s="6" t="s">
        <v>58</v>
      </c>
      <c r="G116" s="6" t="n">
        <v>28</v>
      </c>
      <c r="H116" s="6" t="n">
        <v>2943300</v>
      </c>
      <c r="I116" s="6" t="n">
        <v>1418600</v>
      </c>
      <c r="J116" s="6" t="n">
        <v>10149600</v>
      </c>
      <c r="K116" s="6" t="n">
        <v>7206000</v>
      </c>
      <c r="L116" s="6" t="n">
        <v>28</v>
      </c>
      <c r="M116" s="6" t="n">
        <v>2</v>
      </c>
      <c r="N116" s="6" t="n">
        <v>7228</v>
      </c>
    </row>
    <row r="117" customFormat="false" ht="15" hidden="false" customHeight="false" outlineLevel="0" collapsed="false">
      <c r="A117" s="6" t="s">
        <v>26</v>
      </c>
      <c r="B117" s="6" t="s">
        <v>26</v>
      </c>
      <c r="C117" s="6" t="s">
        <v>52</v>
      </c>
      <c r="D117" s="6" t="s">
        <v>111</v>
      </c>
      <c r="E117" s="6" t="s">
        <v>60</v>
      </c>
      <c r="F117" s="6" t="s">
        <v>60</v>
      </c>
      <c r="G117" s="6" t="n">
        <v>43</v>
      </c>
      <c r="H117" s="6" t="n">
        <v>3232000</v>
      </c>
      <c r="I117" s="6" t="n">
        <v>1328300</v>
      </c>
      <c r="J117" s="6" t="n">
        <v>14591800</v>
      </c>
      <c r="K117" s="6" t="n">
        <v>11360000</v>
      </c>
      <c r="L117" s="6" t="n">
        <v>43</v>
      </c>
      <c r="M117" s="6" t="n">
        <v>6</v>
      </c>
      <c r="N117" s="6" t="n">
        <v>15809.3</v>
      </c>
    </row>
    <row r="118" customFormat="false" ht="15" hidden="false" customHeight="false" outlineLevel="0" collapsed="false">
      <c r="A118" s="6" t="s">
        <v>26</v>
      </c>
      <c r="B118" s="6" t="s">
        <v>26</v>
      </c>
      <c r="C118" s="6" t="s">
        <v>52</v>
      </c>
      <c r="D118" s="6" t="s">
        <v>112</v>
      </c>
      <c r="E118" s="6" t="s">
        <v>58</v>
      </c>
      <c r="F118" s="6" t="s">
        <v>58</v>
      </c>
      <c r="G118" s="6" t="n">
        <v>27</v>
      </c>
      <c r="H118" s="6" t="n">
        <v>2886200</v>
      </c>
      <c r="I118" s="6" t="n">
        <v>1012100</v>
      </c>
      <c r="J118" s="6" t="n">
        <v>8190100</v>
      </c>
      <c r="K118" s="6" t="n">
        <v>5304000</v>
      </c>
      <c r="L118" s="6" t="n">
        <v>27</v>
      </c>
      <c r="M118" s="6" t="n">
        <v>0</v>
      </c>
      <c r="N118" s="6" t="n">
        <v>5114.8</v>
      </c>
    </row>
    <row r="119" customFormat="false" ht="15" hidden="false" customHeight="false" outlineLevel="0" collapsed="false">
      <c r="A119" s="6" t="s">
        <v>26</v>
      </c>
      <c r="B119" s="6" t="s">
        <v>26</v>
      </c>
      <c r="C119" s="6" t="s">
        <v>52</v>
      </c>
      <c r="D119" s="6" t="s">
        <v>112</v>
      </c>
      <c r="E119" s="6" t="s">
        <v>58</v>
      </c>
      <c r="F119" s="6" t="s">
        <v>60</v>
      </c>
      <c r="G119" s="6" t="n">
        <v>41</v>
      </c>
      <c r="H119" s="6" t="n">
        <v>3026000</v>
      </c>
      <c r="I119" s="6" t="n">
        <v>1073100</v>
      </c>
      <c r="J119" s="6" t="n">
        <v>15418500</v>
      </c>
      <c r="K119" s="6" t="n">
        <v>12392300</v>
      </c>
      <c r="L119" s="6" t="n">
        <v>41</v>
      </c>
      <c r="M119" s="6" t="n">
        <v>9</v>
      </c>
      <c r="N119" s="6" t="n">
        <v>17358.2</v>
      </c>
    </row>
    <row r="120" customFormat="false" ht="15" hidden="false" customHeight="false" outlineLevel="0" collapsed="false">
      <c r="A120" s="6" t="s">
        <v>26</v>
      </c>
      <c r="B120" s="6" t="s">
        <v>26</v>
      </c>
      <c r="C120" s="6" t="s">
        <v>52</v>
      </c>
      <c r="D120" s="6" t="s">
        <v>112</v>
      </c>
      <c r="E120" s="6" t="s">
        <v>60</v>
      </c>
      <c r="F120" s="6" t="s">
        <v>58</v>
      </c>
      <c r="G120" s="6" t="n">
        <v>15</v>
      </c>
      <c r="H120" s="6" t="n">
        <v>1592200</v>
      </c>
      <c r="I120" s="6" t="n">
        <v>665000</v>
      </c>
      <c r="J120" s="6" t="n">
        <v>4226600</v>
      </c>
      <c r="K120" s="6" t="n">
        <v>2634400</v>
      </c>
      <c r="L120" s="6" t="n">
        <v>15</v>
      </c>
      <c r="M120" s="6" t="n">
        <v>0</v>
      </c>
      <c r="N120" s="6" t="n">
        <v>2676</v>
      </c>
    </row>
    <row r="121" customFormat="false" ht="15" hidden="false" customHeight="false" outlineLevel="0" collapsed="false">
      <c r="A121" s="6" t="s">
        <v>26</v>
      </c>
      <c r="B121" s="6" t="s">
        <v>26</v>
      </c>
      <c r="C121" s="6" t="s">
        <v>52</v>
      </c>
      <c r="D121" s="6" t="s">
        <v>112</v>
      </c>
      <c r="E121" s="6" t="s">
        <v>60</v>
      </c>
      <c r="F121" s="6" t="s">
        <v>60</v>
      </c>
      <c r="G121" s="6" t="n">
        <v>45</v>
      </c>
      <c r="H121" s="6" t="n">
        <v>3357800</v>
      </c>
      <c r="I121" s="6" t="n">
        <v>1068900</v>
      </c>
      <c r="J121" s="6" t="n">
        <v>17025500</v>
      </c>
      <c r="K121" s="6" t="n">
        <v>13667700</v>
      </c>
      <c r="L121" s="6" t="n">
        <v>45</v>
      </c>
      <c r="M121" s="6" t="n">
        <v>7</v>
      </c>
      <c r="N121" s="6" t="n">
        <v>18953.7</v>
      </c>
    </row>
    <row r="122" customFormat="false" ht="15" hidden="false" customHeight="false" outlineLevel="0" collapsed="false">
      <c r="A122" s="6" t="s">
        <v>26</v>
      </c>
      <c r="B122" s="6" t="s">
        <v>26</v>
      </c>
      <c r="C122" s="6" t="s">
        <v>52</v>
      </c>
      <c r="D122" s="6" t="s">
        <v>113</v>
      </c>
      <c r="E122" s="6" t="s">
        <v>58</v>
      </c>
      <c r="F122" s="6" t="s">
        <v>58</v>
      </c>
      <c r="G122" s="6" t="n">
        <v>34</v>
      </c>
      <c r="H122" s="6" t="n">
        <v>3366000</v>
      </c>
      <c r="I122" s="6" t="n">
        <v>1358900</v>
      </c>
      <c r="J122" s="6" t="n">
        <v>10740500</v>
      </c>
      <c r="K122" s="6" t="n">
        <v>7374800</v>
      </c>
      <c r="L122" s="6" t="n">
        <v>34</v>
      </c>
      <c r="M122" s="6" t="n">
        <v>2</v>
      </c>
      <c r="N122" s="6" t="n">
        <v>7970.8</v>
      </c>
    </row>
    <row r="123" customFormat="false" ht="15" hidden="false" customHeight="false" outlineLevel="0" collapsed="false">
      <c r="A123" s="6" t="s">
        <v>26</v>
      </c>
      <c r="B123" s="6" t="s">
        <v>26</v>
      </c>
      <c r="C123" s="6" t="s">
        <v>52</v>
      </c>
      <c r="D123" s="6" t="s">
        <v>113</v>
      </c>
      <c r="E123" s="6" t="s">
        <v>58</v>
      </c>
      <c r="F123" s="6" t="s">
        <v>60</v>
      </c>
      <c r="G123" s="6" t="n">
        <v>73</v>
      </c>
      <c r="H123" s="6" t="n">
        <v>5401700</v>
      </c>
      <c r="I123" s="6" t="n">
        <v>2273100</v>
      </c>
      <c r="J123" s="6" t="n">
        <v>27070100</v>
      </c>
      <c r="K123" s="6" t="n">
        <v>21667900</v>
      </c>
      <c r="L123" s="6" t="n">
        <v>73</v>
      </c>
      <c r="M123" s="6" t="n">
        <v>14</v>
      </c>
      <c r="N123" s="6" t="n">
        <v>30819.5</v>
      </c>
    </row>
    <row r="124" customFormat="false" ht="15" hidden="false" customHeight="false" outlineLevel="0" collapsed="false">
      <c r="A124" s="6" t="s">
        <v>26</v>
      </c>
      <c r="B124" s="6" t="s">
        <v>26</v>
      </c>
      <c r="C124" s="6" t="s">
        <v>52</v>
      </c>
      <c r="D124" s="6" t="s">
        <v>113</v>
      </c>
      <c r="E124" s="6" t="s">
        <v>60</v>
      </c>
      <c r="F124" s="6" t="s">
        <v>58</v>
      </c>
      <c r="G124" s="6" t="n">
        <v>31</v>
      </c>
      <c r="H124" s="6" t="n">
        <v>3512900</v>
      </c>
      <c r="I124" s="6" t="n">
        <v>1225500</v>
      </c>
      <c r="J124" s="6" t="n">
        <v>10974100</v>
      </c>
      <c r="K124" s="6" t="n">
        <v>7461700</v>
      </c>
      <c r="L124" s="6" t="n">
        <v>31</v>
      </c>
      <c r="M124" s="6" t="n">
        <v>2</v>
      </c>
      <c r="N124" s="6" t="n">
        <v>6842.4</v>
      </c>
    </row>
    <row r="125" customFormat="false" ht="15" hidden="false" customHeight="false" outlineLevel="0" collapsed="false">
      <c r="A125" s="6" t="s">
        <v>26</v>
      </c>
      <c r="B125" s="6" t="s">
        <v>26</v>
      </c>
      <c r="C125" s="6" t="s">
        <v>52</v>
      </c>
      <c r="D125" s="6" t="s">
        <v>113</v>
      </c>
      <c r="E125" s="6" t="s">
        <v>60</v>
      </c>
      <c r="F125" s="6" t="s">
        <v>60</v>
      </c>
      <c r="G125" s="6" t="n">
        <v>63</v>
      </c>
      <c r="H125" s="6" t="n">
        <v>4549400</v>
      </c>
      <c r="I125" s="6" t="n">
        <v>1879900</v>
      </c>
      <c r="J125" s="6" t="n">
        <v>25049900</v>
      </c>
      <c r="K125" s="6" t="n">
        <v>20499900</v>
      </c>
      <c r="L125" s="6" t="n">
        <v>63</v>
      </c>
      <c r="M125" s="6" t="n">
        <v>11</v>
      </c>
      <c r="N125" s="6" t="n">
        <v>29358.7</v>
      </c>
    </row>
    <row r="126" customFormat="false" ht="15" hidden="false" customHeight="false" outlineLevel="0" collapsed="false">
      <c r="A126" s="6" t="s">
        <v>26</v>
      </c>
      <c r="B126" s="6" t="s">
        <v>26</v>
      </c>
      <c r="C126" s="6" t="s">
        <v>52</v>
      </c>
      <c r="D126" s="6" t="s">
        <v>114</v>
      </c>
      <c r="E126" s="6" t="s">
        <v>58</v>
      </c>
      <c r="F126" s="6" t="s">
        <v>58</v>
      </c>
      <c r="G126" s="6" t="n">
        <v>19</v>
      </c>
      <c r="H126" s="6" t="n">
        <v>2106900</v>
      </c>
      <c r="I126" s="6" t="n">
        <v>753100</v>
      </c>
      <c r="J126" s="6" t="n">
        <v>6210000</v>
      </c>
      <c r="K126" s="6" t="n">
        <v>4102900</v>
      </c>
      <c r="L126" s="6" t="n">
        <v>19</v>
      </c>
      <c r="M126" s="6" t="n">
        <v>1</v>
      </c>
      <c r="N126" s="6" t="n">
        <v>3923.5</v>
      </c>
    </row>
    <row r="127" customFormat="false" ht="15" hidden="false" customHeight="false" outlineLevel="0" collapsed="false">
      <c r="A127" s="6" t="s">
        <v>26</v>
      </c>
      <c r="B127" s="6" t="s">
        <v>26</v>
      </c>
      <c r="C127" s="6" t="s">
        <v>52</v>
      </c>
      <c r="D127" s="6" t="s">
        <v>114</v>
      </c>
      <c r="E127" s="6" t="s">
        <v>58</v>
      </c>
      <c r="F127" s="6" t="s">
        <v>60</v>
      </c>
      <c r="G127" s="6" t="n">
        <v>35</v>
      </c>
      <c r="H127" s="6" t="n">
        <v>2754800</v>
      </c>
      <c r="I127" s="6" t="n">
        <v>1166500</v>
      </c>
      <c r="J127" s="6" t="n">
        <v>14580100</v>
      </c>
      <c r="K127" s="6" t="n">
        <v>11825200</v>
      </c>
      <c r="L127" s="6" t="n">
        <v>35</v>
      </c>
      <c r="M127" s="6" t="n">
        <v>10</v>
      </c>
      <c r="N127" s="6" t="n">
        <v>15695.8</v>
      </c>
    </row>
    <row r="128" customFormat="false" ht="15" hidden="false" customHeight="false" outlineLevel="0" collapsed="false">
      <c r="A128" s="6" t="s">
        <v>26</v>
      </c>
      <c r="B128" s="6" t="s">
        <v>26</v>
      </c>
      <c r="C128" s="6" t="s">
        <v>52</v>
      </c>
      <c r="D128" s="6" t="s">
        <v>114</v>
      </c>
      <c r="E128" s="6" t="s">
        <v>60</v>
      </c>
      <c r="F128" s="6" t="s">
        <v>58</v>
      </c>
      <c r="G128" s="6" t="n">
        <v>15</v>
      </c>
      <c r="H128" s="6" t="n">
        <v>1485100</v>
      </c>
      <c r="I128" s="6" t="n">
        <v>592600</v>
      </c>
      <c r="J128" s="6" t="n">
        <v>6159600</v>
      </c>
      <c r="K128" s="6" t="n">
        <v>4674600</v>
      </c>
      <c r="L128" s="6" t="n">
        <v>15</v>
      </c>
      <c r="M128" s="6" t="n">
        <v>3</v>
      </c>
      <c r="N128" s="6" t="n">
        <v>4832.2</v>
      </c>
    </row>
    <row r="129" customFormat="false" ht="15" hidden="false" customHeight="false" outlineLevel="0" collapsed="false">
      <c r="A129" s="6" t="s">
        <v>26</v>
      </c>
      <c r="B129" s="6" t="s">
        <v>26</v>
      </c>
      <c r="C129" s="6" t="s">
        <v>52</v>
      </c>
      <c r="D129" s="6" t="s">
        <v>114</v>
      </c>
      <c r="E129" s="6" t="s">
        <v>60</v>
      </c>
      <c r="F129" s="6" t="s">
        <v>60</v>
      </c>
      <c r="G129" s="6" t="n">
        <v>53</v>
      </c>
      <c r="H129" s="6" t="n">
        <v>3992600</v>
      </c>
      <c r="I129" s="6" t="n">
        <v>1723500</v>
      </c>
      <c r="J129" s="6" t="n">
        <v>21861500</v>
      </c>
      <c r="K129" s="6" t="n">
        <v>17869300</v>
      </c>
      <c r="L129" s="6" t="n">
        <v>53</v>
      </c>
      <c r="M129" s="6" t="n">
        <v>15</v>
      </c>
      <c r="N129" s="6" t="n">
        <v>25074.4</v>
      </c>
    </row>
    <row r="130" customFormat="false" ht="15" hidden="false" customHeight="false" outlineLevel="0" collapsed="false">
      <c r="A130" s="6" t="s">
        <v>26</v>
      </c>
      <c r="B130" s="6" t="s">
        <v>26</v>
      </c>
      <c r="C130" s="6" t="s">
        <v>53</v>
      </c>
      <c r="D130" s="6" t="s">
        <v>111</v>
      </c>
      <c r="E130" s="6" t="s">
        <v>58</v>
      </c>
      <c r="F130" s="6" t="s">
        <v>58</v>
      </c>
      <c r="G130" s="6" t="n">
        <v>12</v>
      </c>
      <c r="H130" s="6" t="n">
        <v>970200</v>
      </c>
      <c r="I130" s="6" t="n">
        <v>449800</v>
      </c>
      <c r="J130" s="6" t="n">
        <v>3239000</v>
      </c>
      <c r="K130" s="6" t="n">
        <v>2268600</v>
      </c>
      <c r="L130" s="6" t="n">
        <v>12</v>
      </c>
      <c r="M130" s="6" t="n">
        <v>1</v>
      </c>
      <c r="N130" s="6" t="n">
        <v>2864.3</v>
      </c>
    </row>
    <row r="131" customFormat="false" ht="15" hidden="false" customHeight="false" outlineLevel="0" collapsed="false">
      <c r="A131" s="6" t="s">
        <v>26</v>
      </c>
      <c r="B131" s="6" t="s">
        <v>26</v>
      </c>
      <c r="C131" s="6" t="s">
        <v>53</v>
      </c>
      <c r="D131" s="6" t="s">
        <v>111</v>
      </c>
      <c r="E131" s="6" t="s">
        <v>58</v>
      </c>
      <c r="F131" s="6" t="s">
        <v>60</v>
      </c>
      <c r="G131" s="6" t="n">
        <v>35</v>
      </c>
      <c r="H131" s="6" t="n">
        <v>2069200</v>
      </c>
      <c r="I131" s="6" t="n">
        <v>773700</v>
      </c>
      <c r="J131" s="6" t="n">
        <v>10492200</v>
      </c>
      <c r="K131" s="6" t="n">
        <v>8423300</v>
      </c>
      <c r="L131" s="6" t="n">
        <v>35</v>
      </c>
      <c r="M131" s="6" t="n">
        <v>3</v>
      </c>
      <c r="N131" s="6" t="n">
        <v>15091.5</v>
      </c>
    </row>
    <row r="132" customFormat="false" ht="15" hidden="false" customHeight="false" outlineLevel="0" collapsed="false">
      <c r="A132" s="6" t="s">
        <v>26</v>
      </c>
      <c r="B132" s="6" t="s">
        <v>26</v>
      </c>
      <c r="C132" s="6" t="s">
        <v>53</v>
      </c>
      <c r="D132" s="6" t="s">
        <v>111</v>
      </c>
      <c r="E132" s="6" t="s">
        <v>60</v>
      </c>
      <c r="F132" s="6" t="s">
        <v>58</v>
      </c>
      <c r="G132" s="6" t="n">
        <v>18</v>
      </c>
      <c r="H132" s="6" t="n">
        <v>1458900</v>
      </c>
      <c r="I132" s="6" t="n">
        <v>570100</v>
      </c>
      <c r="J132" s="6" t="n">
        <v>5992300</v>
      </c>
      <c r="K132" s="6" t="n">
        <v>4533600</v>
      </c>
      <c r="L132" s="6" t="n">
        <v>18</v>
      </c>
      <c r="M132" s="6" t="n">
        <v>4</v>
      </c>
      <c r="N132" s="6" t="n">
        <v>6122.2</v>
      </c>
    </row>
    <row r="133" customFormat="false" ht="15" hidden="false" customHeight="false" outlineLevel="0" collapsed="false">
      <c r="A133" s="6" t="s">
        <v>26</v>
      </c>
      <c r="B133" s="6" t="s">
        <v>26</v>
      </c>
      <c r="C133" s="6" t="s">
        <v>53</v>
      </c>
      <c r="D133" s="6" t="s">
        <v>111</v>
      </c>
      <c r="E133" s="6" t="s">
        <v>60</v>
      </c>
      <c r="F133" s="6" t="s">
        <v>60</v>
      </c>
      <c r="G133" s="6" t="n">
        <v>40</v>
      </c>
      <c r="H133" s="6" t="n">
        <v>2478500</v>
      </c>
      <c r="I133" s="6" t="n">
        <v>956300</v>
      </c>
      <c r="J133" s="6" t="n">
        <v>12658400</v>
      </c>
      <c r="K133" s="6" t="n">
        <v>10179900</v>
      </c>
      <c r="L133" s="6" t="n">
        <v>40</v>
      </c>
      <c r="M133" s="6" t="n">
        <v>4</v>
      </c>
      <c r="N133" s="6" t="n">
        <v>17348.3</v>
      </c>
    </row>
    <row r="134" customFormat="false" ht="15" hidden="false" customHeight="false" outlineLevel="0" collapsed="false">
      <c r="A134" s="6" t="s">
        <v>26</v>
      </c>
      <c r="B134" s="6" t="s">
        <v>26</v>
      </c>
      <c r="C134" s="6" t="s">
        <v>53</v>
      </c>
      <c r="D134" s="6" t="s">
        <v>112</v>
      </c>
      <c r="E134" s="6" t="s">
        <v>58</v>
      </c>
      <c r="F134" s="6" t="s">
        <v>58</v>
      </c>
      <c r="G134" s="6" t="n">
        <v>27</v>
      </c>
      <c r="H134" s="6" t="n">
        <v>2166500</v>
      </c>
      <c r="I134" s="6" t="n">
        <v>1004300</v>
      </c>
      <c r="J134" s="6" t="n">
        <v>6813600</v>
      </c>
      <c r="K134" s="6" t="n">
        <v>4647500</v>
      </c>
      <c r="L134" s="6" t="n">
        <v>27</v>
      </c>
      <c r="M134" s="6" t="n">
        <v>1</v>
      </c>
      <c r="N134" s="6" t="n">
        <v>5959.9</v>
      </c>
    </row>
    <row r="135" customFormat="false" ht="15" hidden="false" customHeight="false" outlineLevel="0" collapsed="false">
      <c r="A135" s="6" t="s">
        <v>26</v>
      </c>
      <c r="B135" s="6" t="s">
        <v>26</v>
      </c>
      <c r="C135" s="6" t="s">
        <v>53</v>
      </c>
      <c r="D135" s="6" t="s">
        <v>112</v>
      </c>
      <c r="E135" s="6" t="s">
        <v>58</v>
      </c>
      <c r="F135" s="6" t="s">
        <v>60</v>
      </c>
      <c r="G135" s="6" t="n">
        <v>42</v>
      </c>
      <c r="H135" s="6" t="n">
        <v>2395800</v>
      </c>
      <c r="I135" s="6" t="n">
        <v>1043100</v>
      </c>
      <c r="J135" s="6" t="n">
        <v>13159100</v>
      </c>
      <c r="K135" s="6" t="n">
        <v>10763100</v>
      </c>
      <c r="L135" s="6" t="n">
        <v>42</v>
      </c>
      <c r="M135" s="6" t="n">
        <v>4</v>
      </c>
      <c r="N135" s="6" t="n">
        <v>19291.7</v>
      </c>
    </row>
    <row r="136" customFormat="false" ht="15" hidden="false" customHeight="false" outlineLevel="0" collapsed="false">
      <c r="A136" s="6" t="s">
        <v>26</v>
      </c>
      <c r="B136" s="6" t="s">
        <v>26</v>
      </c>
      <c r="C136" s="6" t="s">
        <v>53</v>
      </c>
      <c r="D136" s="6" t="s">
        <v>112</v>
      </c>
      <c r="E136" s="6" t="s">
        <v>60</v>
      </c>
      <c r="F136" s="6" t="s">
        <v>58</v>
      </c>
      <c r="G136" s="6" t="n">
        <v>15</v>
      </c>
      <c r="H136" s="6" t="n">
        <v>1256000</v>
      </c>
      <c r="I136" s="6" t="n">
        <v>367300</v>
      </c>
      <c r="J136" s="6" t="n">
        <v>4759600</v>
      </c>
      <c r="K136" s="6" t="n">
        <v>3503500</v>
      </c>
      <c r="L136" s="6" t="n">
        <v>14</v>
      </c>
      <c r="M136" s="6" t="n">
        <v>2</v>
      </c>
      <c r="N136" s="6" t="n">
        <v>4516.4</v>
      </c>
    </row>
    <row r="137" customFormat="false" ht="15" hidden="false" customHeight="false" outlineLevel="0" collapsed="false">
      <c r="A137" s="6" t="s">
        <v>26</v>
      </c>
      <c r="B137" s="6" t="s">
        <v>26</v>
      </c>
      <c r="C137" s="6" t="s">
        <v>53</v>
      </c>
      <c r="D137" s="6" t="s">
        <v>112</v>
      </c>
      <c r="E137" s="6" t="s">
        <v>60</v>
      </c>
      <c r="F137" s="6" t="s">
        <v>60</v>
      </c>
      <c r="G137" s="6" t="n">
        <v>59</v>
      </c>
      <c r="H137" s="6" t="n">
        <v>3487000</v>
      </c>
      <c r="I137" s="6" t="n">
        <v>1605100</v>
      </c>
      <c r="J137" s="6" t="n">
        <v>20101300</v>
      </c>
      <c r="K137" s="6" t="n">
        <v>16614200</v>
      </c>
      <c r="L137" s="6" t="n">
        <v>59</v>
      </c>
      <c r="M137" s="6" t="n">
        <v>11</v>
      </c>
      <c r="N137" s="6" t="n">
        <v>29516.8</v>
      </c>
    </row>
    <row r="138" customFormat="false" ht="15" hidden="false" customHeight="false" outlineLevel="0" collapsed="false">
      <c r="A138" s="6" t="s">
        <v>26</v>
      </c>
      <c r="B138" s="6" t="s">
        <v>26</v>
      </c>
      <c r="C138" s="6" t="s">
        <v>53</v>
      </c>
      <c r="D138" s="6" t="s">
        <v>113</v>
      </c>
      <c r="E138" s="6" t="s">
        <v>58</v>
      </c>
      <c r="F138" s="6" t="s">
        <v>58</v>
      </c>
      <c r="G138" s="6" t="n">
        <v>33</v>
      </c>
      <c r="H138" s="6" t="n">
        <v>2644700</v>
      </c>
      <c r="I138" s="6" t="n">
        <v>828900</v>
      </c>
      <c r="J138" s="6" t="n">
        <v>9774300</v>
      </c>
      <c r="K138" s="6" t="n">
        <v>7129700</v>
      </c>
      <c r="L138" s="6" t="n">
        <v>33</v>
      </c>
      <c r="M138" s="6" t="n">
        <v>2</v>
      </c>
      <c r="N138" s="6" t="n">
        <v>9233.2</v>
      </c>
    </row>
    <row r="139" customFormat="false" ht="15" hidden="false" customHeight="false" outlineLevel="0" collapsed="false">
      <c r="A139" s="6" t="s">
        <v>26</v>
      </c>
      <c r="B139" s="6" t="s">
        <v>26</v>
      </c>
      <c r="C139" s="6" t="s">
        <v>53</v>
      </c>
      <c r="D139" s="6" t="s">
        <v>113</v>
      </c>
      <c r="E139" s="6" t="s">
        <v>58</v>
      </c>
      <c r="F139" s="6" t="s">
        <v>60</v>
      </c>
      <c r="G139" s="6" t="n">
        <v>59</v>
      </c>
      <c r="H139" s="6" t="n">
        <v>3532300</v>
      </c>
      <c r="I139" s="6" t="n">
        <v>1584100</v>
      </c>
      <c r="J139" s="6" t="n">
        <v>16539400</v>
      </c>
      <c r="K139" s="6" t="n">
        <v>13006900</v>
      </c>
      <c r="L139" s="6" t="n">
        <v>59</v>
      </c>
      <c r="M139" s="6" t="n">
        <v>2</v>
      </c>
      <c r="N139" s="6" t="n">
        <v>22334.8</v>
      </c>
    </row>
    <row r="140" customFormat="false" ht="15" hidden="false" customHeight="false" outlineLevel="0" collapsed="false">
      <c r="A140" s="6" t="s">
        <v>26</v>
      </c>
      <c r="B140" s="6" t="s">
        <v>26</v>
      </c>
      <c r="C140" s="6" t="s">
        <v>53</v>
      </c>
      <c r="D140" s="6" t="s">
        <v>113</v>
      </c>
      <c r="E140" s="6" t="s">
        <v>60</v>
      </c>
      <c r="F140" s="6" t="s">
        <v>58</v>
      </c>
      <c r="G140" s="6" t="n">
        <v>35</v>
      </c>
      <c r="H140" s="6" t="n">
        <v>2925800</v>
      </c>
      <c r="I140" s="6" t="n">
        <v>1294200</v>
      </c>
      <c r="J140" s="6" t="n">
        <v>11693100</v>
      </c>
      <c r="K140" s="6" t="n">
        <v>8767400</v>
      </c>
      <c r="L140" s="6" t="n">
        <v>34</v>
      </c>
      <c r="M140" s="6" t="n">
        <v>6</v>
      </c>
      <c r="N140" s="6" t="n">
        <v>10922.6</v>
      </c>
    </row>
    <row r="141" customFormat="false" ht="15" hidden="false" customHeight="false" outlineLevel="0" collapsed="false">
      <c r="A141" s="6" t="s">
        <v>26</v>
      </c>
      <c r="B141" s="6" t="s">
        <v>26</v>
      </c>
      <c r="C141" s="6" t="s">
        <v>53</v>
      </c>
      <c r="D141" s="6" t="s">
        <v>113</v>
      </c>
      <c r="E141" s="6" t="s">
        <v>60</v>
      </c>
      <c r="F141" s="6" t="s">
        <v>60</v>
      </c>
      <c r="G141" s="6" t="n">
        <v>61</v>
      </c>
      <c r="H141" s="6" t="n">
        <v>3531600</v>
      </c>
      <c r="I141" s="6" t="n">
        <v>1374100</v>
      </c>
      <c r="J141" s="6" t="n">
        <v>20796100</v>
      </c>
      <c r="K141" s="6" t="n">
        <v>17264100</v>
      </c>
      <c r="L141" s="6" t="n">
        <v>61</v>
      </c>
      <c r="M141" s="6" t="n">
        <v>12</v>
      </c>
      <c r="N141" s="6" t="n">
        <v>30884.5</v>
      </c>
    </row>
    <row r="142" customFormat="false" ht="15" hidden="false" customHeight="false" outlineLevel="0" collapsed="false">
      <c r="A142" s="6" t="s">
        <v>26</v>
      </c>
      <c r="B142" s="6" t="s">
        <v>26</v>
      </c>
      <c r="C142" s="6" t="s">
        <v>53</v>
      </c>
      <c r="D142" s="6" t="s">
        <v>114</v>
      </c>
      <c r="E142" s="6" t="s">
        <v>58</v>
      </c>
      <c r="F142" s="6" t="s">
        <v>58</v>
      </c>
      <c r="G142" s="6" t="n">
        <v>11</v>
      </c>
      <c r="H142" s="6" t="n">
        <v>844500</v>
      </c>
      <c r="I142" s="6" t="n">
        <v>311300</v>
      </c>
      <c r="J142" s="6" t="n">
        <v>2854300</v>
      </c>
      <c r="K142" s="6" t="n">
        <v>2009700</v>
      </c>
      <c r="L142" s="6" t="n">
        <v>11</v>
      </c>
      <c r="M142" s="6" t="n">
        <v>0</v>
      </c>
      <c r="N142" s="6" t="n">
        <v>2685.8</v>
      </c>
    </row>
    <row r="143" customFormat="false" ht="15" hidden="false" customHeight="false" outlineLevel="0" collapsed="false">
      <c r="A143" s="6" t="s">
        <v>26</v>
      </c>
      <c r="B143" s="6" t="s">
        <v>26</v>
      </c>
      <c r="C143" s="6" t="s">
        <v>53</v>
      </c>
      <c r="D143" s="6" t="s">
        <v>114</v>
      </c>
      <c r="E143" s="6" t="s">
        <v>58</v>
      </c>
      <c r="F143" s="6" t="s">
        <v>60</v>
      </c>
      <c r="G143" s="6" t="n">
        <v>30</v>
      </c>
      <c r="H143" s="6" t="n">
        <v>1767100</v>
      </c>
      <c r="I143" s="6" t="n">
        <v>785300</v>
      </c>
      <c r="J143" s="6" t="n">
        <v>8689300</v>
      </c>
      <c r="K143" s="6" t="n">
        <v>6922000</v>
      </c>
      <c r="L143" s="6" t="n">
        <v>30</v>
      </c>
      <c r="M143" s="6" t="n">
        <v>2</v>
      </c>
      <c r="N143" s="6" t="n">
        <v>12172.5</v>
      </c>
    </row>
    <row r="144" customFormat="false" ht="15" hidden="false" customHeight="false" outlineLevel="0" collapsed="false">
      <c r="A144" s="6" t="s">
        <v>26</v>
      </c>
      <c r="B144" s="6" t="s">
        <v>26</v>
      </c>
      <c r="C144" s="6" t="s">
        <v>53</v>
      </c>
      <c r="D144" s="6" t="s">
        <v>114</v>
      </c>
      <c r="E144" s="6" t="s">
        <v>60</v>
      </c>
      <c r="F144" s="6" t="s">
        <v>58</v>
      </c>
      <c r="G144" s="6" t="n">
        <v>25</v>
      </c>
      <c r="H144" s="6" t="n">
        <v>2002400</v>
      </c>
      <c r="I144" s="6" t="n">
        <v>905200</v>
      </c>
      <c r="J144" s="6" t="n">
        <v>9592000</v>
      </c>
      <c r="K144" s="6" t="n">
        <v>7589500</v>
      </c>
      <c r="L144" s="6" t="n">
        <v>25</v>
      </c>
      <c r="M144" s="6" t="n">
        <v>7</v>
      </c>
      <c r="N144" s="6" t="n">
        <v>10145.9</v>
      </c>
    </row>
    <row r="145" customFormat="false" ht="15" hidden="false" customHeight="false" outlineLevel="0" collapsed="false">
      <c r="A145" s="6" t="s">
        <v>26</v>
      </c>
      <c r="B145" s="6" t="s">
        <v>26</v>
      </c>
      <c r="C145" s="6" t="s">
        <v>53</v>
      </c>
      <c r="D145" s="6" t="s">
        <v>114</v>
      </c>
      <c r="E145" s="6" t="s">
        <v>60</v>
      </c>
      <c r="F145" s="6" t="s">
        <v>60</v>
      </c>
      <c r="G145" s="6" t="n">
        <v>39</v>
      </c>
      <c r="H145" s="6" t="n">
        <v>2237400</v>
      </c>
      <c r="I145" s="6" t="n">
        <v>1131500</v>
      </c>
      <c r="J145" s="6" t="n">
        <v>15801800</v>
      </c>
      <c r="K145" s="6" t="n">
        <v>13564200</v>
      </c>
      <c r="L145" s="6" t="n">
        <v>39</v>
      </c>
      <c r="M145" s="6" t="n">
        <v>10</v>
      </c>
      <c r="N145" s="6" t="n">
        <v>25171</v>
      </c>
    </row>
    <row r="146" customFormat="false" ht="15" hidden="false" customHeight="false" outlineLevel="0" collapsed="false">
      <c r="A146" s="6" t="s">
        <v>26</v>
      </c>
      <c r="B146" s="6" t="s">
        <v>26</v>
      </c>
      <c r="C146" s="6" t="s">
        <v>51</v>
      </c>
      <c r="D146" s="6" t="s">
        <v>111</v>
      </c>
      <c r="E146" s="6" t="s">
        <v>58</v>
      </c>
      <c r="F146" s="6" t="s">
        <v>58</v>
      </c>
      <c r="G146" s="6" t="n">
        <v>12</v>
      </c>
      <c r="H146" s="6" t="n">
        <v>1452300</v>
      </c>
      <c r="I146" s="6" t="n">
        <v>663500</v>
      </c>
      <c r="J146" s="6" t="n">
        <v>4440200</v>
      </c>
      <c r="K146" s="6" t="n">
        <v>2988000</v>
      </c>
      <c r="L146" s="6" t="n">
        <v>12</v>
      </c>
      <c r="M146" s="6" t="n">
        <v>1</v>
      </c>
      <c r="N146" s="6" t="n">
        <v>2912</v>
      </c>
    </row>
    <row r="147" customFormat="false" ht="15" hidden="false" customHeight="false" outlineLevel="0" collapsed="false">
      <c r="A147" s="6" t="s">
        <v>26</v>
      </c>
      <c r="B147" s="6" t="s">
        <v>26</v>
      </c>
      <c r="C147" s="6" t="s">
        <v>51</v>
      </c>
      <c r="D147" s="6" t="s">
        <v>111</v>
      </c>
      <c r="E147" s="6" t="s">
        <v>58</v>
      </c>
      <c r="F147" s="6" t="s">
        <v>60</v>
      </c>
      <c r="G147" s="6" t="n">
        <v>27</v>
      </c>
      <c r="H147" s="6" t="n">
        <v>2231900</v>
      </c>
      <c r="I147" s="6" t="n">
        <v>895700</v>
      </c>
      <c r="J147" s="6" t="n">
        <v>10658100</v>
      </c>
      <c r="K147" s="6" t="n">
        <v>8426200</v>
      </c>
      <c r="L147" s="6" t="n">
        <v>27</v>
      </c>
      <c r="M147" s="6" t="n">
        <v>7</v>
      </c>
      <c r="N147" s="6" t="n">
        <v>10435.9</v>
      </c>
    </row>
    <row r="148" customFormat="false" ht="15" hidden="false" customHeight="false" outlineLevel="0" collapsed="false">
      <c r="A148" s="6" t="s">
        <v>26</v>
      </c>
      <c r="B148" s="6" t="s">
        <v>26</v>
      </c>
      <c r="C148" s="6" t="s">
        <v>51</v>
      </c>
      <c r="D148" s="6" t="s">
        <v>111</v>
      </c>
      <c r="E148" s="6" t="s">
        <v>60</v>
      </c>
      <c r="F148" s="6" t="s">
        <v>58</v>
      </c>
      <c r="G148" s="6" t="n">
        <v>12</v>
      </c>
      <c r="H148" s="6" t="n">
        <v>1549900</v>
      </c>
      <c r="I148" s="6" t="n">
        <v>767200</v>
      </c>
      <c r="J148" s="6" t="n">
        <v>5020600</v>
      </c>
      <c r="K148" s="6" t="n">
        <v>3470600</v>
      </c>
      <c r="L148" s="6" t="n">
        <v>12</v>
      </c>
      <c r="M148" s="6" t="n">
        <v>3</v>
      </c>
      <c r="N148" s="6" t="n">
        <v>2648.7</v>
      </c>
    </row>
    <row r="149" customFormat="false" ht="15" hidden="false" customHeight="false" outlineLevel="0" collapsed="false">
      <c r="A149" s="6" t="s">
        <v>26</v>
      </c>
      <c r="B149" s="6" t="s">
        <v>26</v>
      </c>
      <c r="C149" s="6" t="s">
        <v>51</v>
      </c>
      <c r="D149" s="6" t="s">
        <v>111</v>
      </c>
      <c r="E149" s="6" t="s">
        <v>60</v>
      </c>
      <c r="F149" s="6" t="s">
        <v>60</v>
      </c>
      <c r="G149" s="6" t="n">
        <v>29</v>
      </c>
      <c r="H149" s="6" t="n">
        <v>2383500</v>
      </c>
      <c r="I149" s="6" t="n">
        <v>936000</v>
      </c>
      <c r="J149" s="6" t="n">
        <v>13869600</v>
      </c>
      <c r="K149" s="6" t="n">
        <v>11486100</v>
      </c>
      <c r="L149" s="6" t="n">
        <v>29</v>
      </c>
      <c r="M149" s="6" t="n">
        <v>10</v>
      </c>
      <c r="N149" s="6" t="n">
        <v>14658.5</v>
      </c>
    </row>
    <row r="150" customFormat="false" ht="15" hidden="false" customHeight="false" outlineLevel="0" collapsed="false">
      <c r="A150" s="6" t="s">
        <v>26</v>
      </c>
      <c r="B150" s="6" t="s">
        <v>26</v>
      </c>
      <c r="C150" s="6" t="s">
        <v>51</v>
      </c>
      <c r="D150" s="6" t="s">
        <v>112</v>
      </c>
      <c r="E150" s="6" t="s">
        <v>58</v>
      </c>
      <c r="F150" s="6" t="s">
        <v>58</v>
      </c>
      <c r="G150" s="6" t="n">
        <v>8</v>
      </c>
      <c r="H150" s="6" t="n">
        <v>963700</v>
      </c>
      <c r="I150" s="6" t="n">
        <v>610600</v>
      </c>
      <c r="J150" s="6" t="n">
        <v>3043500</v>
      </c>
      <c r="K150" s="6" t="n">
        <v>2079800</v>
      </c>
      <c r="L150" s="6" t="n">
        <v>8</v>
      </c>
      <c r="M150" s="6" t="n">
        <v>1</v>
      </c>
      <c r="N150" s="6" t="n">
        <v>2119.6</v>
      </c>
    </row>
    <row r="151" customFormat="false" ht="15" hidden="false" customHeight="false" outlineLevel="0" collapsed="false">
      <c r="A151" s="6" t="s">
        <v>26</v>
      </c>
      <c r="B151" s="6" t="s">
        <v>26</v>
      </c>
      <c r="C151" s="6" t="s">
        <v>51</v>
      </c>
      <c r="D151" s="6" t="s">
        <v>112</v>
      </c>
      <c r="E151" s="6" t="s">
        <v>58</v>
      </c>
      <c r="F151" s="6" t="s">
        <v>60</v>
      </c>
      <c r="G151" s="6" t="n">
        <v>35</v>
      </c>
      <c r="H151" s="6" t="n">
        <v>2961300</v>
      </c>
      <c r="I151" s="6" t="n">
        <v>1192600</v>
      </c>
      <c r="J151" s="6" t="n">
        <v>13543900</v>
      </c>
      <c r="K151" s="6" t="n">
        <v>10582100</v>
      </c>
      <c r="L151" s="6" t="n">
        <v>35</v>
      </c>
      <c r="M151" s="6" t="n">
        <v>4</v>
      </c>
      <c r="N151" s="6" t="n">
        <v>13293.2</v>
      </c>
    </row>
    <row r="152" customFormat="false" ht="15" hidden="false" customHeight="false" outlineLevel="0" collapsed="false">
      <c r="A152" s="6" t="s">
        <v>26</v>
      </c>
      <c r="B152" s="6" t="s">
        <v>26</v>
      </c>
      <c r="C152" s="6" t="s">
        <v>51</v>
      </c>
      <c r="D152" s="6" t="s">
        <v>112</v>
      </c>
      <c r="E152" s="6" t="s">
        <v>60</v>
      </c>
      <c r="F152" s="6" t="s">
        <v>58</v>
      </c>
      <c r="G152" s="6" t="n">
        <v>13</v>
      </c>
      <c r="H152" s="6" t="n">
        <v>1413200</v>
      </c>
      <c r="I152" s="6" t="n">
        <v>331200</v>
      </c>
      <c r="J152" s="6" t="n">
        <v>4712800</v>
      </c>
      <c r="K152" s="6" t="n">
        <v>3299400</v>
      </c>
      <c r="L152" s="6" t="n">
        <v>12</v>
      </c>
      <c r="M152" s="6" t="n">
        <v>2</v>
      </c>
      <c r="N152" s="6" t="n">
        <v>3320.1</v>
      </c>
    </row>
    <row r="153" customFormat="false" ht="15" hidden="false" customHeight="false" outlineLevel="0" collapsed="false">
      <c r="A153" s="6" t="s">
        <v>26</v>
      </c>
      <c r="B153" s="6" t="s">
        <v>26</v>
      </c>
      <c r="C153" s="6" t="s">
        <v>51</v>
      </c>
      <c r="D153" s="6" t="s">
        <v>112</v>
      </c>
      <c r="E153" s="6" t="s">
        <v>60</v>
      </c>
      <c r="F153" s="6" t="s">
        <v>60</v>
      </c>
      <c r="G153" s="6" t="n">
        <v>24</v>
      </c>
      <c r="H153" s="6" t="n">
        <v>2145700</v>
      </c>
      <c r="I153" s="6" t="n">
        <v>779100</v>
      </c>
      <c r="J153" s="6" t="n">
        <v>10327100</v>
      </c>
      <c r="K153" s="6" t="n">
        <v>8181300</v>
      </c>
      <c r="L153" s="6" t="n">
        <v>24</v>
      </c>
      <c r="M153" s="6" t="n">
        <v>8</v>
      </c>
      <c r="N153" s="6" t="n">
        <v>9518.2</v>
      </c>
    </row>
    <row r="154" customFormat="false" ht="15" hidden="false" customHeight="false" outlineLevel="0" collapsed="false">
      <c r="A154" s="6" t="s">
        <v>26</v>
      </c>
      <c r="B154" s="6" t="s">
        <v>26</v>
      </c>
      <c r="C154" s="6" t="s">
        <v>51</v>
      </c>
      <c r="D154" s="6" t="s">
        <v>113</v>
      </c>
      <c r="E154" s="6" t="s">
        <v>58</v>
      </c>
      <c r="F154" s="6" t="s">
        <v>58</v>
      </c>
      <c r="G154" s="6" t="n">
        <v>17</v>
      </c>
      <c r="H154" s="6" t="n">
        <v>1906700</v>
      </c>
      <c r="I154" s="6" t="n">
        <v>492700</v>
      </c>
      <c r="J154" s="6" t="n">
        <v>6017200</v>
      </c>
      <c r="K154" s="6" t="n">
        <v>4110700</v>
      </c>
      <c r="L154" s="6" t="n">
        <v>17</v>
      </c>
      <c r="M154" s="6" t="n">
        <v>1</v>
      </c>
      <c r="N154" s="6" t="n">
        <v>3863.6</v>
      </c>
    </row>
    <row r="155" customFormat="false" ht="15" hidden="false" customHeight="false" outlineLevel="0" collapsed="false">
      <c r="A155" s="6" t="s">
        <v>26</v>
      </c>
      <c r="B155" s="6" t="s">
        <v>26</v>
      </c>
      <c r="C155" s="6" t="s">
        <v>51</v>
      </c>
      <c r="D155" s="6" t="s">
        <v>113</v>
      </c>
      <c r="E155" s="6" t="s">
        <v>58</v>
      </c>
      <c r="F155" s="6" t="s">
        <v>60</v>
      </c>
      <c r="G155" s="6" t="n">
        <v>36</v>
      </c>
      <c r="H155" s="6" t="n">
        <v>3058200</v>
      </c>
      <c r="I155" s="6" t="n">
        <v>1129900</v>
      </c>
      <c r="J155" s="6" t="n">
        <v>13543100</v>
      </c>
      <c r="K155" s="6" t="n">
        <v>10485100</v>
      </c>
      <c r="L155" s="6" t="n">
        <v>36</v>
      </c>
      <c r="M155" s="6" t="n">
        <v>5</v>
      </c>
      <c r="N155" s="6" t="n">
        <v>12851.3</v>
      </c>
    </row>
    <row r="156" customFormat="false" ht="15" hidden="false" customHeight="false" outlineLevel="0" collapsed="false">
      <c r="A156" s="6" t="s">
        <v>26</v>
      </c>
      <c r="B156" s="6" t="s">
        <v>26</v>
      </c>
      <c r="C156" s="6" t="s">
        <v>51</v>
      </c>
      <c r="D156" s="6" t="s">
        <v>113</v>
      </c>
      <c r="E156" s="6" t="s">
        <v>60</v>
      </c>
      <c r="F156" s="6" t="s">
        <v>58</v>
      </c>
      <c r="G156" s="6" t="n">
        <v>11</v>
      </c>
      <c r="H156" s="6" t="n">
        <v>1325600</v>
      </c>
      <c r="I156" s="6" t="n">
        <v>745300</v>
      </c>
      <c r="J156" s="6" t="n">
        <v>4342200</v>
      </c>
      <c r="K156" s="6" t="n">
        <v>3016700</v>
      </c>
      <c r="L156" s="6" t="n">
        <v>11</v>
      </c>
      <c r="M156" s="6" t="n">
        <v>2</v>
      </c>
      <c r="N156" s="6" t="n">
        <v>2686.7</v>
      </c>
    </row>
    <row r="157" customFormat="false" ht="15" hidden="false" customHeight="false" outlineLevel="0" collapsed="false">
      <c r="A157" s="6" t="s">
        <v>26</v>
      </c>
      <c r="B157" s="6" t="s">
        <v>26</v>
      </c>
      <c r="C157" s="6" t="s">
        <v>51</v>
      </c>
      <c r="D157" s="6" t="s">
        <v>113</v>
      </c>
      <c r="E157" s="6" t="s">
        <v>60</v>
      </c>
      <c r="F157" s="6" t="s">
        <v>60</v>
      </c>
      <c r="G157" s="6" t="n">
        <v>31</v>
      </c>
      <c r="H157" s="6" t="n">
        <v>2388700</v>
      </c>
      <c r="I157" s="6" t="n">
        <v>1096000</v>
      </c>
      <c r="J157" s="6" t="n">
        <v>14312100</v>
      </c>
      <c r="K157" s="6" t="n">
        <v>11923700</v>
      </c>
      <c r="L157" s="6" t="n">
        <v>31</v>
      </c>
      <c r="M157" s="6" t="n">
        <v>10</v>
      </c>
      <c r="N157" s="6" t="n">
        <v>16199.4</v>
      </c>
    </row>
    <row r="158" customFormat="false" ht="15" hidden="false" customHeight="false" outlineLevel="0" collapsed="false">
      <c r="A158" s="6" t="s">
        <v>26</v>
      </c>
      <c r="B158" s="6" t="s">
        <v>26</v>
      </c>
      <c r="C158" s="6" t="s">
        <v>51</v>
      </c>
      <c r="D158" s="6" t="s">
        <v>114</v>
      </c>
      <c r="E158" s="6" t="s">
        <v>58</v>
      </c>
      <c r="F158" s="6" t="s">
        <v>58</v>
      </c>
      <c r="G158" s="6" t="n">
        <v>10</v>
      </c>
      <c r="H158" s="6" t="n">
        <v>1099500</v>
      </c>
      <c r="I158" s="6" t="n">
        <v>415200</v>
      </c>
      <c r="J158" s="6" t="n">
        <v>3314600</v>
      </c>
      <c r="K158" s="6" t="n">
        <v>2215300</v>
      </c>
      <c r="L158" s="6" t="n">
        <v>9</v>
      </c>
      <c r="M158" s="6" t="n">
        <v>0</v>
      </c>
      <c r="N158" s="6" t="n">
        <v>2065.7</v>
      </c>
    </row>
    <row r="159" customFormat="false" ht="15" hidden="false" customHeight="false" outlineLevel="0" collapsed="false">
      <c r="A159" s="6" t="s">
        <v>26</v>
      </c>
      <c r="B159" s="6" t="s">
        <v>26</v>
      </c>
      <c r="C159" s="6" t="s">
        <v>51</v>
      </c>
      <c r="D159" s="6" t="s">
        <v>114</v>
      </c>
      <c r="E159" s="6" t="s">
        <v>58</v>
      </c>
      <c r="F159" s="6" t="s">
        <v>60</v>
      </c>
      <c r="G159" s="6" t="n">
        <v>24</v>
      </c>
      <c r="H159" s="6" t="n">
        <v>1966700</v>
      </c>
      <c r="I159" s="6" t="n">
        <v>631400</v>
      </c>
      <c r="J159" s="6" t="n">
        <v>9866400</v>
      </c>
      <c r="K159" s="6" t="n">
        <v>7899900</v>
      </c>
      <c r="L159" s="6" t="n">
        <v>24</v>
      </c>
      <c r="M159" s="6" t="n">
        <v>5</v>
      </c>
      <c r="N159" s="6" t="n">
        <v>9726.8</v>
      </c>
    </row>
    <row r="160" customFormat="false" ht="15" hidden="false" customHeight="false" outlineLevel="0" collapsed="false">
      <c r="A160" s="6" t="s">
        <v>26</v>
      </c>
      <c r="B160" s="6" t="s">
        <v>26</v>
      </c>
      <c r="C160" s="6" t="s">
        <v>51</v>
      </c>
      <c r="D160" s="6" t="s">
        <v>114</v>
      </c>
      <c r="E160" s="6" t="s">
        <v>60</v>
      </c>
      <c r="F160" s="6" t="s">
        <v>58</v>
      </c>
      <c r="G160" s="6" t="n">
        <v>12</v>
      </c>
      <c r="H160" s="6" t="n">
        <v>1233000</v>
      </c>
      <c r="I160" s="6" t="n">
        <v>502500</v>
      </c>
      <c r="J160" s="6" t="n">
        <v>4752800</v>
      </c>
      <c r="K160" s="6" t="n">
        <v>3519700</v>
      </c>
      <c r="L160" s="6" t="n">
        <v>12</v>
      </c>
      <c r="M160" s="6" t="n">
        <v>2</v>
      </c>
      <c r="N160" s="6" t="n">
        <v>3485.6</v>
      </c>
    </row>
    <row r="161" customFormat="false" ht="15" hidden="false" customHeight="false" outlineLevel="0" collapsed="false">
      <c r="A161" s="6" t="s">
        <v>26</v>
      </c>
      <c r="B161" s="6" t="s">
        <v>26</v>
      </c>
      <c r="C161" s="6" t="s">
        <v>51</v>
      </c>
      <c r="D161" s="6" t="s">
        <v>114</v>
      </c>
      <c r="E161" s="6" t="s">
        <v>60</v>
      </c>
      <c r="F161" s="6" t="s">
        <v>60</v>
      </c>
      <c r="G161" s="6" t="n">
        <v>24</v>
      </c>
      <c r="H161" s="6" t="n">
        <v>1950300</v>
      </c>
      <c r="I161" s="6" t="n">
        <v>922300</v>
      </c>
      <c r="J161" s="6" t="n">
        <v>10637900</v>
      </c>
      <c r="K161" s="6" t="n">
        <v>8687300</v>
      </c>
      <c r="L161" s="6" t="n">
        <v>24</v>
      </c>
      <c r="M161" s="6" t="n">
        <v>7</v>
      </c>
      <c r="N161" s="6" t="n">
        <v>10997</v>
      </c>
    </row>
    <row r="162" customFormat="false" ht="15" hidden="false" customHeight="false" outlineLevel="0" collapsed="false">
      <c r="A162" s="6" t="s">
        <v>25</v>
      </c>
      <c r="B162" s="6" t="s">
        <v>26</v>
      </c>
      <c r="C162" s="6" t="s">
        <v>54</v>
      </c>
      <c r="D162" s="6" t="s">
        <v>111</v>
      </c>
      <c r="E162" s="6" t="s">
        <v>58</v>
      </c>
      <c r="F162" s="6" t="s">
        <v>58</v>
      </c>
      <c r="G162" s="6" t="n">
        <v>5</v>
      </c>
      <c r="H162" s="6" t="n">
        <v>592900</v>
      </c>
      <c r="I162" s="6" t="n">
        <v>197800</v>
      </c>
      <c r="J162" s="6" t="n">
        <v>2296800</v>
      </c>
      <c r="K162" s="6" t="n">
        <v>1703900</v>
      </c>
      <c r="L162" s="6" t="n">
        <v>5</v>
      </c>
      <c r="M162" s="6" t="n">
        <v>1</v>
      </c>
      <c r="N162" s="6" t="n">
        <v>1459.5</v>
      </c>
    </row>
    <row r="163" customFormat="false" ht="15" hidden="false" customHeight="false" outlineLevel="0" collapsed="false">
      <c r="A163" s="6" t="s">
        <v>25</v>
      </c>
      <c r="B163" s="6" t="s">
        <v>26</v>
      </c>
      <c r="C163" s="6" t="s">
        <v>54</v>
      </c>
      <c r="D163" s="6" t="s">
        <v>111</v>
      </c>
      <c r="E163" s="6" t="s">
        <v>58</v>
      </c>
      <c r="F163" s="6" t="s">
        <v>60</v>
      </c>
      <c r="G163" s="6" t="n">
        <v>10</v>
      </c>
      <c r="H163" s="6" t="n">
        <v>1095600</v>
      </c>
      <c r="I163" s="6" t="n">
        <v>443000</v>
      </c>
      <c r="J163" s="6" t="n">
        <v>3537500</v>
      </c>
      <c r="K163" s="6" t="n">
        <v>2442000</v>
      </c>
      <c r="L163" s="6" t="n">
        <v>10</v>
      </c>
      <c r="M163" s="6" t="n">
        <v>2</v>
      </c>
      <c r="N163" s="6" t="n">
        <v>2392.5</v>
      </c>
    </row>
    <row r="164" customFormat="false" ht="15" hidden="false" customHeight="false" outlineLevel="0" collapsed="false">
      <c r="A164" s="6" t="s">
        <v>25</v>
      </c>
      <c r="B164" s="6" t="s">
        <v>26</v>
      </c>
      <c r="C164" s="6" t="s">
        <v>54</v>
      </c>
      <c r="D164" s="6" t="s">
        <v>111</v>
      </c>
      <c r="E164" s="6" t="s">
        <v>60</v>
      </c>
      <c r="F164" s="6" t="s">
        <v>58</v>
      </c>
      <c r="G164" s="6" t="n">
        <v>7</v>
      </c>
      <c r="H164" s="6" t="n">
        <v>920100</v>
      </c>
      <c r="I164" s="6" t="n">
        <v>568900</v>
      </c>
      <c r="J164" s="6" t="n">
        <v>3034600</v>
      </c>
      <c r="K164" s="6" t="n">
        <v>2114600</v>
      </c>
      <c r="L164" s="6" t="n">
        <v>7</v>
      </c>
      <c r="M164" s="6" t="n">
        <v>2</v>
      </c>
      <c r="N164" s="6" t="n">
        <v>1715</v>
      </c>
    </row>
    <row r="165" customFormat="false" ht="15" hidden="false" customHeight="false" outlineLevel="0" collapsed="false">
      <c r="A165" s="6" t="s">
        <v>25</v>
      </c>
      <c r="B165" s="6" t="s">
        <v>26</v>
      </c>
      <c r="C165" s="6" t="s">
        <v>54</v>
      </c>
      <c r="D165" s="6" t="s">
        <v>111</v>
      </c>
      <c r="E165" s="6" t="s">
        <v>60</v>
      </c>
      <c r="F165" s="6" t="s">
        <v>60</v>
      </c>
      <c r="G165" s="6" t="n">
        <v>5</v>
      </c>
      <c r="H165" s="6" t="n">
        <v>553500</v>
      </c>
      <c r="I165" s="6" t="n">
        <v>326200</v>
      </c>
      <c r="J165" s="6" t="n">
        <v>1811700</v>
      </c>
      <c r="K165" s="6" t="n">
        <v>1258200</v>
      </c>
      <c r="L165" s="6" t="n">
        <v>5</v>
      </c>
      <c r="M165" s="6" t="n">
        <v>0</v>
      </c>
      <c r="N165" s="6" t="n">
        <v>1110.7</v>
      </c>
    </row>
    <row r="166" customFormat="false" ht="15" hidden="false" customHeight="false" outlineLevel="0" collapsed="false">
      <c r="A166" s="6" t="s">
        <v>25</v>
      </c>
      <c r="B166" s="6" t="s">
        <v>26</v>
      </c>
      <c r="C166" s="6" t="s">
        <v>54</v>
      </c>
      <c r="D166" s="6" t="s">
        <v>112</v>
      </c>
      <c r="E166" s="6" t="s">
        <v>58</v>
      </c>
      <c r="F166" s="6" t="s">
        <v>58</v>
      </c>
      <c r="G166" s="6" t="n">
        <v>7</v>
      </c>
      <c r="H166" s="6" t="n">
        <v>970700</v>
      </c>
      <c r="I166" s="6" t="n">
        <v>523500</v>
      </c>
      <c r="J166" s="6" t="n">
        <v>2660600</v>
      </c>
      <c r="K166" s="6" t="n">
        <v>1690000</v>
      </c>
      <c r="L166" s="6" t="n">
        <v>7</v>
      </c>
      <c r="M166" s="6" t="n">
        <v>1</v>
      </c>
      <c r="N166" s="6" t="n">
        <v>1272.6</v>
      </c>
    </row>
    <row r="167" customFormat="false" ht="15" hidden="false" customHeight="false" outlineLevel="0" collapsed="false">
      <c r="A167" s="6" t="s">
        <v>25</v>
      </c>
      <c r="B167" s="6" t="s">
        <v>26</v>
      </c>
      <c r="C167" s="6" t="s">
        <v>54</v>
      </c>
      <c r="D167" s="6" t="s">
        <v>112</v>
      </c>
      <c r="E167" s="6" t="s">
        <v>58</v>
      </c>
      <c r="F167" s="6" t="s">
        <v>60</v>
      </c>
      <c r="G167" s="6" t="n">
        <v>16</v>
      </c>
      <c r="H167" s="6" t="n">
        <v>1700900</v>
      </c>
      <c r="I167" s="6" t="n">
        <v>992600</v>
      </c>
      <c r="J167" s="6" t="n">
        <v>6139100</v>
      </c>
      <c r="K167" s="6" t="n">
        <v>4437900</v>
      </c>
      <c r="L167" s="6" t="n">
        <v>16</v>
      </c>
      <c r="M167" s="6" t="n">
        <v>3</v>
      </c>
      <c r="N167" s="6" t="n">
        <v>4294.1</v>
      </c>
    </row>
    <row r="168" customFormat="false" ht="15" hidden="false" customHeight="false" outlineLevel="0" collapsed="false">
      <c r="A168" s="6" t="s">
        <v>25</v>
      </c>
      <c r="B168" s="6" t="s">
        <v>26</v>
      </c>
      <c r="C168" s="6" t="s">
        <v>54</v>
      </c>
      <c r="D168" s="6" t="s">
        <v>112</v>
      </c>
      <c r="E168" s="6" t="s">
        <v>60</v>
      </c>
      <c r="F168" s="6" t="s">
        <v>58</v>
      </c>
      <c r="G168" s="6" t="n">
        <v>9</v>
      </c>
      <c r="H168" s="6" t="n">
        <v>1338400</v>
      </c>
      <c r="I168" s="6" t="n">
        <v>483400</v>
      </c>
      <c r="J168" s="6" t="n">
        <v>3367100</v>
      </c>
      <c r="K168" s="6" t="n">
        <v>2028800</v>
      </c>
      <c r="L168" s="6" t="n">
        <v>9</v>
      </c>
      <c r="M168" s="6" t="n">
        <v>1</v>
      </c>
      <c r="N168" s="6" t="n">
        <v>1439.7</v>
      </c>
    </row>
    <row r="169" customFormat="false" ht="15" hidden="false" customHeight="false" outlineLevel="0" collapsed="false">
      <c r="A169" s="6" t="s">
        <v>25</v>
      </c>
      <c r="B169" s="6" t="s">
        <v>26</v>
      </c>
      <c r="C169" s="6" t="s">
        <v>54</v>
      </c>
      <c r="D169" s="6" t="s">
        <v>112</v>
      </c>
      <c r="E169" s="6" t="s">
        <v>60</v>
      </c>
      <c r="F169" s="6" t="s">
        <v>60</v>
      </c>
      <c r="G169" s="6" t="n">
        <v>19</v>
      </c>
      <c r="H169" s="6" t="n">
        <v>2134200</v>
      </c>
      <c r="I169" s="6" t="n">
        <v>957900</v>
      </c>
      <c r="J169" s="6" t="n">
        <v>7082200</v>
      </c>
      <c r="K169" s="6" t="n">
        <v>4948200</v>
      </c>
      <c r="L169" s="6" t="n">
        <v>19</v>
      </c>
      <c r="M169" s="6" t="n">
        <v>3</v>
      </c>
      <c r="N169" s="6" t="n">
        <v>4771.2</v>
      </c>
    </row>
    <row r="170" customFormat="false" ht="15" hidden="false" customHeight="false" outlineLevel="0" collapsed="false">
      <c r="A170" s="6" t="s">
        <v>25</v>
      </c>
      <c r="B170" s="6" t="s">
        <v>26</v>
      </c>
      <c r="C170" s="6" t="s">
        <v>54</v>
      </c>
      <c r="D170" s="6" t="s">
        <v>113</v>
      </c>
      <c r="E170" s="6" t="s">
        <v>58</v>
      </c>
      <c r="F170" s="6" t="s">
        <v>58</v>
      </c>
      <c r="G170" s="6" t="n">
        <v>9</v>
      </c>
      <c r="H170" s="6" t="n">
        <v>1460600</v>
      </c>
      <c r="I170" s="6" t="n">
        <v>338000</v>
      </c>
      <c r="J170" s="6" t="n">
        <v>3184900</v>
      </c>
      <c r="K170" s="6" t="n">
        <v>1724300</v>
      </c>
      <c r="L170" s="6" t="n">
        <v>9</v>
      </c>
      <c r="M170" s="6" t="n">
        <v>0</v>
      </c>
      <c r="N170" s="6" t="n">
        <v>1114</v>
      </c>
    </row>
    <row r="171" customFormat="false" ht="15" hidden="false" customHeight="false" outlineLevel="0" collapsed="false">
      <c r="A171" s="6" t="s">
        <v>25</v>
      </c>
      <c r="B171" s="6" t="s">
        <v>26</v>
      </c>
      <c r="C171" s="6" t="s">
        <v>54</v>
      </c>
      <c r="D171" s="6" t="s">
        <v>113</v>
      </c>
      <c r="E171" s="6" t="s">
        <v>58</v>
      </c>
      <c r="F171" s="6" t="s">
        <v>60</v>
      </c>
      <c r="G171" s="6" t="n">
        <v>13</v>
      </c>
      <c r="H171" s="6" t="n">
        <v>1338700</v>
      </c>
      <c r="I171" s="6" t="n">
        <v>609000</v>
      </c>
      <c r="J171" s="6" t="n">
        <v>5090600</v>
      </c>
      <c r="K171" s="6" t="n">
        <v>3751700</v>
      </c>
      <c r="L171" s="6" t="n">
        <v>13</v>
      </c>
      <c r="M171" s="6" t="n">
        <v>4</v>
      </c>
      <c r="N171" s="6" t="n">
        <v>3674.8</v>
      </c>
    </row>
    <row r="172" customFormat="false" ht="15" hidden="false" customHeight="false" outlineLevel="0" collapsed="false">
      <c r="A172" s="6" t="s">
        <v>25</v>
      </c>
      <c r="B172" s="6" t="s">
        <v>26</v>
      </c>
      <c r="C172" s="6" t="s">
        <v>54</v>
      </c>
      <c r="D172" s="6" t="s">
        <v>113</v>
      </c>
      <c r="E172" s="6" t="s">
        <v>60</v>
      </c>
      <c r="F172" s="6" t="s">
        <v>58</v>
      </c>
      <c r="G172" s="6" t="n">
        <v>3</v>
      </c>
      <c r="H172" s="6" t="n">
        <v>420000</v>
      </c>
      <c r="I172" s="6" t="n">
        <v>335600</v>
      </c>
      <c r="J172" s="6" t="n">
        <v>806000</v>
      </c>
      <c r="K172" s="6" t="n">
        <v>386100</v>
      </c>
      <c r="L172" s="6" t="n">
        <v>3</v>
      </c>
      <c r="M172" s="6" t="n">
        <v>0</v>
      </c>
      <c r="N172" s="6" t="n">
        <v>281.5</v>
      </c>
    </row>
    <row r="173" customFormat="false" ht="15" hidden="false" customHeight="false" outlineLevel="0" collapsed="false">
      <c r="A173" s="6" t="s">
        <v>25</v>
      </c>
      <c r="B173" s="6" t="s">
        <v>26</v>
      </c>
      <c r="C173" s="6" t="s">
        <v>54</v>
      </c>
      <c r="D173" s="6" t="s">
        <v>113</v>
      </c>
      <c r="E173" s="6" t="s">
        <v>60</v>
      </c>
      <c r="F173" s="6" t="s">
        <v>60</v>
      </c>
      <c r="G173" s="6" t="n">
        <v>16</v>
      </c>
      <c r="H173" s="6" t="n">
        <v>1689200</v>
      </c>
      <c r="I173" s="6" t="n">
        <v>514100</v>
      </c>
      <c r="J173" s="6" t="n">
        <v>6521500</v>
      </c>
      <c r="K173" s="6" t="n">
        <v>4832300</v>
      </c>
      <c r="L173" s="6" t="n">
        <v>16</v>
      </c>
      <c r="M173" s="6" t="n">
        <v>4</v>
      </c>
      <c r="N173" s="6" t="n">
        <v>4679</v>
      </c>
    </row>
    <row r="174" customFormat="false" ht="15" hidden="false" customHeight="false" outlineLevel="0" collapsed="false">
      <c r="A174" s="6" t="s">
        <v>25</v>
      </c>
      <c r="B174" s="6" t="s">
        <v>26</v>
      </c>
      <c r="C174" s="6" t="s">
        <v>54</v>
      </c>
      <c r="D174" s="6" t="s">
        <v>114</v>
      </c>
      <c r="E174" s="6" t="s">
        <v>58</v>
      </c>
      <c r="F174" s="6" t="s">
        <v>58</v>
      </c>
      <c r="G174" s="6" t="n">
        <v>5</v>
      </c>
      <c r="H174" s="6" t="n">
        <v>691800</v>
      </c>
      <c r="I174" s="6" t="n">
        <v>191600</v>
      </c>
      <c r="J174" s="6" t="n">
        <v>2245800</v>
      </c>
      <c r="K174" s="6" t="n">
        <v>1554100</v>
      </c>
      <c r="L174" s="6" t="n">
        <v>5</v>
      </c>
      <c r="M174" s="6" t="n">
        <v>1</v>
      </c>
      <c r="N174" s="6" t="n">
        <v>1154</v>
      </c>
    </row>
    <row r="175" customFormat="false" ht="15" hidden="false" customHeight="false" outlineLevel="0" collapsed="false">
      <c r="A175" s="6" t="s">
        <v>25</v>
      </c>
      <c r="B175" s="6" t="s">
        <v>26</v>
      </c>
      <c r="C175" s="6" t="s">
        <v>54</v>
      </c>
      <c r="D175" s="6" t="s">
        <v>114</v>
      </c>
      <c r="E175" s="6" t="s">
        <v>58</v>
      </c>
      <c r="F175" s="6" t="s">
        <v>60</v>
      </c>
      <c r="G175" s="6" t="n">
        <v>13</v>
      </c>
      <c r="H175" s="6" t="n">
        <v>1388400</v>
      </c>
      <c r="I175" s="6" t="n">
        <v>544000</v>
      </c>
      <c r="J175" s="6" t="n">
        <v>4236700</v>
      </c>
      <c r="K175" s="6" t="n">
        <v>2848300</v>
      </c>
      <c r="L175" s="6" t="n">
        <v>13</v>
      </c>
      <c r="M175" s="6" t="n">
        <v>1</v>
      </c>
      <c r="N175" s="6" t="n">
        <v>2795.1</v>
      </c>
    </row>
    <row r="176" customFormat="false" ht="15" hidden="false" customHeight="false" outlineLevel="0" collapsed="false">
      <c r="A176" s="6" t="s">
        <v>25</v>
      </c>
      <c r="B176" s="6" t="s">
        <v>26</v>
      </c>
      <c r="C176" s="6" t="s">
        <v>54</v>
      </c>
      <c r="D176" s="6" t="s">
        <v>114</v>
      </c>
      <c r="E176" s="6" t="s">
        <v>60</v>
      </c>
      <c r="F176" s="6" t="s">
        <v>58</v>
      </c>
      <c r="G176" s="6" t="n">
        <v>7</v>
      </c>
      <c r="H176" s="6" t="n">
        <v>1056500</v>
      </c>
      <c r="I176" s="6" t="n">
        <v>752500</v>
      </c>
      <c r="J176" s="6" t="n">
        <v>2233000</v>
      </c>
      <c r="K176" s="6" t="n">
        <v>1176700</v>
      </c>
      <c r="L176" s="6" t="n">
        <v>7</v>
      </c>
      <c r="M176" s="6" t="n">
        <v>0</v>
      </c>
      <c r="N176" s="6" t="n">
        <v>790.3</v>
      </c>
    </row>
    <row r="177" customFormat="false" ht="15" hidden="false" customHeight="false" outlineLevel="0" collapsed="false">
      <c r="A177" s="6" t="s">
        <v>25</v>
      </c>
      <c r="B177" s="6" t="s">
        <v>26</v>
      </c>
      <c r="C177" s="6" t="s">
        <v>54</v>
      </c>
      <c r="D177" s="6" t="s">
        <v>114</v>
      </c>
      <c r="E177" s="6" t="s">
        <v>60</v>
      </c>
      <c r="F177" s="6" t="s">
        <v>60</v>
      </c>
      <c r="G177" s="6" t="n">
        <v>13</v>
      </c>
      <c r="H177" s="6" t="n">
        <v>1411000</v>
      </c>
      <c r="I177" s="6" t="n">
        <v>691000</v>
      </c>
      <c r="J177" s="6" t="n">
        <v>4829800</v>
      </c>
      <c r="K177" s="6" t="n">
        <v>3418600</v>
      </c>
      <c r="L177" s="6" t="n">
        <v>13</v>
      </c>
      <c r="M177" s="6" t="n">
        <v>1</v>
      </c>
      <c r="N177" s="6" t="n">
        <v>3350.3</v>
      </c>
    </row>
    <row r="178" customFormat="false" ht="15" hidden="false" customHeight="false" outlineLevel="0" collapsed="false">
      <c r="A178" s="6" t="s">
        <v>25</v>
      </c>
      <c r="B178" s="6" t="s">
        <v>26</v>
      </c>
      <c r="C178" s="6" t="s">
        <v>50</v>
      </c>
      <c r="D178" s="6" t="s">
        <v>111</v>
      </c>
      <c r="E178" s="6" t="s">
        <v>58</v>
      </c>
      <c r="F178" s="6" t="s">
        <v>58</v>
      </c>
      <c r="G178" s="6" t="n">
        <v>4</v>
      </c>
      <c r="H178" s="6" t="n">
        <v>946500</v>
      </c>
      <c r="I178" s="6" t="n">
        <v>591400</v>
      </c>
      <c r="J178" s="6" t="n">
        <v>2219100</v>
      </c>
      <c r="K178" s="6" t="n">
        <v>1272600</v>
      </c>
      <c r="L178" s="6" t="n">
        <v>4</v>
      </c>
      <c r="M178" s="6" t="n">
        <v>0</v>
      </c>
      <c r="N178" s="6" t="n">
        <v>582.3</v>
      </c>
    </row>
    <row r="179" customFormat="false" ht="15" hidden="false" customHeight="false" outlineLevel="0" collapsed="false">
      <c r="A179" s="6" t="s">
        <v>25</v>
      </c>
      <c r="B179" s="6" t="s">
        <v>26</v>
      </c>
      <c r="C179" s="6" t="s">
        <v>50</v>
      </c>
      <c r="D179" s="6" t="s">
        <v>111</v>
      </c>
      <c r="E179" s="6" t="s">
        <v>58</v>
      </c>
      <c r="F179" s="6" t="s">
        <v>60</v>
      </c>
      <c r="G179" s="6" t="n">
        <v>11</v>
      </c>
      <c r="H179" s="6" t="n">
        <v>1597700</v>
      </c>
      <c r="I179" s="6" t="n">
        <v>736600</v>
      </c>
      <c r="J179" s="6" t="n">
        <v>9288600</v>
      </c>
      <c r="K179" s="6" t="n">
        <v>7690800</v>
      </c>
      <c r="L179" s="6" t="n">
        <v>11</v>
      </c>
      <c r="M179" s="6" t="n">
        <v>11</v>
      </c>
      <c r="N179" s="6" t="n">
        <v>5447.7</v>
      </c>
    </row>
    <row r="180" customFormat="false" ht="15" hidden="false" customHeight="false" outlineLevel="0" collapsed="false">
      <c r="A180" s="6" t="s">
        <v>25</v>
      </c>
      <c r="B180" s="6" t="s">
        <v>26</v>
      </c>
      <c r="C180" s="6" t="s">
        <v>50</v>
      </c>
      <c r="D180" s="6" t="s">
        <v>111</v>
      </c>
      <c r="E180" s="6" t="s">
        <v>60</v>
      </c>
      <c r="F180" s="6" t="s">
        <v>58</v>
      </c>
      <c r="G180" s="6" t="n">
        <v>2</v>
      </c>
      <c r="H180" s="6" t="n">
        <v>391200</v>
      </c>
      <c r="I180" s="6" t="n">
        <v>154600</v>
      </c>
      <c r="J180" s="6" t="n">
        <v>1498300</v>
      </c>
      <c r="K180" s="6" t="n">
        <v>1107100</v>
      </c>
      <c r="L180" s="6" t="n">
        <v>2</v>
      </c>
      <c r="M180" s="6" t="n">
        <v>2</v>
      </c>
      <c r="N180" s="6" t="n">
        <v>578.5</v>
      </c>
    </row>
    <row r="181" customFormat="false" ht="15" hidden="false" customHeight="false" outlineLevel="0" collapsed="false">
      <c r="A181" s="6" t="s">
        <v>25</v>
      </c>
      <c r="B181" s="6" t="s">
        <v>26</v>
      </c>
      <c r="C181" s="6" t="s">
        <v>50</v>
      </c>
      <c r="D181" s="6" t="s">
        <v>111</v>
      </c>
      <c r="E181" s="6" t="s">
        <v>60</v>
      </c>
      <c r="F181" s="6" t="s">
        <v>60</v>
      </c>
      <c r="G181" s="6" t="n">
        <v>7</v>
      </c>
      <c r="H181" s="6" t="n">
        <v>1067300</v>
      </c>
      <c r="I181" s="6" t="n">
        <v>428600</v>
      </c>
      <c r="J181" s="6" t="n">
        <v>8117200</v>
      </c>
      <c r="K181" s="6" t="n">
        <v>7050100</v>
      </c>
      <c r="L181" s="6" t="n">
        <v>7</v>
      </c>
      <c r="M181" s="6" t="n">
        <v>6</v>
      </c>
      <c r="N181" s="6" t="n">
        <v>4777.3</v>
      </c>
    </row>
    <row r="182" customFormat="false" ht="15" hidden="false" customHeight="false" outlineLevel="0" collapsed="false">
      <c r="A182" s="6" t="s">
        <v>25</v>
      </c>
      <c r="B182" s="6" t="s">
        <v>26</v>
      </c>
      <c r="C182" s="6" t="s">
        <v>50</v>
      </c>
      <c r="D182" s="6" t="s">
        <v>112</v>
      </c>
      <c r="E182" s="6" t="s">
        <v>58</v>
      </c>
      <c r="F182" s="6" t="s">
        <v>58</v>
      </c>
      <c r="G182" s="6" t="n">
        <v>3</v>
      </c>
      <c r="H182" s="6" t="n">
        <v>581500</v>
      </c>
      <c r="I182" s="6" t="n">
        <v>436700</v>
      </c>
      <c r="J182" s="6" t="n">
        <v>1858000</v>
      </c>
      <c r="K182" s="6" t="n">
        <v>1276500</v>
      </c>
      <c r="L182" s="6" t="n">
        <v>3</v>
      </c>
      <c r="M182" s="6" t="n">
        <v>1</v>
      </c>
      <c r="N182" s="6" t="n">
        <v>688</v>
      </c>
    </row>
    <row r="183" customFormat="false" ht="15" hidden="false" customHeight="false" outlineLevel="0" collapsed="false">
      <c r="A183" s="6" t="s">
        <v>25</v>
      </c>
      <c r="B183" s="6" t="s">
        <v>26</v>
      </c>
      <c r="C183" s="6" t="s">
        <v>50</v>
      </c>
      <c r="D183" s="6" t="s">
        <v>112</v>
      </c>
      <c r="E183" s="6" t="s">
        <v>58</v>
      </c>
      <c r="F183" s="6" t="s">
        <v>60</v>
      </c>
      <c r="G183" s="6" t="n">
        <v>14</v>
      </c>
      <c r="H183" s="6" t="n">
        <v>2074300</v>
      </c>
      <c r="I183" s="6" t="n">
        <v>1323400</v>
      </c>
      <c r="J183" s="6" t="n">
        <v>14122700</v>
      </c>
      <c r="K183" s="6" t="n">
        <v>12048700</v>
      </c>
      <c r="L183" s="6" t="n">
        <v>14</v>
      </c>
      <c r="M183" s="6" t="n">
        <v>11</v>
      </c>
      <c r="N183" s="6" t="n">
        <v>8179.6</v>
      </c>
    </row>
    <row r="184" customFormat="false" ht="15" hidden="false" customHeight="false" outlineLevel="0" collapsed="false">
      <c r="A184" s="6" t="s">
        <v>25</v>
      </c>
      <c r="B184" s="6" t="s">
        <v>26</v>
      </c>
      <c r="C184" s="6" t="s">
        <v>50</v>
      </c>
      <c r="D184" s="6" t="s">
        <v>112</v>
      </c>
      <c r="E184" s="6" t="s">
        <v>60</v>
      </c>
      <c r="F184" s="6" t="s">
        <v>58</v>
      </c>
      <c r="G184" s="6" t="n">
        <v>3</v>
      </c>
      <c r="H184" s="6" t="n">
        <v>739200</v>
      </c>
      <c r="I184" s="6" t="n">
        <v>490100</v>
      </c>
      <c r="J184" s="6" t="n">
        <v>2403100</v>
      </c>
      <c r="K184" s="6" t="n">
        <v>1663900</v>
      </c>
      <c r="L184" s="6" t="n">
        <v>3</v>
      </c>
      <c r="M184" s="6" t="n">
        <v>2</v>
      </c>
      <c r="N184" s="6" t="n">
        <v>720</v>
      </c>
    </row>
    <row r="185" customFormat="false" ht="15" hidden="false" customHeight="false" outlineLevel="0" collapsed="false">
      <c r="A185" s="6" t="s">
        <v>25</v>
      </c>
      <c r="B185" s="6" t="s">
        <v>26</v>
      </c>
      <c r="C185" s="6" t="s">
        <v>50</v>
      </c>
      <c r="D185" s="6" t="s">
        <v>112</v>
      </c>
      <c r="E185" s="6" t="s">
        <v>60</v>
      </c>
      <c r="F185" s="6" t="s">
        <v>60</v>
      </c>
      <c r="G185" s="6" t="n">
        <v>5</v>
      </c>
      <c r="H185" s="6" t="n">
        <v>694800</v>
      </c>
      <c r="I185" s="6" t="n">
        <v>356300</v>
      </c>
      <c r="J185" s="6" t="n">
        <v>6897000</v>
      </c>
      <c r="K185" s="6" t="n">
        <v>6202100</v>
      </c>
      <c r="L185" s="6" t="n">
        <v>5</v>
      </c>
      <c r="M185" s="6" t="n">
        <v>5</v>
      </c>
      <c r="N185" s="6" t="n">
        <v>4441.6</v>
      </c>
    </row>
    <row r="186" customFormat="false" ht="15" hidden="false" customHeight="false" outlineLevel="0" collapsed="false">
      <c r="A186" s="6" t="s">
        <v>25</v>
      </c>
      <c r="B186" s="6" t="s">
        <v>26</v>
      </c>
      <c r="C186" s="6" t="s">
        <v>50</v>
      </c>
      <c r="D186" s="6" t="s">
        <v>113</v>
      </c>
      <c r="E186" s="6" t="s">
        <v>58</v>
      </c>
      <c r="F186" s="6" t="s">
        <v>58</v>
      </c>
      <c r="G186" s="6" t="n">
        <v>11</v>
      </c>
      <c r="H186" s="6" t="n">
        <v>2136100</v>
      </c>
      <c r="I186" s="6" t="n">
        <v>822800</v>
      </c>
      <c r="J186" s="6" t="n">
        <v>8359300</v>
      </c>
      <c r="K186" s="6" t="n">
        <v>6222900</v>
      </c>
      <c r="L186" s="6" t="n">
        <v>11</v>
      </c>
      <c r="M186" s="6" t="n">
        <v>7</v>
      </c>
      <c r="N186" s="6" t="n">
        <v>3255.5</v>
      </c>
    </row>
    <row r="187" customFormat="false" ht="15" hidden="false" customHeight="false" outlineLevel="0" collapsed="false">
      <c r="A187" s="6" t="s">
        <v>25</v>
      </c>
      <c r="B187" s="6" t="s">
        <v>26</v>
      </c>
      <c r="C187" s="6" t="s">
        <v>50</v>
      </c>
      <c r="D187" s="6" t="s">
        <v>113</v>
      </c>
      <c r="E187" s="6" t="s">
        <v>58</v>
      </c>
      <c r="F187" s="6" t="s">
        <v>60</v>
      </c>
      <c r="G187" s="6" t="n">
        <v>9</v>
      </c>
      <c r="H187" s="6" t="n">
        <v>1360400</v>
      </c>
      <c r="I187" s="6" t="n">
        <v>523800</v>
      </c>
      <c r="J187" s="6" t="n">
        <v>6320300</v>
      </c>
      <c r="K187" s="6" t="n">
        <v>4959900</v>
      </c>
      <c r="L187" s="6" t="n">
        <v>9</v>
      </c>
      <c r="M187" s="6" t="n">
        <v>6</v>
      </c>
      <c r="N187" s="6" t="n">
        <v>3494.8</v>
      </c>
    </row>
    <row r="188" customFormat="false" ht="15" hidden="false" customHeight="false" outlineLevel="0" collapsed="false">
      <c r="A188" s="6" t="s">
        <v>25</v>
      </c>
      <c r="B188" s="6" t="s">
        <v>26</v>
      </c>
      <c r="C188" s="6" t="s">
        <v>50</v>
      </c>
      <c r="D188" s="6" t="s">
        <v>113</v>
      </c>
      <c r="E188" s="6" t="s">
        <v>60</v>
      </c>
      <c r="F188" s="6" t="s">
        <v>58</v>
      </c>
      <c r="G188" s="6" t="n">
        <v>3</v>
      </c>
      <c r="H188" s="6" t="n">
        <v>695100</v>
      </c>
      <c r="I188" s="6" t="n">
        <v>231200</v>
      </c>
      <c r="J188" s="6" t="n">
        <v>1948600</v>
      </c>
      <c r="K188" s="6" t="n">
        <v>1253600</v>
      </c>
      <c r="L188" s="6" t="n">
        <v>3</v>
      </c>
      <c r="M188" s="6" t="n">
        <v>1</v>
      </c>
      <c r="N188" s="6" t="n">
        <v>607.8</v>
      </c>
    </row>
    <row r="189" customFormat="false" ht="15" hidden="false" customHeight="false" outlineLevel="0" collapsed="false">
      <c r="A189" s="6" t="s">
        <v>25</v>
      </c>
      <c r="B189" s="6" t="s">
        <v>26</v>
      </c>
      <c r="C189" s="6" t="s">
        <v>50</v>
      </c>
      <c r="D189" s="6" t="s">
        <v>113</v>
      </c>
      <c r="E189" s="6" t="s">
        <v>60</v>
      </c>
      <c r="F189" s="6" t="s">
        <v>60</v>
      </c>
      <c r="G189" s="6" t="n">
        <v>9</v>
      </c>
      <c r="H189" s="6" t="n">
        <v>1362000</v>
      </c>
      <c r="I189" s="6" t="n">
        <v>401600</v>
      </c>
      <c r="J189" s="6" t="n">
        <v>10907000</v>
      </c>
      <c r="K189" s="6" t="n">
        <v>9545100</v>
      </c>
      <c r="L189" s="6" t="n">
        <v>9</v>
      </c>
      <c r="M189" s="6" t="n">
        <v>8</v>
      </c>
      <c r="N189" s="6" t="n">
        <v>6577.5</v>
      </c>
    </row>
    <row r="190" customFormat="false" ht="15" hidden="false" customHeight="false" outlineLevel="0" collapsed="false">
      <c r="A190" s="6" t="s">
        <v>25</v>
      </c>
      <c r="B190" s="6" t="s">
        <v>26</v>
      </c>
      <c r="C190" s="6" t="s">
        <v>50</v>
      </c>
      <c r="D190" s="6" t="s">
        <v>114</v>
      </c>
      <c r="E190" s="6" t="s">
        <v>58</v>
      </c>
      <c r="F190" s="6" t="s">
        <v>58</v>
      </c>
      <c r="G190" s="6" t="n">
        <v>3</v>
      </c>
      <c r="H190" s="6" t="n">
        <v>601100</v>
      </c>
      <c r="I190" s="6" t="n">
        <v>299200</v>
      </c>
      <c r="J190" s="6" t="n">
        <v>3348200</v>
      </c>
      <c r="K190" s="6" t="n">
        <v>2747100</v>
      </c>
      <c r="L190" s="6" t="n">
        <v>3</v>
      </c>
      <c r="M190" s="6" t="n">
        <v>2</v>
      </c>
      <c r="N190" s="6" t="n">
        <v>1339.1</v>
      </c>
    </row>
    <row r="191" customFormat="false" ht="15" hidden="false" customHeight="false" outlineLevel="0" collapsed="false">
      <c r="A191" s="6" t="s">
        <v>25</v>
      </c>
      <c r="B191" s="6" t="s">
        <v>26</v>
      </c>
      <c r="C191" s="6" t="s">
        <v>50</v>
      </c>
      <c r="D191" s="6" t="s">
        <v>114</v>
      </c>
      <c r="E191" s="6" t="s">
        <v>58</v>
      </c>
      <c r="F191" s="6" t="s">
        <v>60</v>
      </c>
      <c r="G191" s="6" t="n">
        <v>11</v>
      </c>
      <c r="H191" s="6" t="n">
        <v>1592300</v>
      </c>
      <c r="I191" s="6" t="n">
        <v>1032800</v>
      </c>
      <c r="J191" s="6" t="n">
        <v>9815400</v>
      </c>
      <c r="K191" s="6" t="n">
        <v>8222800</v>
      </c>
      <c r="L191" s="6" t="n">
        <v>11</v>
      </c>
      <c r="M191" s="6" t="n">
        <v>8</v>
      </c>
      <c r="N191" s="6" t="n">
        <v>5805.2</v>
      </c>
    </row>
    <row r="192" customFormat="false" ht="15" hidden="false" customHeight="false" outlineLevel="0" collapsed="false">
      <c r="A192" s="6" t="s">
        <v>25</v>
      </c>
      <c r="B192" s="6" t="s">
        <v>26</v>
      </c>
      <c r="C192" s="6" t="s">
        <v>50</v>
      </c>
      <c r="D192" s="6" t="s">
        <v>114</v>
      </c>
      <c r="E192" s="6" t="s">
        <v>60</v>
      </c>
      <c r="F192" s="6" t="s">
        <v>58</v>
      </c>
      <c r="G192" s="6" t="n">
        <v>5</v>
      </c>
      <c r="H192" s="6" t="n">
        <v>1032400</v>
      </c>
      <c r="I192" s="6" t="n">
        <v>385100</v>
      </c>
      <c r="J192" s="6" t="n">
        <v>4404600</v>
      </c>
      <c r="K192" s="6" t="n">
        <v>3372200</v>
      </c>
      <c r="L192" s="6" t="n">
        <v>5</v>
      </c>
      <c r="M192" s="6" t="n">
        <v>3</v>
      </c>
      <c r="N192" s="6" t="n">
        <v>1667.2</v>
      </c>
    </row>
    <row r="193" customFormat="false" ht="15" hidden="false" customHeight="false" outlineLevel="0" collapsed="false">
      <c r="A193" s="6" t="s">
        <v>25</v>
      </c>
      <c r="B193" s="6" t="s">
        <v>26</v>
      </c>
      <c r="C193" s="6" t="s">
        <v>50</v>
      </c>
      <c r="D193" s="6" t="s">
        <v>114</v>
      </c>
      <c r="E193" s="6" t="s">
        <v>60</v>
      </c>
      <c r="F193" s="6" t="s">
        <v>60</v>
      </c>
      <c r="G193" s="6" t="n">
        <v>3</v>
      </c>
      <c r="H193" s="6" t="n">
        <v>428000</v>
      </c>
      <c r="I193" s="6" t="n">
        <v>124700</v>
      </c>
      <c r="J193" s="6" t="n">
        <v>3233200</v>
      </c>
      <c r="K193" s="6" t="n">
        <v>2805300</v>
      </c>
      <c r="L193" s="6" t="n">
        <v>3</v>
      </c>
      <c r="M193" s="6" t="n">
        <v>3</v>
      </c>
      <c r="N193" s="6" t="n">
        <v>2073.6</v>
      </c>
    </row>
    <row r="194" customFormat="false" ht="15" hidden="false" customHeight="false" outlineLevel="0" collapsed="false">
      <c r="A194" s="6" t="s">
        <v>25</v>
      </c>
      <c r="B194" s="6" t="s">
        <v>26</v>
      </c>
      <c r="C194" s="6" t="s">
        <v>52</v>
      </c>
      <c r="D194" s="6" t="s">
        <v>111</v>
      </c>
      <c r="E194" s="6" t="s">
        <v>58</v>
      </c>
      <c r="F194" s="6" t="s">
        <v>58</v>
      </c>
      <c r="G194" s="6" t="n">
        <v>16</v>
      </c>
      <c r="H194" s="6" t="n">
        <v>1558200</v>
      </c>
      <c r="I194" s="6" t="n">
        <v>495200</v>
      </c>
      <c r="J194" s="6" t="n">
        <v>9600200</v>
      </c>
      <c r="K194" s="6" t="n">
        <v>8041900</v>
      </c>
      <c r="L194" s="6" t="n">
        <v>16</v>
      </c>
      <c r="M194" s="6" t="n">
        <v>10</v>
      </c>
      <c r="N194" s="6" t="n">
        <v>8640.9</v>
      </c>
    </row>
    <row r="195" customFormat="false" ht="15" hidden="false" customHeight="false" outlineLevel="0" collapsed="false">
      <c r="A195" s="6" t="s">
        <v>25</v>
      </c>
      <c r="B195" s="6" t="s">
        <v>26</v>
      </c>
      <c r="C195" s="6" t="s">
        <v>52</v>
      </c>
      <c r="D195" s="6" t="s">
        <v>111</v>
      </c>
      <c r="E195" s="6" t="s">
        <v>58</v>
      </c>
      <c r="F195" s="6" t="s">
        <v>60</v>
      </c>
      <c r="G195" s="6" t="n">
        <v>43</v>
      </c>
      <c r="H195" s="6" t="n">
        <v>3291000</v>
      </c>
      <c r="I195" s="6" t="n">
        <v>1257400</v>
      </c>
      <c r="J195" s="6" t="n">
        <v>27716600</v>
      </c>
      <c r="K195" s="6" t="n">
        <v>24425800</v>
      </c>
      <c r="L195" s="6" t="n">
        <v>43</v>
      </c>
      <c r="M195" s="6" t="n">
        <v>28</v>
      </c>
      <c r="N195" s="6" t="n">
        <v>32473.6</v>
      </c>
    </row>
    <row r="196" customFormat="false" ht="15" hidden="false" customHeight="false" outlineLevel="0" collapsed="false">
      <c r="A196" s="6" t="s">
        <v>25</v>
      </c>
      <c r="B196" s="6" t="s">
        <v>26</v>
      </c>
      <c r="C196" s="6" t="s">
        <v>52</v>
      </c>
      <c r="D196" s="6" t="s">
        <v>111</v>
      </c>
      <c r="E196" s="6" t="s">
        <v>60</v>
      </c>
      <c r="F196" s="6" t="s">
        <v>58</v>
      </c>
      <c r="G196" s="6" t="n">
        <v>20</v>
      </c>
      <c r="H196" s="6" t="n">
        <v>2024800</v>
      </c>
      <c r="I196" s="6" t="n">
        <v>679300</v>
      </c>
      <c r="J196" s="6" t="n">
        <v>12525000</v>
      </c>
      <c r="K196" s="6" t="n">
        <v>10500000</v>
      </c>
      <c r="L196" s="6" t="n">
        <v>20</v>
      </c>
      <c r="M196" s="6" t="n">
        <v>15</v>
      </c>
      <c r="N196" s="6" t="n">
        <v>10710.1</v>
      </c>
    </row>
    <row r="197" customFormat="false" ht="15" hidden="false" customHeight="false" outlineLevel="0" collapsed="false">
      <c r="A197" s="6" t="s">
        <v>25</v>
      </c>
      <c r="B197" s="6" t="s">
        <v>26</v>
      </c>
      <c r="C197" s="6" t="s">
        <v>52</v>
      </c>
      <c r="D197" s="6" t="s">
        <v>111</v>
      </c>
      <c r="E197" s="6" t="s">
        <v>60</v>
      </c>
      <c r="F197" s="6" t="s">
        <v>60</v>
      </c>
      <c r="G197" s="6" t="n">
        <v>46</v>
      </c>
      <c r="H197" s="6" t="n">
        <v>3498900</v>
      </c>
      <c r="I197" s="6" t="n">
        <v>1645400</v>
      </c>
      <c r="J197" s="6" t="n">
        <v>32086400</v>
      </c>
      <c r="K197" s="6" t="n">
        <v>28587100</v>
      </c>
      <c r="L197" s="6" t="n">
        <v>46</v>
      </c>
      <c r="M197" s="6" t="n">
        <v>35</v>
      </c>
      <c r="N197" s="6" t="n">
        <v>39852.2</v>
      </c>
    </row>
    <row r="198" customFormat="false" ht="15" hidden="false" customHeight="false" outlineLevel="0" collapsed="false">
      <c r="A198" s="6" t="s">
        <v>25</v>
      </c>
      <c r="B198" s="6" t="s">
        <v>26</v>
      </c>
      <c r="C198" s="6" t="s">
        <v>52</v>
      </c>
      <c r="D198" s="6" t="s">
        <v>112</v>
      </c>
      <c r="E198" s="6" t="s">
        <v>58</v>
      </c>
      <c r="F198" s="6" t="s">
        <v>58</v>
      </c>
      <c r="G198" s="6" t="n">
        <v>24</v>
      </c>
      <c r="H198" s="6" t="n">
        <v>2353700</v>
      </c>
      <c r="I198" s="6" t="n">
        <v>723900</v>
      </c>
      <c r="J198" s="6" t="n">
        <v>13408700</v>
      </c>
      <c r="K198" s="6" t="n">
        <v>11055400</v>
      </c>
      <c r="L198" s="6" t="n">
        <v>24</v>
      </c>
      <c r="M198" s="6" t="n">
        <v>15</v>
      </c>
      <c r="N198" s="6" t="n">
        <v>12037.2</v>
      </c>
    </row>
    <row r="199" customFormat="false" ht="15" hidden="false" customHeight="false" outlineLevel="0" collapsed="false">
      <c r="A199" s="6" t="s">
        <v>25</v>
      </c>
      <c r="B199" s="6" t="s">
        <v>26</v>
      </c>
      <c r="C199" s="6" t="s">
        <v>52</v>
      </c>
      <c r="D199" s="6" t="s">
        <v>112</v>
      </c>
      <c r="E199" s="6" t="s">
        <v>58</v>
      </c>
      <c r="F199" s="6" t="s">
        <v>60</v>
      </c>
      <c r="G199" s="6" t="n">
        <v>33</v>
      </c>
      <c r="H199" s="6" t="n">
        <v>2345000</v>
      </c>
      <c r="I199" s="6" t="n">
        <v>1116700</v>
      </c>
      <c r="J199" s="6" t="n">
        <v>20448700</v>
      </c>
      <c r="K199" s="6" t="n">
        <v>18104100</v>
      </c>
      <c r="L199" s="6" t="n">
        <v>33</v>
      </c>
      <c r="M199" s="6" t="n">
        <v>22</v>
      </c>
      <c r="N199" s="6" t="n">
        <v>26271.4</v>
      </c>
    </row>
    <row r="200" customFormat="false" ht="15" hidden="false" customHeight="false" outlineLevel="0" collapsed="false">
      <c r="A200" s="6" t="s">
        <v>25</v>
      </c>
      <c r="B200" s="6" t="s">
        <v>26</v>
      </c>
      <c r="C200" s="6" t="s">
        <v>52</v>
      </c>
      <c r="D200" s="6" t="s">
        <v>112</v>
      </c>
      <c r="E200" s="6" t="s">
        <v>60</v>
      </c>
      <c r="F200" s="6" t="s">
        <v>58</v>
      </c>
      <c r="G200" s="6" t="n">
        <v>23</v>
      </c>
      <c r="H200" s="6" t="n">
        <v>2267300</v>
      </c>
      <c r="I200" s="6" t="n">
        <v>972800</v>
      </c>
      <c r="J200" s="6" t="n">
        <v>14021800</v>
      </c>
      <c r="K200" s="6" t="n">
        <v>11754900</v>
      </c>
      <c r="L200" s="6" t="n">
        <v>23</v>
      </c>
      <c r="M200" s="6" t="n">
        <v>15</v>
      </c>
      <c r="N200" s="6" t="n">
        <v>12399</v>
      </c>
    </row>
    <row r="201" customFormat="false" ht="15" hidden="false" customHeight="false" outlineLevel="0" collapsed="false">
      <c r="A201" s="6" t="s">
        <v>25</v>
      </c>
      <c r="B201" s="6" t="s">
        <v>26</v>
      </c>
      <c r="C201" s="6" t="s">
        <v>52</v>
      </c>
      <c r="D201" s="6" t="s">
        <v>112</v>
      </c>
      <c r="E201" s="6" t="s">
        <v>60</v>
      </c>
      <c r="F201" s="6" t="s">
        <v>60</v>
      </c>
      <c r="G201" s="6" t="n">
        <v>46</v>
      </c>
      <c r="H201" s="6" t="n">
        <v>3487200</v>
      </c>
      <c r="I201" s="6" t="n">
        <v>1573000</v>
      </c>
      <c r="J201" s="6" t="n">
        <v>34651800</v>
      </c>
      <c r="K201" s="6" t="n">
        <v>31164700</v>
      </c>
      <c r="L201" s="6" t="n">
        <v>46</v>
      </c>
      <c r="M201" s="6" t="n">
        <v>36</v>
      </c>
      <c r="N201" s="6" t="n">
        <v>43212</v>
      </c>
    </row>
    <row r="202" customFormat="false" ht="15" hidden="false" customHeight="false" outlineLevel="0" collapsed="false">
      <c r="A202" s="6" t="s">
        <v>25</v>
      </c>
      <c r="B202" s="6" t="s">
        <v>26</v>
      </c>
      <c r="C202" s="6" t="s">
        <v>52</v>
      </c>
      <c r="D202" s="6" t="s">
        <v>113</v>
      </c>
      <c r="E202" s="6" t="s">
        <v>58</v>
      </c>
      <c r="F202" s="6" t="s">
        <v>58</v>
      </c>
      <c r="G202" s="6" t="n">
        <v>26</v>
      </c>
      <c r="H202" s="6" t="n">
        <v>2483700</v>
      </c>
      <c r="I202" s="6" t="n">
        <v>1084400</v>
      </c>
      <c r="J202" s="6" t="n">
        <v>13573300</v>
      </c>
      <c r="K202" s="6" t="n">
        <v>11089800</v>
      </c>
      <c r="L202" s="6" t="n">
        <v>26</v>
      </c>
      <c r="M202" s="6" t="n">
        <v>11</v>
      </c>
      <c r="N202" s="6" t="n">
        <v>12424.9</v>
      </c>
    </row>
    <row r="203" customFormat="false" ht="15" hidden="false" customHeight="false" outlineLevel="0" collapsed="false">
      <c r="A203" s="6" t="s">
        <v>25</v>
      </c>
      <c r="B203" s="6" t="s">
        <v>26</v>
      </c>
      <c r="C203" s="6" t="s">
        <v>52</v>
      </c>
      <c r="D203" s="6" t="s">
        <v>113</v>
      </c>
      <c r="E203" s="6" t="s">
        <v>58</v>
      </c>
      <c r="F203" s="6" t="s">
        <v>60</v>
      </c>
      <c r="G203" s="6" t="n">
        <v>68</v>
      </c>
      <c r="H203" s="6" t="n">
        <v>5019800</v>
      </c>
      <c r="I203" s="6" t="n">
        <v>2051100</v>
      </c>
      <c r="J203" s="6" t="n">
        <v>45766900</v>
      </c>
      <c r="K203" s="6" t="n">
        <v>40746800</v>
      </c>
      <c r="L203" s="6" t="n">
        <v>68</v>
      </c>
      <c r="M203" s="6" t="n">
        <v>47</v>
      </c>
      <c r="N203" s="6" t="n">
        <v>56889.1</v>
      </c>
    </row>
    <row r="204" customFormat="false" ht="15" hidden="false" customHeight="false" outlineLevel="0" collapsed="false">
      <c r="A204" s="6" t="s">
        <v>25</v>
      </c>
      <c r="B204" s="6" t="s">
        <v>26</v>
      </c>
      <c r="C204" s="6" t="s">
        <v>52</v>
      </c>
      <c r="D204" s="6" t="s">
        <v>113</v>
      </c>
      <c r="E204" s="6" t="s">
        <v>60</v>
      </c>
      <c r="F204" s="6" t="s">
        <v>58</v>
      </c>
      <c r="G204" s="6" t="n">
        <v>26</v>
      </c>
      <c r="H204" s="6" t="n">
        <v>2796500</v>
      </c>
      <c r="I204" s="6" t="n">
        <v>1409500</v>
      </c>
      <c r="J204" s="6" t="n">
        <v>14180900</v>
      </c>
      <c r="K204" s="6" t="n">
        <v>11384300</v>
      </c>
      <c r="L204" s="6" t="n">
        <v>26</v>
      </c>
      <c r="M204" s="6" t="n">
        <v>15</v>
      </c>
      <c r="N204" s="6" t="n">
        <v>10877.9</v>
      </c>
    </row>
    <row r="205" customFormat="false" ht="15" hidden="false" customHeight="false" outlineLevel="0" collapsed="false">
      <c r="A205" s="6" t="s">
        <v>25</v>
      </c>
      <c r="B205" s="6" t="s">
        <v>26</v>
      </c>
      <c r="C205" s="6" t="s">
        <v>52</v>
      </c>
      <c r="D205" s="6" t="s">
        <v>113</v>
      </c>
      <c r="E205" s="6" t="s">
        <v>60</v>
      </c>
      <c r="F205" s="6" t="s">
        <v>60</v>
      </c>
      <c r="G205" s="6" t="n">
        <v>78</v>
      </c>
      <c r="H205" s="6" t="n">
        <v>5816400</v>
      </c>
      <c r="I205" s="6" t="n">
        <v>2850600</v>
      </c>
      <c r="J205" s="6" t="n">
        <v>54225300</v>
      </c>
      <c r="K205" s="6" t="n">
        <v>48409200</v>
      </c>
      <c r="L205" s="6" t="n">
        <v>78</v>
      </c>
      <c r="M205" s="6" t="n">
        <v>55</v>
      </c>
      <c r="N205" s="6" t="n">
        <v>68448</v>
      </c>
    </row>
    <row r="206" customFormat="false" ht="15" hidden="false" customHeight="false" outlineLevel="0" collapsed="false">
      <c r="A206" s="6" t="s">
        <v>25</v>
      </c>
      <c r="B206" s="6" t="s">
        <v>26</v>
      </c>
      <c r="C206" s="6" t="s">
        <v>52</v>
      </c>
      <c r="D206" s="6" t="s">
        <v>114</v>
      </c>
      <c r="E206" s="6" t="s">
        <v>58</v>
      </c>
      <c r="F206" s="6" t="s">
        <v>58</v>
      </c>
      <c r="G206" s="6" t="n">
        <v>12</v>
      </c>
      <c r="H206" s="6" t="n">
        <v>1223200</v>
      </c>
      <c r="I206" s="6" t="n">
        <v>597100</v>
      </c>
      <c r="J206" s="6" t="n">
        <v>5955500</v>
      </c>
      <c r="K206" s="6" t="n">
        <v>4732400</v>
      </c>
      <c r="L206" s="6" t="n">
        <v>12</v>
      </c>
      <c r="M206" s="6" t="n">
        <v>4</v>
      </c>
      <c r="N206" s="6" t="n">
        <v>4998.3</v>
      </c>
    </row>
    <row r="207" customFormat="false" ht="15" hidden="false" customHeight="false" outlineLevel="0" collapsed="false">
      <c r="A207" s="6" t="s">
        <v>25</v>
      </c>
      <c r="B207" s="6" t="s">
        <v>26</v>
      </c>
      <c r="C207" s="6" t="s">
        <v>52</v>
      </c>
      <c r="D207" s="6" t="s">
        <v>114</v>
      </c>
      <c r="E207" s="6" t="s">
        <v>58</v>
      </c>
      <c r="F207" s="6" t="s">
        <v>60</v>
      </c>
      <c r="G207" s="6" t="n">
        <v>35</v>
      </c>
      <c r="H207" s="6" t="n">
        <v>2589400</v>
      </c>
      <c r="I207" s="6" t="n">
        <v>806000</v>
      </c>
      <c r="J207" s="6" t="n">
        <v>19540500</v>
      </c>
      <c r="K207" s="6" t="n">
        <v>16950900</v>
      </c>
      <c r="L207" s="6" t="n">
        <v>35</v>
      </c>
      <c r="M207" s="6" t="n">
        <v>21</v>
      </c>
      <c r="N207" s="6" t="n">
        <v>23911.2</v>
      </c>
    </row>
    <row r="208" customFormat="false" ht="15" hidden="false" customHeight="false" outlineLevel="0" collapsed="false">
      <c r="A208" s="6" t="s">
        <v>25</v>
      </c>
      <c r="B208" s="6" t="s">
        <v>26</v>
      </c>
      <c r="C208" s="6" t="s">
        <v>52</v>
      </c>
      <c r="D208" s="6" t="s">
        <v>114</v>
      </c>
      <c r="E208" s="6" t="s">
        <v>60</v>
      </c>
      <c r="F208" s="6" t="s">
        <v>58</v>
      </c>
      <c r="G208" s="6" t="n">
        <v>26</v>
      </c>
      <c r="H208" s="6" t="n">
        <v>2787700</v>
      </c>
      <c r="I208" s="6" t="n">
        <v>1317500</v>
      </c>
      <c r="J208" s="6" t="n">
        <v>16637400</v>
      </c>
      <c r="K208" s="6" t="n">
        <v>13849300</v>
      </c>
      <c r="L208" s="6" t="n">
        <v>26</v>
      </c>
      <c r="M208" s="6" t="n">
        <v>18</v>
      </c>
      <c r="N208" s="6" t="n">
        <v>13385.6</v>
      </c>
    </row>
    <row r="209" customFormat="false" ht="15" hidden="false" customHeight="false" outlineLevel="0" collapsed="false">
      <c r="A209" s="6" t="s">
        <v>25</v>
      </c>
      <c r="B209" s="6" t="s">
        <v>26</v>
      </c>
      <c r="C209" s="6" t="s">
        <v>52</v>
      </c>
      <c r="D209" s="6" t="s">
        <v>114</v>
      </c>
      <c r="E209" s="6" t="s">
        <v>60</v>
      </c>
      <c r="F209" s="6" t="s">
        <v>60</v>
      </c>
      <c r="G209" s="6" t="n">
        <v>50</v>
      </c>
      <c r="H209" s="6" t="n">
        <v>3708200</v>
      </c>
      <c r="I209" s="6" t="n">
        <v>1825600</v>
      </c>
      <c r="J209" s="6" t="n">
        <v>34209700</v>
      </c>
      <c r="K209" s="6" t="n">
        <v>30501500</v>
      </c>
      <c r="L209" s="6" t="n">
        <v>50</v>
      </c>
      <c r="M209" s="6" t="n">
        <v>39</v>
      </c>
      <c r="N209" s="6" t="n">
        <v>42236</v>
      </c>
    </row>
    <row r="210" customFormat="false" ht="15" hidden="false" customHeight="false" outlineLevel="0" collapsed="false">
      <c r="A210" s="6" t="s">
        <v>25</v>
      </c>
      <c r="B210" s="6" t="s">
        <v>26</v>
      </c>
      <c r="C210" s="6" t="s">
        <v>53</v>
      </c>
      <c r="D210" s="6" t="s">
        <v>111</v>
      </c>
      <c r="E210" s="6" t="s">
        <v>58</v>
      </c>
      <c r="F210" s="6" t="s">
        <v>58</v>
      </c>
      <c r="G210" s="6" t="n">
        <v>19</v>
      </c>
      <c r="H210" s="6" t="n">
        <v>1606900</v>
      </c>
      <c r="I210" s="6" t="n">
        <v>641600</v>
      </c>
      <c r="J210" s="6" t="n">
        <v>9212600</v>
      </c>
      <c r="K210" s="6" t="n">
        <v>7605300</v>
      </c>
      <c r="L210" s="6" t="n">
        <v>19</v>
      </c>
      <c r="M210" s="6" t="n">
        <v>6</v>
      </c>
      <c r="N210" s="6" t="n">
        <v>9003.3</v>
      </c>
    </row>
    <row r="211" customFormat="false" ht="15" hidden="false" customHeight="false" outlineLevel="0" collapsed="false">
      <c r="A211" s="6" t="s">
        <v>25</v>
      </c>
      <c r="B211" s="6" t="s">
        <v>26</v>
      </c>
      <c r="C211" s="6" t="s">
        <v>53</v>
      </c>
      <c r="D211" s="6" t="s">
        <v>111</v>
      </c>
      <c r="E211" s="6" t="s">
        <v>58</v>
      </c>
      <c r="F211" s="6" t="s">
        <v>60</v>
      </c>
      <c r="G211" s="6" t="n">
        <v>39</v>
      </c>
      <c r="H211" s="6" t="n">
        <v>2207000</v>
      </c>
      <c r="I211" s="6" t="n">
        <v>1153200</v>
      </c>
      <c r="J211" s="6" t="n">
        <v>18943100</v>
      </c>
      <c r="K211" s="6" t="n">
        <v>16736100</v>
      </c>
      <c r="L211" s="6" t="n">
        <v>39</v>
      </c>
      <c r="M211" s="6" t="n">
        <v>20</v>
      </c>
      <c r="N211" s="6" t="n">
        <v>31328.6</v>
      </c>
    </row>
    <row r="212" customFormat="false" ht="15" hidden="false" customHeight="false" outlineLevel="0" collapsed="false">
      <c r="A212" s="6" t="s">
        <v>25</v>
      </c>
      <c r="B212" s="6" t="s">
        <v>26</v>
      </c>
      <c r="C212" s="6" t="s">
        <v>53</v>
      </c>
      <c r="D212" s="6" t="s">
        <v>111</v>
      </c>
      <c r="E212" s="6" t="s">
        <v>60</v>
      </c>
      <c r="F212" s="6" t="s">
        <v>58</v>
      </c>
      <c r="G212" s="6" t="n">
        <v>19</v>
      </c>
      <c r="H212" s="6" t="n">
        <v>1530300</v>
      </c>
      <c r="I212" s="6" t="n">
        <v>757200</v>
      </c>
      <c r="J212" s="6" t="n">
        <v>8517800</v>
      </c>
      <c r="K212" s="6" t="n">
        <v>6987300</v>
      </c>
      <c r="L212" s="6" t="n">
        <v>19</v>
      </c>
      <c r="M212" s="6" t="n">
        <v>7</v>
      </c>
      <c r="N212" s="6" t="n">
        <v>8885.3</v>
      </c>
    </row>
    <row r="213" customFormat="false" ht="15" hidden="false" customHeight="false" outlineLevel="0" collapsed="false">
      <c r="A213" s="6" t="s">
        <v>25</v>
      </c>
      <c r="B213" s="6" t="s">
        <v>26</v>
      </c>
      <c r="C213" s="6" t="s">
        <v>53</v>
      </c>
      <c r="D213" s="6" t="s">
        <v>111</v>
      </c>
      <c r="E213" s="6" t="s">
        <v>60</v>
      </c>
      <c r="F213" s="6" t="s">
        <v>60</v>
      </c>
      <c r="G213" s="6" t="n">
        <v>49</v>
      </c>
      <c r="H213" s="6" t="n">
        <v>2952300</v>
      </c>
      <c r="I213" s="6" t="n">
        <v>1157600</v>
      </c>
      <c r="J213" s="6" t="n">
        <v>28590000</v>
      </c>
      <c r="K213" s="6" t="n">
        <v>25637800</v>
      </c>
      <c r="L213" s="6" t="n">
        <v>49</v>
      </c>
      <c r="M213" s="6" t="n">
        <v>31</v>
      </c>
      <c r="N213" s="6" t="n">
        <v>43816.9</v>
      </c>
    </row>
    <row r="214" customFormat="false" ht="15" hidden="false" customHeight="false" outlineLevel="0" collapsed="false">
      <c r="A214" s="6" t="s">
        <v>25</v>
      </c>
      <c r="B214" s="6" t="s">
        <v>26</v>
      </c>
      <c r="C214" s="6" t="s">
        <v>53</v>
      </c>
      <c r="D214" s="6" t="s">
        <v>112</v>
      </c>
      <c r="E214" s="6" t="s">
        <v>58</v>
      </c>
      <c r="F214" s="6" t="s">
        <v>58</v>
      </c>
      <c r="G214" s="6" t="n">
        <v>16</v>
      </c>
      <c r="H214" s="6" t="n">
        <v>1318300</v>
      </c>
      <c r="I214" s="6" t="n">
        <v>662300</v>
      </c>
      <c r="J214" s="6" t="n">
        <v>8977400</v>
      </c>
      <c r="K214" s="6" t="n">
        <v>7659000</v>
      </c>
      <c r="L214" s="6" t="n">
        <v>16</v>
      </c>
      <c r="M214" s="6" t="n">
        <v>9</v>
      </c>
      <c r="N214" s="6" t="n">
        <v>9495.4</v>
      </c>
    </row>
    <row r="215" customFormat="false" ht="15" hidden="false" customHeight="false" outlineLevel="0" collapsed="false">
      <c r="A215" s="6" t="s">
        <v>25</v>
      </c>
      <c r="B215" s="6" t="s">
        <v>26</v>
      </c>
      <c r="C215" s="6" t="s">
        <v>53</v>
      </c>
      <c r="D215" s="6" t="s">
        <v>112</v>
      </c>
      <c r="E215" s="6" t="s">
        <v>58</v>
      </c>
      <c r="F215" s="6" t="s">
        <v>60</v>
      </c>
      <c r="G215" s="6" t="n">
        <v>53</v>
      </c>
      <c r="H215" s="6" t="n">
        <v>2977700</v>
      </c>
      <c r="I215" s="6" t="n">
        <v>1404300</v>
      </c>
      <c r="J215" s="6" t="n">
        <v>28528600</v>
      </c>
      <c r="K215" s="6" t="n">
        <v>25551000</v>
      </c>
      <c r="L215" s="6" t="n">
        <v>53</v>
      </c>
      <c r="M215" s="6" t="n">
        <v>27</v>
      </c>
      <c r="N215" s="6" t="n">
        <v>46512</v>
      </c>
    </row>
    <row r="216" customFormat="false" ht="15" hidden="false" customHeight="false" outlineLevel="0" collapsed="false">
      <c r="A216" s="6" t="s">
        <v>25</v>
      </c>
      <c r="B216" s="6" t="s">
        <v>26</v>
      </c>
      <c r="C216" s="6" t="s">
        <v>53</v>
      </c>
      <c r="D216" s="6" t="s">
        <v>112</v>
      </c>
      <c r="E216" s="6" t="s">
        <v>60</v>
      </c>
      <c r="F216" s="6" t="s">
        <v>58</v>
      </c>
      <c r="G216" s="6" t="n">
        <v>21</v>
      </c>
      <c r="H216" s="6" t="n">
        <v>1628900</v>
      </c>
      <c r="I216" s="6" t="n">
        <v>920100</v>
      </c>
      <c r="J216" s="6" t="n">
        <v>10823700</v>
      </c>
      <c r="K216" s="6" t="n">
        <v>9195100</v>
      </c>
      <c r="L216" s="6" t="n">
        <v>21</v>
      </c>
      <c r="M216" s="6" t="n">
        <v>11</v>
      </c>
      <c r="N216" s="6" t="n">
        <v>12334.1</v>
      </c>
    </row>
    <row r="217" customFormat="false" ht="15" hidden="false" customHeight="false" outlineLevel="0" collapsed="false">
      <c r="A217" s="6" t="s">
        <v>25</v>
      </c>
      <c r="B217" s="6" t="s">
        <v>26</v>
      </c>
      <c r="C217" s="6" t="s">
        <v>53</v>
      </c>
      <c r="D217" s="6" t="s">
        <v>112</v>
      </c>
      <c r="E217" s="6" t="s">
        <v>60</v>
      </c>
      <c r="F217" s="6" t="s">
        <v>60</v>
      </c>
      <c r="G217" s="6" t="n">
        <v>37</v>
      </c>
      <c r="H217" s="6" t="n">
        <v>2176700</v>
      </c>
      <c r="I217" s="6" t="n">
        <v>997900</v>
      </c>
      <c r="J217" s="6" t="n">
        <v>21817000</v>
      </c>
      <c r="K217" s="6" t="n">
        <v>19640200</v>
      </c>
      <c r="L217" s="6" t="n">
        <v>37</v>
      </c>
      <c r="M217" s="6" t="n">
        <v>24</v>
      </c>
      <c r="N217" s="6" t="n">
        <v>34286.5</v>
      </c>
    </row>
    <row r="218" customFormat="false" ht="15" hidden="false" customHeight="false" outlineLevel="0" collapsed="false">
      <c r="A218" s="6" t="s">
        <v>25</v>
      </c>
      <c r="B218" s="6" t="s">
        <v>26</v>
      </c>
      <c r="C218" s="6" t="s">
        <v>53</v>
      </c>
      <c r="D218" s="6" t="s">
        <v>113</v>
      </c>
      <c r="E218" s="6" t="s">
        <v>58</v>
      </c>
      <c r="F218" s="6" t="s">
        <v>58</v>
      </c>
      <c r="G218" s="6" t="n">
        <v>29</v>
      </c>
      <c r="H218" s="6" t="n">
        <v>2238700</v>
      </c>
      <c r="I218" s="6" t="n">
        <v>1056800</v>
      </c>
      <c r="J218" s="6" t="n">
        <v>12854300</v>
      </c>
      <c r="K218" s="6" t="n">
        <v>10615600</v>
      </c>
      <c r="L218" s="6" t="n">
        <v>29</v>
      </c>
      <c r="M218" s="6" t="n">
        <v>8</v>
      </c>
      <c r="N218" s="6" t="n">
        <v>14391.9</v>
      </c>
    </row>
    <row r="219" customFormat="false" ht="15" hidden="false" customHeight="false" outlineLevel="0" collapsed="false">
      <c r="A219" s="6" t="s">
        <v>25</v>
      </c>
      <c r="B219" s="6" t="s">
        <v>26</v>
      </c>
      <c r="C219" s="6" t="s">
        <v>53</v>
      </c>
      <c r="D219" s="6" t="s">
        <v>113</v>
      </c>
      <c r="E219" s="6" t="s">
        <v>58</v>
      </c>
      <c r="F219" s="6" t="s">
        <v>60</v>
      </c>
      <c r="G219" s="6" t="n">
        <v>54</v>
      </c>
      <c r="H219" s="6" t="n">
        <v>3038300</v>
      </c>
      <c r="I219" s="6" t="n">
        <v>1196300</v>
      </c>
      <c r="J219" s="6" t="n">
        <v>27078900</v>
      </c>
      <c r="K219" s="6" t="n">
        <v>24040400</v>
      </c>
      <c r="L219" s="6" t="n">
        <v>54</v>
      </c>
      <c r="M219" s="6" t="n">
        <v>25</v>
      </c>
      <c r="N219" s="6" t="n">
        <v>44178.7</v>
      </c>
    </row>
    <row r="220" customFormat="false" ht="15" hidden="false" customHeight="false" outlineLevel="0" collapsed="false">
      <c r="A220" s="6" t="s">
        <v>25</v>
      </c>
      <c r="B220" s="6" t="s">
        <v>26</v>
      </c>
      <c r="C220" s="6" t="s">
        <v>53</v>
      </c>
      <c r="D220" s="6" t="s">
        <v>113</v>
      </c>
      <c r="E220" s="6" t="s">
        <v>60</v>
      </c>
      <c r="F220" s="6" t="s">
        <v>58</v>
      </c>
      <c r="G220" s="6" t="n">
        <v>27</v>
      </c>
      <c r="H220" s="6" t="n">
        <v>2001900</v>
      </c>
      <c r="I220" s="6" t="n">
        <v>1360800</v>
      </c>
      <c r="J220" s="6" t="n">
        <v>13788200</v>
      </c>
      <c r="K220" s="6" t="n">
        <v>11785700</v>
      </c>
      <c r="L220" s="6" t="n">
        <v>27</v>
      </c>
      <c r="M220" s="6" t="n">
        <v>15</v>
      </c>
      <c r="N220" s="6" t="n">
        <v>16692.4</v>
      </c>
    </row>
    <row r="221" customFormat="false" ht="15" hidden="false" customHeight="false" outlineLevel="0" collapsed="false">
      <c r="A221" s="6" t="s">
        <v>25</v>
      </c>
      <c r="B221" s="6" t="s">
        <v>26</v>
      </c>
      <c r="C221" s="6" t="s">
        <v>53</v>
      </c>
      <c r="D221" s="6" t="s">
        <v>113</v>
      </c>
      <c r="E221" s="6" t="s">
        <v>60</v>
      </c>
      <c r="F221" s="6" t="s">
        <v>60</v>
      </c>
      <c r="G221" s="6" t="n">
        <v>45</v>
      </c>
      <c r="H221" s="6" t="n">
        <v>2540400</v>
      </c>
      <c r="I221" s="6" t="n">
        <v>968500</v>
      </c>
      <c r="J221" s="6" t="n">
        <v>25536900</v>
      </c>
      <c r="K221" s="6" t="n">
        <v>22996200</v>
      </c>
      <c r="L221" s="6" t="n">
        <v>45</v>
      </c>
      <c r="M221" s="6" t="n">
        <v>25</v>
      </c>
      <c r="N221" s="6" t="n">
        <v>41744</v>
      </c>
    </row>
    <row r="222" customFormat="false" ht="15" hidden="false" customHeight="false" outlineLevel="0" collapsed="false">
      <c r="A222" s="6" t="s">
        <v>25</v>
      </c>
      <c r="B222" s="6" t="s">
        <v>26</v>
      </c>
      <c r="C222" s="6" t="s">
        <v>53</v>
      </c>
      <c r="D222" s="6" t="s">
        <v>114</v>
      </c>
      <c r="E222" s="6" t="s">
        <v>58</v>
      </c>
      <c r="F222" s="6" t="s">
        <v>58</v>
      </c>
      <c r="G222" s="6" t="n">
        <v>17</v>
      </c>
      <c r="H222" s="6" t="n">
        <v>1274100</v>
      </c>
      <c r="I222" s="6" t="n">
        <v>553700</v>
      </c>
      <c r="J222" s="6" t="n">
        <v>8677400</v>
      </c>
      <c r="K222" s="6" t="n">
        <v>7403000</v>
      </c>
      <c r="L222" s="6" t="n">
        <v>17</v>
      </c>
      <c r="M222" s="6" t="n">
        <v>7</v>
      </c>
      <c r="N222" s="6" t="n">
        <v>10256.2</v>
      </c>
    </row>
    <row r="223" customFormat="false" ht="15" hidden="false" customHeight="false" outlineLevel="0" collapsed="false">
      <c r="A223" s="6" t="s">
        <v>25</v>
      </c>
      <c r="B223" s="6" t="s">
        <v>26</v>
      </c>
      <c r="C223" s="6" t="s">
        <v>53</v>
      </c>
      <c r="D223" s="6" t="s">
        <v>114</v>
      </c>
      <c r="E223" s="6" t="s">
        <v>58</v>
      </c>
      <c r="F223" s="6" t="s">
        <v>60</v>
      </c>
      <c r="G223" s="6" t="n">
        <v>37</v>
      </c>
      <c r="H223" s="6" t="n">
        <v>2059900</v>
      </c>
      <c r="I223" s="6" t="n">
        <v>892400</v>
      </c>
      <c r="J223" s="6" t="n">
        <v>19053900</v>
      </c>
      <c r="K223" s="6" t="n">
        <v>16994400</v>
      </c>
      <c r="L223" s="6" t="n">
        <v>37</v>
      </c>
      <c r="M223" s="6" t="n">
        <v>21</v>
      </c>
      <c r="N223" s="6" t="n">
        <v>31500.5</v>
      </c>
    </row>
    <row r="224" customFormat="false" ht="15" hidden="false" customHeight="false" outlineLevel="0" collapsed="false">
      <c r="A224" s="6" t="s">
        <v>25</v>
      </c>
      <c r="B224" s="6" t="s">
        <v>26</v>
      </c>
      <c r="C224" s="6" t="s">
        <v>53</v>
      </c>
      <c r="D224" s="6" t="s">
        <v>114</v>
      </c>
      <c r="E224" s="6" t="s">
        <v>60</v>
      </c>
      <c r="F224" s="6" t="s">
        <v>58</v>
      </c>
      <c r="G224" s="6" t="n">
        <v>14</v>
      </c>
      <c r="H224" s="6" t="n">
        <v>1145700</v>
      </c>
      <c r="I224" s="6" t="n">
        <v>351700</v>
      </c>
      <c r="J224" s="6" t="n">
        <v>7287700</v>
      </c>
      <c r="K224" s="6" t="n">
        <v>6142200</v>
      </c>
      <c r="L224" s="6" t="n">
        <v>14</v>
      </c>
      <c r="M224" s="6" t="n">
        <v>3</v>
      </c>
      <c r="N224" s="6" t="n">
        <v>7966.2</v>
      </c>
    </row>
    <row r="225" customFormat="false" ht="15" hidden="false" customHeight="false" outlineLevel="0" collapsed="false">
      <c r="A225" s="6" t="s">
        <v>25</v>
      </c>
      <c r="B225" s="6" t="s">
        <v>26</v>
      </c>
      <c r="C225" s="6" t="s">
        <v>53</v>
      </c>
      <c r="D225" s="6" t="s">
        <v>114</v>
      </c>
      <c r="E225" s="6" t="s">
        <v>60</v>
      </c>
      <c r="F225" s="6" t="s">
        <v>60</v>
      </c>
      <c r="G225" s="6" t="n">
        <v>42</v>
      </c>
      <c r="H225" s="6" t="n">
        <v>2399200</v>
      </c>
      <c r="I225" s="6" t="n">
        <v>1032900</v>
      </c>
      <c r="J225" s="6" t="n">
        <v>25291200</v>
      </c>
      <c r="K225" s="6" t="n">
        <v>22892100</v>
      </c>
      <c r="L225" s="6" t="n">
        <v>42</v>
      </c>
      <c r="M225" s="6" t="n">
        <v>29</v>
      </c>
      <c r="N225" s="6" t="n">
        <v>41711.1</v>
      </c>
    </row>
    <row r="226" customFormat="false" ht="15" hidden="false" customHeight="false" outlineLevel="0" collapsed="false">
      <c r="A226" s="6" t="s">
        <v>25</v>
      </c>
      <c r="B226" s="6" t="s">
        <v>26</v>
      </c>
      <c r="C226" s="6" t="s">
        <v>51</v>
      </c>
      <c r="D226" s="6" t="s">
        <v>111</v>
      </c>
      <c r="E226" s="6" t="s">
        <v>58</v>
      </c>
      <c r="F226" s="6" t="s">
        <v>58</v>
      </c>
      <c r="G226" s="6" t="n">
        <v>11</v>
      </c>
      <c r="H226" s="6" t="n">
        <v>1230900</v>
      </c>
      <c r="I226" s="6" t="n">
        <v>656500</v>
      </c>
      <c r="J226" s="6" t="n">
        <v>7201200</v>
      </c>
      <c r="K226" s="6" t="n">
        <v>5970300</v>
      </c>
      <c r="L226" s="6" t="n">
        <v>11</v>
      </c>
      <c r="M226" s="6" t="n">
        <v>6</v>
      </c>
      <c r="N226" s="6" t="n">
        <v>5553.9</v>
      </c>
    </row>
    <row r="227" customFormat="false" ht="15" hidden="false" customHeight="false" outlineLevel="0" collapsed="false">
      <c r="A227" s="6" t="s">
        <v>25</v>
      </c>
      <c r="B227" s="6" t="s">
        <v>26</v>
      </c>
      <c r="C227" s="6" t="s">
        <v>51</v>
      </c>
      <c r="D227" s="6" t="s">
        <v>111</v>
      </c>
      <c r="E227" s="6" t="s">
        <v>58</v>
      </c>
      <c r="F227" s="6" t="s">
        <v>60</v>
      </c>
      <c r="G227" s="6" t="n">
        <v>27</v>
      </c>
      <c r="H227" s="6" t="n">
        <v>2279000</v>
      </c>
      <c r="I227" s="6" t="n">
        <v>993400</v>
      </c>
      <c r="J227" s="6" t="n">
        <v>18069600</v>
      </c>
      <c r="K227" s="6" t="n">
        <v>15790700</v>
      </c>
      <c r="L227" s="6" t="n">
        <v>27</v>
      </c>
      <c r="M227" s="6" t="n">
        <v>20</v>
      </c>
      <c r="N227" s="6" t="n">
        <v>19619.5</v>
      </c>
    </row>
    <row r="228" customFormat="false" ht="15" hidden="false" customHeight="false" outlineLevel="0" collapsed="false">
      <c r="A228" s="6" t="s">
        <v>25</v>
      </c>
      <c r="B228" s="6" t="s">
        <v>26</v>
      </c>
      <c r="C228" s="6" t="s">
        <v>51</v>
      </c>
      <c r="D228" s="6" t="s">
        <v>111</v>
      </c>
      <c r="E228" s="6" t="s">
        <v>60</v>
      </c>
      <c r="F228" s="6" t="s">
        <v>58</v>
      </c>
      <c r="G228" s="6" t="n">
        <v>14</v>
      </c>
      <c r="H228" s="6" t="n">
        <v>1632300</v>
      </c>
      <c r="I228" s="6" t="n">
        <v>808600</v>
      </c>
      <c r="J228" s="6" t="n">
        <v>8992800</v>
      </c>
      <c r="K228" s="6" t="n">
        <v>7360400</v>
      </c>
      <c r="L228" s="6" t="n">
        <v>14</v>
      </c>
      <c r="M228" s="6" t="n">
        <v>7</v>
      </c>
      <c r="N228" s="6" t="n">
        <v>6560.4</v>
      </c>
    </row>
    <row r="229" customFormat="false" ht="15" hidden="false" customHeight="false" outlineLevel="0" collapsed="false">
      <c r="A229" s="6" t="s">
        <v>25</v>
      </c>
      <c r="B229" s="6" t="s">
        <v>26</v>
      </c>
      <c r="C229" s="6" t="s">
        <v>51</v>
      </c>
      <c r="D229" s="6" t="s">
        <v>111</v>
      </c>
      <c r="E229" s="6" t="s">
        <v>60</v>
      </c>
      <c r="F229" s="6" t="s">
        <v>60</v>
      </c>
      <c r="G229" s="6" t="n">
        <v>24</v>
      </c>
      <c r="H229" s="6" t="n">
        <v>1918800</v>
      </c>
      <c r="I229" s="6" t="n">
        <v>835800</v>
      </c>
      <c r="J229" s="6" t="n">
        <v>19387000</v>
      </c>
      <c r="K229" s="6" t="n">
        <v>17468400</v>
      </c>
      <c r="L229" s="6" t="n">
        <v>24</v>
      </c>
      <c r="M229" s="6" t="n">
        <v>20</v>
      </c>
      <c r="N229" s="6" t="n">
        <v>23527.2</v>
      </c>
    </row>
    <row r="230" customFormat="false" ht="15" hidden="false" customHeight="false" outlineLevel="0" collapsed="false">
      <c r="A230" s="6" t="s">
        <v>25</v>
      </c>
      <c r="B230" s="6" t="s">
        <v>26</v>
      </c>
      <c r="C230" s="6" t="s">
        <v>51</v>
      </c>
      <c r="D230" s="6" t="s">
        <v>112</v>
      </c>
      <c r="E230" s="6" t="s">
        <v>58</v>
      </c>
      <c r="F230" s="6" t="s">
        <v>58</v>
      </c>
      <c r="G230" s="6" t="n">
        <v>13</v>
      </c>
      <c r="H230" s="6" t="n">
        <v>1553300</v>
      </c>
      <c r="I230" s="6" t="n">
        <v>435500</v>
      </c>
      <c r="J230" s="6" t="n">
        <v>9497000</v>
      </c>
      <c r="K230" s="6" t="n">
        <v>7943500</v>
      </c>
      <c r="L230" s="6" t="n">
        <v>13</v>
      </c>
      <c r="M230" s="6" t="n">
        <v>6</v>
      </c>
      <c r="N230" s="6" t="n">
        <v>7082.2</v>
      </c>
    </row>
    <row r="231" customFormat="false" ht="15" hidden="false" customHeight="false" outlineLevel="0" collapsed="false">
      <c r="A231" s="6" t="s">
        <v>25</v>
      </c>
      <c r="B231" s="6" t="s">
        <v>26</v>
      </c>
      <c r="C231" s="6" t="s">
        <v>51</v>
      </c>
      <c r="D231" s="6" t="s">
        <v>112</v>
      </c>
      <c r="E231" s="6" t="s">
        <v>58</v>
      </c>
      <c r="F231" s="6" t="s">
        <v>60</v>
      </c>
      <c r="G231" s="6" t="n">
        <v>36</v>
      </c>
      <c r="H231" s="6" t="n">
        <v>2919100</v>
      </c>
      <c r="I231" s="6" t="n">
        <v>1263300</v>
      </c>
      <c r="J231" s="6" t="n">
        <v>24177400</v>
      </c>
      <c r="K231" s="6" t="n">
        <v>21258700</v>
      </c>
      <c r="L231" s="6" t="n">
        <v>36</v>
      </c>
      <c r="M231" s="6" t="n">
        <v>23</v>
      </c>
      <c r="N231" s="6" t="n">
        <v>27732.2</v>
      </c>
    </row>
    <row r="232" customFormat="false" ht="15" hidden="false" customHeight="false" outlineLevel="0" collapsed="false">
      <c r="A232" s="6" t="s">
        <v>25</v>
      </c>
      <c r="B232" s="6" t="s">
        <v>26</v>
      </c>
      <c r="C232" s="6" t="s">
        <v>51</v>
      </c>
      <c r="D232" s="6" t="s">
        <v>112</v>
      </c>
      <c r="E232" s="6" t="s">
        <v>60</v>
      </c>
      <c r="F232" s="6" t="s">
        <v>58</v>
      </c>
      <c r="G232" s="6" t="n">
        <v>16</v>
      </c>
      <c r="H232" s="6" t="n">
        <v>1972000</v>
      </c>
      <c r="I232" s="6" t="n">
        <v>745500</v>
      </c>
      <c r="J232" s="6" t="n">
        <v>10346800</v>
      </c>
      <c r="K232" s="6" t="n">
        <v>8374800</v>
      </c>
      <c r="L232" s="6" t="n">
        <v>16</v>
      </c>
      <c r="M232" s="6" t="n">
        <v>10</v>
      </c>
      <c r="N232" s="6" t="n">
        <v>7123.6</v>
      </c>
    </row>
    <row r="233" customFormat="false" ht="15" hidden="false" customHeight="false" outlineLevel="0" collapsed="false">
      <c r="A233" s="6" t="s">
        <v>25</v>
      </c>
      <c r="B233" s="6" t="s">
        <v>26</v>
      </c>
      <c r="C233" s="6" t="s">
        <v>51</v>
      </c>
      <c r="D233" s="6" t="s">
        <v>112</v>
      </c>
      <c r="E233" s="6" t="s">
        <v>60</v>
      </c>
      <c r="F233" s="6" t="s">
        <v>60</v>
      </c>
      <c r="G233" s="6" t="n">
        <v>27</v>
      </c>
      <c r="H233" s="6" t="n">
        <v>2297200</v>
      </c>
      <c r="I233" s="6" t="n">
        <v>1290900</v>
      </c>
      <c r="J233" s="6" t="n">
        <v>20419500</v>
      </c>
      <c r="K233" s="6" t="n">
        <v>18122200</v>
      </c>
      <c r="L233" s="6" t="n">
        <v>27</v>
      </c>
      <c r="M233" s="6" t="n">
        <v>20</v>
      </c>
      <c r="N233" s="6" t="n">
        <v>21586</v>
      </c>
    </row>
    <row r="234" customFormat="false" ht="15" hidden="false" customHeight="false" outlineLevel="0" collapsed="false">
      <c r="A234" s="6" t="s">
        <v>25</v>
      </c>
      <c r="B234" s="6" t="s">
        <v>26</v>
      </c>
      <c r="C234" s="6" t="s">
        <v>51</v>
      </c>
      <c r="D234" s="6" t="s">
        <v>113</v>
      </c>
      <c r="E234" s="6" t="s">
        <v>58</v>
      </c>
      <c r="F234" s="6" t="s">
        <v>58</v>
      </c>
      <c r="G234" s="6" t="n">
        <v>18</v>
      </c>
      <c r="H234" s="6" t="n">
        <v>2221400</v>
      </c>
      <c r="I234" s="6" t="n">
        <v>981300</v>
      </c>
      <c r="J234" s="6" t="n">
        <v>10623400</v>
      </c>
      <c r="K234" s="6" t="n">
        <v>8401900</v>
      </c>
      <c r="L234" s="6" t="n">
        <v>18</v>
      </c>
      <c r="M234" s="6" t="n">
        <v>9</v>
      </c>
      <c r="N234" s="6" t="n">
        <v>7187.6</v>
      </c>
    </row>
    <row r="235" customFormat="false" ht="15" hidden="false" customHeight="false" outlineLevel="0" collapsed="false">
      <c r="A235" s="6" t="s">
        <v>25</v>
      </c>
      <c r="B235" s="6" t="s">
        <v>26</v>
      </c>
      <c r="C235" s="6" t="s">
        <v>51</v>
      </c>
      <c r="D235" s="6" t="s">
        <v>113</v>
      </c>
      <c r="E235" s="6" t="s">
        <v>58</v>
      </c>
      <c r="F235" s="6" t="s">
        <v>60</v>
      </c>
      <c r="G235" s="6" t="n">
        <v>35</v>
      </c>
      <c r="H235" s="6" t="n">
        <v>2959700</v>
      </c>
      <c r="I235" s="6" t="n">
        <v>1183300</v>
      </c>
      <c r="J235" s="6" t="n">
        <v>25044800</v>
      </c>
      <c r="K235" s="6" t="n">
        <v>22084900</v>
      </c>
      <c r="L235" s="6" t="n">
        <v>35</v>
      </c>
      <c r="M235" s="6" t="n">
        <v>27</v>
      </c>
      <c r="N235" s="6" t="n">
        <v>27733.7</v>
      </c>
    </row>
    <row r="236" customFormat="false" ht="15" hidden="false" customHeight="false" outlineLevel="0" collapsed="false">
      <c r="A236" s="6" t="s">
        <v>25</v>
      </c>
      <c r="B236" s="6" t="s">
        <v>26</v>
      </c>
      <c r="C236" s="6" t="s">
        <v>51</v>
      </c>
      <c r="D236" s="6" t="s">
        <v>113</v>
      </c>
      <c r="E236" s="6" t="s">
        <v>60</v>
      </c>
      <c r="F236" s="6" t="s">
        <v>58</v>
      </c>
      <c r="G236" s="6" t="n">
        <v>25</v>
      </c>
      <c r="H236" s="6" t="n">
        <v>2967400</v>
      </c>
      <c r="I236" s="6" t="n">
        <v>995000</v>
      </c>
      <c r="J236" s="6" t="n">
        <v>15826200</v>
      </c>
      <c r="K236" s="6" t="n">
        <v>12859000</v>
      </c>
      <c r="L236" s="6" t="n">
        <v>25</v>
      </c>
      <c r="M236" s="6" t="n">
        <v>12</v>
      </c>
      <c r="N236" s="6" t="n">
        <v>11302.9</v>
      </c>
    </row>
    <row r="237" customFormat="false" ht="15" hidden="false" customHeight="false" outlineLevel="0" collapsed="false">
      <c r="A237" s="6" t="s">
        <v>25</v>
      </c>
      <c r="B237" s="6" t="s">
        <v>26</v>
      </c>
      <c r="C237" s="6" t="s">
        <v>51</v>
      </c>
      <c r="D237" s="6" t="s">
        <v>113</v>
      </c>
      <c r="E237" s="6" t="s">
        <v>60</v>
      </c>
      <c r="F237" s="6" t="s">
        <v>60</v>
      </c>
      <c r="G237" s="6" t="n">
        <v>35</v>
      </c>
      <c r="H237" s="6" t="n">
        <v>3068800</v>
      </c>
      <c r="I237" s="6" t="n">
        <v>1352000</v>
      </c>
      <c r="J237" s="6" t="n">
        <v>27502400</v>
      </c>
      <c r="K237" s="6" t="n">
        <v>24433700</v>
      </c>
      <c r="L237" s="6" t="n">
        <v>35</v>
      </c>
      <c r="M237" s="6" t="n">
        <v>29</v>
      </c>
      <c r="N237" s="6" t="n">
        <v>28634.8</v>
      </c>
    </row>
    <row r="238" customFormat="false" ht="15" hidden="false" customHeight="false" outlineLevel="0" collapsed="false">
      <c r="A238" s="6" t="s">
        <v>25</v>
      </c>
      <c r="B238" s="6" t="s">
        <v>26</v>
      </c>
      <c r="C238" s="6" t="s">
        <v>51</v>
      </c>
      <c r="D238" s="6" t="s">
        <v>114</v>
      </c>
      <c r="E238" s="6" t="s">
        <v>58</v>
      </c>
      <c r="F238" s="6" t="s">
        <v>58</v>
      </c>
      <c r="G238" s="6" t="n">
        <v>14</v>
      </c>
      <c r="H238" s="6" t="n">
        <v>1593300</v>
      </c>
      <c r="I238" s="6" t="n">
        <v>606900</v>
      </c>
      <c r="J238" s="6" t="n">
        <v>8662800</v>
      </c>
      <c r="K238" s="6" t="n">
        <v>7069200</v>
      </c>
      <c r="L238" s="6" t="n">
        <v>14</v>
      </c>
      <c r="M238" s="6" t="n">
        <v>8</v>
      </c>
      <c r="N238" s="6" t="n">
        <v>6516.8</v>
      </c>
    </row>
    <row r="239" customFormat="false" ht="15" hidden="false" customHeight="false" outlineLevel="0" collapsed="false">
      <c r="A239" s="6" t="s">
        <v>25</v>
      </c>
      <c r="B239" s="6" t="s">
        <v>26</v>
      </c>
      <c r="C239" s="6" t="s">
        <v>51</v>
      </c>
      <c r="D239" s="6" t="s">
        <v>114</v>
      </c>
      <c r="E239" s="6" t="s">
        <v>58</v>
      </c>
      <c r="F239" s="6" t="s">
        <v>60</v>
      </c>
      <c r="G239" s="6" t="n">
        <v>22</v>
      </c>
      <c r="H239" s="6" t="n">
        <v>1878700</v>
      </c>
      <c r="I239" s="6" t="n">
        <v>1003100</v>
      </c>
      <c r="J239" s="6" t="n">
        <v>17081400</v>
      </c>
      <c r="K239" s="6" t="n">
        <v>15202800</v>
      </c>
      <c r="L239" s="6" t="n">
        <v>22</v>
      </c>
      <c r="M239" s="6" t="n">
        <v>19</v>
      </c>
      <c r="N239" s="6" t="n">
        <v>18885.8</v>
      </c>
    </row>
    <row r="240" customFormat="false" ht="15" hidden="false" customHeight="false" outlineLevel="0" collapsed="false">
      <c r="A240" s="6" t="s">
        <v>25</v>
      </c>
      <c r="B240" s="6" t="s">
        <v>26</v>
      </c>
      <c r="C240" s="6" t="s">
        <v>51</v>
      </c>
      <c r="D240" s="6" t="s">
        <v>114</v>
      </c>
      <c r="E240" s="6" t="s">
        <v>60</v>
      </c>
      <c r="F240" s="6" t="s">
        <v>58</v>
      </c>
      <c r="G240" s="6" t="n">
        <v>16</v>
      </c>
      <c r="H240" s="6" t="n">
        <v>1719600</v>
      </c>
      <c r="I240" s="6" t="n">
        <v>488200</v>
      </c>
      <c r="J240" s="6" t="n">
        <v>10927000</v>
      </c>
      <c r="K240" s="6" t="n">
        <v>9207400</v>
      </c>
      <c r="L240" s="6" t="n">
        <v>16</v>
      </c>
      <c r="M240" s="6" t="n">
        <v>12</v>
      </c>
      <c r="N240" s="6" t="n">
        <v>8758.2</v>
      </c>
    </row>
    <row r="241" customFormat="false" ht="15" hidden="false" customHeight="false" outlineLevel="0" collapsed="false">
      <c r="A241" s="6" t="s">
        <v>25</v>
      </c>
      <c r="B241" s="6" t="s">
        <v>26</v>
      </c>
      <c r="C241" s="6" t="s">
        <v>51</v>
      </c>
      <c r="D241" s="6" t="s">
        <v>114</v>
      </c>
      <c r="E241" s="6" t="s">
        <v>60</v>
      </c>
      <c r="F241" s="6" t="s">
        <v>60</v>
      </c>
      <c r="G241" s="6" t="n">
        <v>25</v>
      </c>
      <c r="H241" s="6" t="n">
        <v>2075000</v>
      </c>
      <c r="I241" s="6" t="n">
        <v>930300</v>
      </c>
      <c r="J241" s="6" t="n">
        <v>16953800</v>
      </c>
      <c r="K241" s="6" t="n">
        <v>14878100</v>
      </c>
      <c r="L241" s="6" t="n">
        <v>25</v>
      </c>
      <c r="M241" s="6" t="n">
        <v>19</v>
      </c>
      <c r="N241" s="6" t="n">
        <v>18041</v>
      </c>
    </row>
    <row r="242" customFormat="false" ht="15" hidden="false" customHeight="false" outlineLevel="0" collapsed="false">
      <c r="A242" s="6" t="s">
        <v>27</v>
      </c>
      <c r="B242" s="6" t="s">
        <v>24</v>
      </c>
      <c r="C242" s="6" t="s">
        <v>54</v>
      </c>
      <c r="D242" s="6" t="s">
        <v>111</v>
      </c>
      <c r="E242" s="6" t="s">
        <v>58</v>
      </c>
      <c r="F242" s="6" t="s">
        <v>58</v>
      </c>
      <c r="G242" s="6" t="n">
        <v>9</v>
      </c>
      <c r="H242" s="6" t="n">
        <v>1475600</v>
      </c>
      <c r="I242" s="6" t="n">
        <v>771900</v>
      </c>
      <c r="J242" s="6" t="n">
        <v>3272700</v>
      </c>
      <c r="K242" s="6" t="n">
        <v>1796900</v>
      </c>
      <c r="L242" s="6" t="n">
        <v>8</v>
      </c>
      <c r="M242" s="6" t="n">
        <v>1</v>
      </c>
      <c r="N242" s="6" t="n">
        <v>1230.7</v>
      </c>
    </row>
    <row r="243" customFormat="false" ht="15" hidden="false" customHeight="false" outlineLevel="0" collapsed="false">
      <c r="A243" s="6" t="s">
        <v>27</v>
      </c>
      <c r="B243" s="6" t="s">
        <v>24</v>
      </c>
      <c r="C243" s="6" t="s">
        <v>54</v>
      </c>
      <c r="D243" s="6" t="s">
        <v>111</v>
      </c>
      <c r="E243" s="6" t="s">
        <v>58</v>
      </c>
      <c r="F243" s="6" t="s">
        <v>60</v>
      </c>
      <c r="G243" s="6" t="n">
        <v>10</v>
      </c>
      <c r="H243" s="6" t="n">
        <v>993000</v>
      </c>
      <c r="I243" s="6" t="n">
        <v>597400</v>
      </c>
      <c r="J243" s="6" t="n">
        <v>4612200</v>
      </c>
      <c r="K243" s="6" t="n">
        <v>3619000</v>
      </c>
      <c r="L243" s="6" t="n">
        <v>10</v>
      </c>
      <c r="M243" s="6" t="n">
        <v>2</v>
      </c>
      <c r="N243" s="6" t="n">
        <v>3793.2</v>
      </c>
    </row>
    <row r="244" customFormat="false" ht="15" hidden="false" customHeight="false" outlineLevel="0" collapsed="false">
      <c r="A244" s="6" t="s">
        <v>27</v>
      </c>
      <c r="B244" s="6" t="s">
        <v>24</v>
      </c>
      <c r="C244" s="6" t="s">
        <v>54</v>
      </c>
      <c r="D244" s="6" t="s">
        <v>111</v>
      </c>
      <c r="E244" s="6" t="s">
        <v>60</v>
      </c>
      <c r="F244" s="6" t="s">
        <v>58</v>
      </c>
      <c r="G244" s="6" t="n">
        <v>7</v>
      </c>
      <c r="H244" s="6" t="n">
        <v>1060300</v>
      </c>
      <c r="I244" s="6" t="n">
        <v>498500</v>
      </c>
      <c r="J244" s="6" t="n">
        <v>2718800</v>
      </c>
      <c r="K244" s="6" t="n">
        <v>1658500</v>
      </c>
      <c r="L244" s="6" t="n">
        <v>6</v>
      </c>
      <c r="M244" s="6" t="n">
        <v>1</v>
      </c>
      <c r="N244" s="6" t="n">
        <v>1148.3</v>
      </c>
    </row>
    <row r="245" customFormat="false" ht="15" hidden="false" customHeight="false" outlineLevel="0" collapsed="false">
      <c r="A245" s="6" t="s">
        <v>27</v>
      </c>
      <c r="B245" s="6" t="s">
        <v>24</v>
      </c>
      <c r="C245" s="6" t="s">
        <v>54</v>
      </c>
      <c r="D245" s="6" t="s">
        <v>111</v>
      </c>
      <c r="E245" s="6" t="s">
        <v>60</v>
      </c>
      <c r="F245" s="6" t="s">
        <v>60</v>
      </c>
      <c r="G245" s="6" t="n">
        <v>14</v>
      </c>
      <c r="H245" s="6" t="n">
        <v>1455900</v>
      </c>
      <c r="I245" s="6" t="n">
        <v>581400</v>
      </c>
      <c r="J245" s="6" t="n">
        <v>4355400</v>
      </c>
      <c r="K245" s="6" t="n">
        <v>2899400</v>
      </c>
      <c r="L245" s="6" t="n">
        <v>14</v>
      </c>
      <c r="M245" s="6" t="n">
        <v>1</v>
      </c>
      <c r="N245" s="6" t="n">
        <v>3020.8</v>
      </c>
    </row>
    <row r="246" customFormat="false" ht="15" hidden="false" customHeight="false" outlineLevel="0" collapsed="false">
      <c r="A246" s="6" t="s">
        <v>27</v>
      </c>
      <c r="B246" s="6" t="s">
        <v>24</v>
      </c>
      <c r="C246" s="6" t="s">
        <v>54</v>
      </c>
      <c r="D246" s="6" t="s">
        <v>112</v>
      </c>
      <c r="E246" s="6" t="s">
        <v>58</v>
      </c>
      <c r="F246" s="6" t="s">
        <v>58</v>
      </c>
      <c r="G246" s="6" t="n">
        <v>12</v>
      </c>
      <c r="H246" s="6" t="n">
        <v>1773500</v>
      </c>
      <c r="I246" s="6" t="n">
        <v>831100</v>
      </c>
      <c r="J246" s="6" t="n">
        <v>4475600</v>
      </c>
      <c r="K246" s="6" t="n">
        <v>2701800</v>
      </c>
      <c r="L246" s="6" t="n">
        <v>11</v>
      </c>
      <c r="M246" s="6" t="n">
        <v>1</v>
      </c>
      <c r="N246" s="6" t="n">
        <v>2028.4</v>
      </c>
    </row>
    <row r="247" customFormat="false" ht="15" hidden="false" customHeight="false" outlineLevel="0" collapsed="false">
      <c r="A247" s="6" t="s">
        <v>27</v>
      </c>
      <c r="B247" s="6" t="s">
        <v>24</v>
      </c>
      <c r="C247" s="6" t="s">
        <v>54</v>
      </c>
      <c r="D247" s="6" t="s">
        <v>112</v>
      </c>
      <c r="E247" s="6" t="s">
        <v>58</v>
      </c>
      <c r="F247" s="6" t="s">
        <v>60</v>
      </c>
      <c r="G247" s="6" t="n">
        <v>21</v>
      </c>
      <c r="H247" s="6" t="n">
        <v>2197600</v>
      </c>
      <c r="I247" s="6" t="n">
        <v>846600</v>
      </c>
      <c r="J247" s="6" t="n">
        <v>8206900</v>
      </c>
      <c r="K247" s="6" t="n">
        <v>6009100</v>
      </c>
      <c r="L247" s="6" t="n">
        <v>21</v>
      </c>
      <c r="M247" s="6" t="n">
        <v>5</v>
      </c>
      <c r="N247" s="6" t="n">
        <v>5774.1</v>
      </c>
    </row>
    <row r="248" customFormat="false" ht="15" hidden="false" customHeight="false" outlineLevel="0" collapsed="false">
      <c r="A248" s="6" t="s">
        <v>27</v>
      </c>
      <c r="B248" s="6" t="s">
        <v>24</v>
      </c>
      <c r="C248" s="6" t="s">
        <v>54</v>
      </c>
      <c r="D248" s="6" t="s">
        <v>112</v>
      </c>
      <c r="E248" s="6" t="s">
        <v>60</v>
      </c>
      <c r="F248" s="6" t="s">
        <v>58</v>
      </c>
      <c r="G248" s="6" t="n">
        <v>5</v>
      </c>
      <c r="H248" s="6" t="n">
        <v>604400</v>
      </c>
      <c r="I248" s="6" t="n">
        <v>213600</v>
      </c>
      <c r="J248" s="6" t="n">
        <v>2069000</v>
      </c>
      <c r="K248" s="6" t="n">
        <v>1464600</v>
      </c>
      <c r="L248" s="6" t="n">
        <v>5</v>
      </c>
      <c r="M248" s="6" t="n">
        <v>1</v>
      </c>
      <c r="N248" s="6" t="n">
        <v>1393.4</v>
      </c>
    </row>
    <row r="249" customFormat="false" ht="15" hidden="false" customHeight="false" outlineLevel="0" collapsed="false">
      <c r="A249" s="6" t="s">
        <v>27</v>
      </c>
      <c r="B249" s="6" t="s">
        <v>24</v>
      </c>
      <c r="C249" s="6" t="s">
        <v>54</v>
      </c>
      <c r="D249" s="6" t="s">
        <v>112</v>
      </c>
      <c r="E249" s="6" t="s">
        <v>60</v>
      </c>
      <c r="F249" s="6" t="s">
        <v>60</v>
      </c>
      <c r="G249" s="6" t="n">
        <v>12</v>
      </c>
      <c r="H249" s="6" t="n">
        <v>1283000</v>
      </c>
      <c r="I249" s="6" t="n">
        <v>678100</v>
      </c>
      <c r="J249" s="6" t="n">
        <v>5767800</v>
      </c>
      <c r="K249" s="6" t="n">
        <v>4484900</v>
      </c>
      <c r="L249" s="6" t="n">
        <v>12</v>
      </c>
      <c r="M249" s="6" t="n">
        <v>5</v>
      </c>
      <c r="N249" s="6" t="n">
        <v>4460.3</v>
      </c>
    </row>
    <row r="250" customFormat="false" ht="15" hidden="false" customHeight="false" outlineLevel="0" collapsed="false">
      <c r="A250" s="6" t="s">
        <v>27</v>
      </c>
      <c r="B250" s="6" t="s">
        <v>24</v>
      </c>
      <c r="C250" s="6" t="s">
        <v>54</v>
      </c>
      <c r="D250" s="6" t="s">
        <v>113</v>
      </c>
      <c r="E250" s="6" t="s">
        <v>58</v>
      </c>
      <c r="F250" s="6" t="s">
        <v>58</v>
      </c>
      <c r="G250" s="6" t="n">
        <v>13</v>
      </c>
      <c r="H250" s="6" t="n">
        <v>1902500</v>
      </c>
      <c r="I250" s="6" t="n">
        <v>849100</v>
      </c>
      <c r="J250" s="6" t="n">
        <v>4855300</v>
      </c>
      <c r="K250" s="6" t="n">
        <v>2952800</v>
      </c>
      <c r="L250" s="6" t="n">
        <v>13</v>
      </c>
      <c r="M250" s="6" t="n">
        <v>0</v>
      </c>
      <c r="N250" s="6" t="n">
        <v>2056.5</v>
      </c>
    </row>
    <row r="251" customFormat="false" ht="15" hidden="false" customHeight="false" outlineLevel="0" collapsed="false">
      <c r="A251" s="6" t="s">
        <v>27</v>
      </c>
      <c r="B251" s="6" t="s">
        <v>24</v>
      </c>
      <c r="C251" s="6" t="s">
        <v>54</v>
      </c>
      <c r="D251" s="6" t="s">
        <v>113</v>
      </c>
      <c r="E251" s="6" t="s">
        <v>58</v>
      </c>
      <c r="F251" s="6" t="s">
        <v>60</v>
      </c>
      <c r="G251" s="6" t="n">
        <v>13</v>
      </c>
      <c r="H251" s="6" t="n">
        <v>1443900</v>
      </c>
      <c r="I251" s="6" t="n">
        <v>434300</v>
      </c>
      <c r="J251" s="6" t="n">
        <v>5176400</v>
      </c>
      <c r="K251" s="6" t="n">
        <v>3732700</v>
      </c>
      <c r="L251" s="6" t="n">
        <v>13</v>
      </c>
      <c r="M251" s="6" t="n">
        <v>2</v>
      </c>
      <c r="N251" s="6" t="n">
        <v>3396.9</v>
      </c>
    </row>
    <row r="252" customFormat="false" ht="15" hidden="false" customHeight="false" outlineLevel="0" collapsed="false">
      <c r="A252" s="6" t="s">
        <v>27</v>
      </c>
      <c r="B252" s="6" t="s">
        <v>24</v>
      </c>
      <c r="C252" s="6" t="s">
        <v>54</v>
      </c>
      <c r="D252" s="6" t="s">
        <v>113</v>
      </c>
      <c r="E252" s="6" t="s">
        <v>60</v>
      </c>
      <c r="F252" s="6" t="s">
        <v>58</v>
      </c>
      <c r="G252" s="6" t="n">
        <v>6</v>
      </c>
      <c r="H252" s="6" t="n">
        <v>868100</v>
      </c>
      <c r="I252" s="6" t="n">
        <v>325900</v>
      </c>
      <c r="J252" s="6" t="n">
        <v>2517300</v>
      </c>
      <c r="K252" s="6" t="n">
        <v>1649100</v>
      </c>
      <c r="L252" s="6" t="n">
        <v>6</v>
      </c>
      <c r="M252" s="6" t="n">
        <v>1</v>
      </c>
      <c r="N252" s="6" t="n">
        <v>1285.5</v>
      </c>
    </row>
    <row r="253" customFormat="false" ht="15" hidden="false" customHeight="false" outlineLevel="0" collapsed="false">
      <c r="A253" s="6" t="s">
        <v>27</v>
      </c>
      <c r="B253" s="6" t="s">
        <v>24</v>
      </c>
      <c r="C253" s="6" t="s">
        <v>54</v>
      </c>
      <c r="D253" s="6" t="s">
        <v>113</v>
      </c>
      <c r="E253" s="6" t="s">
        <v>60</v>
      </c>
      <c r="F253" s="6" t="s">
        <v>60</v>
      </c>
      <c r="G253" s="6" t="n">
        <v>19</v>
      </c>
      <c r="H253" s="6" t="n">
        <v>1894600</v>
      </c>
      <c r="I253" s="6" t="n">
        <v>733300</v>
      </c>
      <c r="J253" s="6" t="n">
        <v>6464700</v>
      </c>
      <c r="K253" s="6" t="n">
        <v>4570300</v>
      </c>
      <c r="L253" s="6" t="n">
        <v>19</v>
      </c>
      <c r="M253" s="6" t="n">
        <v>1</v>
      </c>
      <c r="N253" s="6" t="n">
        <v>4694.5</v>
      </c>
    </row>
    <row r="254" customFormat="false" ht="15" hidden="false" customHeight="false" outlineLevel="0" collapsed="false">
      <c r="A254" s="6" t="s">
        <v>27</v>
      </c>
      <c r="B254" s="6" t="s">
        <v>24</v>
      </c>
      <c r="C254" s="6" t="s">
        <v>54</v>
      </c>
      <c r="D254" s="6" t="s">
        <v>114</v>
      </c>
      <c r="E254" s="6" t="s">
        <v>58</v>
      </c>
      <c r="F254" s="6" t="s">
        <v>58</v>
      </c>
      <c r="G254" s="6" t="n">
        <v>4</v>
      </c>
      <c r="H254" s="6" t="n">
        <v>651300</v>
      </c>
      <c r="I254" s="6" t="n">
        <v>277200</v>
      </c>
      <c r="J254" s="6" t="n">
        <v>847000</v>
      </c>
      <c r="K254" s="6" t="n">
        <v>195600</v>
      </c>
      <c r="L254" s="6" t="n">
        <v>3</v>
      </c>
      <c r="M254" s="6" t="n">
        <v>0</v>
      </c>
      <c r="N254" s="6" t="n">
        <v>127.8</v>
      </c>
    </row>
    <row r="255" customFormat="false" ht="15" hidden="false" customHeight="false" outlineLevel="0" collapsed="false">
      <c r="A255" s="6" t="s">
        <v>27</v>
      </c>
      <c r="B255" s="6" t="s">
        <v>24</v>
      </c>
      <c r="C255" s="6" t="s">
        <v>54</v>
      </c>
      <c r="D255" s="6" t="s">
        <v>114</v>
      </c>
      <c r="E255" s="6" t="s">
        <v>58</v>
      </c>
      <c r="F255" s="6" t="s">
        <v>60</v>
      </c>
      <c r="G255" s="6" t="n">
        <v>9</v>
      </c>
      <c r="H255" s="6" t="n">
        <v>956300</v>
      </c>
      <c r="I255" s="6" t="n">
        <v>199200</v>
      </c>
      <c r="J255" s="6" t="n">
        <v>3323300</v>
      </c>
      <c r="K255" s="6" t="n">
        <v>2366800</v>
      </c>
      <c r="L255" s="6" t="n">
        <v>9</v>
      </c>
      <c r="M255" s="6" t="n">
        <v>0</v>
      </c>
      <c r="N255" s="6" t="n">
        <v>2253.2</v>
      </c>
    </row>
    <row r="256" customFormat="false" ht="15" hidden="false" customHeight="false" outlineLevel="0" collapsed="false">
      <c r="A256" s="6" t="s">
        <v>27</v>
      </c>
      <c r="B256" s="6" t="s">
        <v>24</v>
      </c>
      <c r="C256" s="6" t="s">
        <v>54</v>
      </c>
      <c r="D256" s="6" t="s">
        <v>114</v>
      </c>
      <c r="E256" s="6" t="s">
        <v>60</v>
      </c>
      <c r="F256" s="6" t="s">
        <v>58</v>
      </c>
      <c r="G256" s="6" t="n">
        <v>5</v>
      </c>
      <c r="H256" s="6" t="n">
        <v>741400</v>
      </c>
      <c r="I256" s="6" t="n">
        <v>340500</v>
      </c>
      <c r="J256" s="6" t="n">
        <v>1411200</v>
      </c>
      <c r="K256" s="6" t="n">
        <v>669900</v>
      </c>
      <c r="L256" s="6" t="n">
        <v>4</v>
      </c>
      <c r="M256" s="6" t="n">
        <v>0</v>
      </c>
      <c r="N256" s="6" t="n">
        <v>479.2</v>
      </c>
    </row>
    <row r="257" customFormat="false" ht="15" hidden="false" customHeight="false" outlineLevel="0" collapsed="false">
      <c r="A257" s="6" t="s">
        <v>27</v>
      </c>
      <c r="B257" s="6" t="s">
        <v>24</v>
      </c>
      <c r="C257" s="6" t="s">
        <v>54</v>
      </c>
      <c r="D257" s="6" t="s">
        <v>114</v>
      </c>
      <c r="E257" s="6" t="s">
        <v>60</v>
      </c>
      <c r="F257" s="6" t="s">
        <v>60</v>
      </c>
      <c r="G257" s="6" t="n">
        <v>12</v>
      </c>
      <c r="H257" s="6" t="n">
        <v>1304700</v>
      </c>
      <c r="I257" s="6" t="n">
        <v>778300</v>
      </c>
      <c r="J257" s="6" t="n">
        <v>4599700</v>
      </c>
      <c r="K257" s="6" t="n">
        <v>3294900</v>
      </c>
      <c r="L257" s="6" t="n">
        <v>12</v>
      </c>
      <c r="M257" s="6" t="n">
        <v>1</v>
      </c>
      <c r="N257" s="6" t="n">
        <v>3000.2</v>
      </c>
    </row>
    <row r="258" customFormat="false" ht="15" hidden="false" customHeight="false" outlineLevel="0" collapsed="false">
      <c r="A258" s="6" t="s">
        <v>27</v>
      </c>
      <c r="B258" s="6" t="s">
        <v>24</v>
      </c>
      <c r="C258" s="6" t="s">
        <v>50</v>
      </c>
      <c r="D258" s="6" t="s">
        <v>111</v>
      </c>
      <c r="E258" s="6" t="s">
        <v>58</v>
      </c>
      <c r="F258" s="6" t="s">
        <v>60</v>
      </c>
      <c r="G258" s="6" t="n">
        <v>8</v>
      </c>
      <c r="H258" s="6" t="n">
        <v>1221400</v>
      </c>
      <c r="I258" s="6" t="n">
        <v>413300</v>
      </c>
      <c r="J258" s="6" t="n">
        <v>7572500</v>
      </c>
      <c r="K258" s="6" t="n">
        <v>6351100</v>
      </c>
      <c r="L258" s="6" t="n">
        <v>8</v>
      </c>
      <c r="M258" s="6" t="n">
        <v>7</v>
      </c>
      <c r="N258" s="6" t="n">
        <v>4343.5</v>
      </c>
    </row>
    <row r="259" customFormat="false" ht="15" hidden="false" customHeight="false" outlineLevel="0" collapsed="false">
      <c r="A259" s="6" t="s">
        <v>27</v>
      </c>
      <c r="B259" s="6" t="s">
        <v>24</v>
      </c>
      <c r="C259" s="6" t="s">
        <v>50</v>
      </c>
      <c r="D259" s="6" t="s">
        <v>111</v>
      </c>
      <c r="E259" s="6" t="s">
        <v>60</v>
      </c>
      <c r="F259" s="6" t="s">
        <v>58</v>
      </c>
      <c r="G259" s="6" t="n">
        <v>2</v>
      </c>
      <c r="H259" s="6" t="n">
        <v>490500</v>
      </c>
      <c r="I259" s="6" t="n">
        <v>242100</v>
      </c>
      <c r="J259" s="6" t="n">
        <v>1505600</v>
      </c>
      <c r="K259" s="6" t="n">
        <v>1015100</v>
      </c>
      <c r="L259" s="6" t="n">
        <v>2</v>
      </c>
      <c r="M259" s="6" t="n">
        <v>1</v>
      </c>
      <c r="N259" s="6" t="n">
        <v>425.8</v>
      </c>
    </row>
    <row r="260" customFormat="false" ht="15" hidden="false" customHeight="false" outlineLevel="0" collapsed="false">
      <c r="A260" s="6" t="s">
        <v>27</v>
      </c>
      <c r="B260" s="6" t="s">
        <v>24</v>
      </c>
      <c r="C260" s="6" t="s">
        <v>50</v>
      </c>
      <c r="D260" s="6" t="s">
        <v>111</v>
      </c>
      <c r="E260" s="6" t="s">
        <v>60</v>
      </c>
      <c r="F260" s="6" t="s">
        <v>60</v>
      </c>
      <c r="G260" s="6" t="n">
        <v>8</v>
      </c>
      <c r="H260" s="6" t="n">
        <v>1229000</v>
      </c>
      <c r="I260" s="6" t="n">
        <v>771100</v>
      </c>
      <c r="J260" s="6" t="n">
        <v>8480700</v>
      </c>
      <c r="K260" s="6" t="n">
        <v>7251700</v>
      </c>
      <c r="L260" s="6" t="n">
        <v>8</v>
      </c>
      <c r="M260" s="6" t="n">
        <v>8</v>
      </c>
      <c r="N260" s="6" t="n">
        <v>4920.1</v>
      </c>
    </row>
    <row r="261" customFormat="false" ht="15" hidden="false" customHeight="false" outlineLevel="0" collapsed="false">
      <c r="A261" s="6" t="s">
        <v>27</v>
      </c>
      <c r="B261" s="6" t="s">
        <v>24</v>
      </c>
      <c r="C261" s="6" t="s">
        <v>50</v>
      </c>
      <c r="D261" s="6" t="s">
        <v>112</v>
      </c>
      <c r="E261" s="6" t="s">
        <v>58</v>
      </c>
      <c r="F261" s="6" t="s">
        <v>58</v>
      </c>
      <c r="G261" s="6" t="n">
        <v>3</v>
      </c>
      <c r="H261" s="6" t="n">
        <v>633000</v>
      </c>
      <c r="I261" s="6" t="n">
        <v>171800</v>
      </c>
      <c r="J261" s="6" t="n">
        <v>3050600</v>
      </c>
      <c r="K261" s="6" t="n">
        <v>2417600</v>
      </c>
      <c r="L261" s="6" t="n">
        <v>3</v>
      </c>
      <c r="M261" s="6" t="n">
        <v>2</v>
      </c>
      <c r="N261" s="6" t="n">
        <v>1180.2</v>
      </c>
    </row>
    <row r="262" customFormat="false" ht="15" hidden="false" customHeight="false" outlineLevel="0" collapsed="false">
      <c r="A262" s="6" t="s">
        <v>27</v>
      </c>
      <c r="B262" s="6" t="s">
        <v>24</v>
      </c>
      <c r="C262" s="6" t="s">
        <v>50</v>
      </c>
      <c r="D262" s="6" t="s">
        <v>112</v>
      </c>
      <c r="E262" s="6" t="s">
        <v>58</v>
      </c>
      <c r="F262" s="6" t="s">
        <v>60</v>
      </c>
      <c r="G262" s="6" t="n">
        <v>5</v>
      </c>
      <c r="H262" s="6" t="n">
        <v>731400</v>
      </c>
      <c r="I262" s="6" t="n">
        <v>323200</v>
      </c>
      <c r="J262" s="6" t="n">
        <v>3664600</v>
      </c>
      <c r="K262" s="6" t="n">
        <v>2933000</v>
      </c>
      <c r="L262" s="6" t="n">
        <v>5</v>
      </c>
      <c r="M262" s="6" t="n">
        <v>2</v>
      </c>
      <c r="N262" s="6" t="n">
        <v>2055.2</v>
      </c>
    </row>
    <row r="263" customFormat="false" ht="15" hidden="false" customHeight="false" outlineLevel="0" collapsed="false">
      <c r="A263" s="6" t="s">
        <v>27</v>
      </c>
      <c r="B263" s="6" t="s">
        <v>24</v>
      </c>
      <c r="C263" s="6" t="s">
        <v>50</v>
      </c>
      <c r="D263" s="6" t="s">
        <v>112</v>
      </c>
      <c r="E263" s="6" t="s">
        <v>60</v>
      </c>
      <c r="F263" s="6" t="s">
        <v>58</v>
      </c>
      <c r="G263" s="6" t="n">
        <v>3</v>
      </c>
      <c r="H263" s="6" t="n">
        <v>614600</v>
      </c>
      <c r="I263" s="6" t="n">
        <v>284900</v>
      </c>
      <c r="J263" s="6" t="n">
        <v>2610900</v>
      </c>
      <c r="K263" s="6" t="n">
        <v>1996400</v>
      </c>
      <c r="L263" s="6" t="n">
        <v>3</v>
      </c>
      <c r="M263" s="6" t="n">
        <v>3</v>
      </c>
      <c r="N263" s="6" t="n">
        <v>983.2</v>
      </c>
    </row>
    <row r="264" customFormat="false" ht="15" hidden="false" customHeight="false" outlineLevel="0" collapsed="false">
      <c r="A264" s="6" t="s">
        <v>27</v>
      </c>
      <c r="B264" s="6" t="s">
        <v>24</v>
      </c>
      <c r="C264" s="6" t="s">
        <v>50</v>
      </c>
      <c r="D264" s="6" t="s">
        <v>112</v>
      </c>
      <c r="E264" s="6" t="s">
        <v>60</v>
      </c>
      <c r="F264" s="6" t="s">
        <v>60</v>
      </c>
      <c r="G264" s="6" t="n">
        <v>7</v>
      </c>
      <c r="H264" s="6" t="n">
        <v>963500</v>
      </c>
      <c r="I264" s="6" t="n">
        <v>304500</v>
      </c>
      <c r="J264" s="6" t="n">
        <v>8593800</v>
      </c>
      <c r="K264" s="6" t="n">
        <v>7630100</v>
      </c>
      <c r="L264" s="6" t="n">
        <v>7</v>
      </c>
      <c r="M264" s="6" t="n">
        <v>7</v>
      </c>
      <c r="N264" s="6" t="n">
        <v>5743.5</v>
      </c>
    </row>
    <row r="265" customFormat="false" ht="15" hidden="false" customHeight="false" outlineLevel="0" collapsed="false">
      <c r="A265" s="6" t="s">
        <v>27</v>
      </c>
      <c r="B265" s="6" t="s">
        <v>24</v>
      </c>
      <c r="C265" s="6" t="s">
        <v>50</v>
      </c>
      <c r="D265" s="6" t="s">
        <v>113</v>
      </c>
      <c r="E265" s="6" t="s">
        <v>58</v>
      </c>
      <c r="F265" s="6" t="s">
        <v>58</v>
      </c>
      <c r="G265" s="6" t="n">
        <v>8</v>
      </c>
      <c r="H265" s="6" t="n">
        <v>1616700</v>
      </c>
      <c r="I265" s="6" t="n">
        <v>1022400</v>
      </c>
      <c r="J265" s="6" t="n">
        <v>5965600</v>
      </c>
      <c r="K265" s="6" t="n">
        <v>4349000</v>
      </c>
      <c r="L265" s="6" t="n">
        <v>8</v>
      </c>
      <c r="M265" s="6" t="n">
        <v>5</v>
      </c>
      <c r="N265" s="6" t="n">
        <v>2215.3</v>
      </c>
    </row>
    <row r="266" customFormat="false" ht="15" hidden="false" customHeight="false" outlineLevel="0" collapsed="false">
      <c r="A266" s="6" t="s">
        <v>27</v>
      </c>
      <c r="B266" s="6" t="s">
        <v>24</v>
      </c>
      <c r="C266" s="6" t="s">
        <v>50</v>
      </c>
      <c r="D266" s="6" t="s">
        <v>113</v>
      </c>
      <c r="E266" s="6" t="s">
        <v>58</v>
      </c>
      <c r="F266" s="6" t="s">
        <v>60</v>
      </c>
      <c r="G266" s="6" t="n">
        <v>11</v>
      </c>
      <c r="H266" s="6" t="n">
        <v>1509400</v>
      </c>
      <c r="I266" s="6" t="n">
        <v>764200</v>
      </c>
      <c r="J266" s="6" t="n">
        <v>8446100</v>
      </c>
      <c r="K266" s="6" t="n">
        <v>6936700</v>
      </c>
      <c r="L266" s="6" t="n">
        <v>11</v>
      </c>
      <c r="M266" s="6" t="n">
        <v>7</v>
      </c>
      <c r="N266" s="6" t="n">
        <v>5276.9</v>
      </c>
    </row>
    <row r="267" customFormat="false" ht="15" hidden="false" customHeight="false" outlineLevel="0" collapsed="false">
      <c r="A267" s="6" t="s">
        <v>27</v>
      </c>
      <c r="B267" s="6" t="s">
        <v>24</v>
      </c>
      <c r="C267" s="6" t="s">
        <v>50</v>
      </c>
      <c r="D267" s="6" t="s">
        <v>113</v>
      </c>
      <c r="E267" s="6" t="s">
        <v>60</v>
      </c>
      <c r="F267" s="6" t="s">
        <v>58</v>
      </c>
      <c r="G267" s="6" t="n">
        <v>1</v>
      </c>
      <c r="H267" s="6" t="n">
        <v>224000</v>
      </c>
      <c r="I267" s="6" t="n">
        <v>97700</v>
      </c>
      <c r="J267" s="6" t="n">
        <v>909200</v>
      </c>
      <c r="K267" s="6" t="n">
        <v>685300</v>
      </c>
      <c r="L267" s="6" t="n">
        <v>1</v>
      </c>
      <c r="M267" s="6" t="n">
        <v>1</v>
      </c>
      <c r="N267" s="6" t="n">
        <v>306</v>
      </c>
    </row>
    <row r="268" customFormat="false" ht="15" hidden="false" customHeight="false" outlineLevel="0" collapsed="false">
      <c r="A268" s="6" t="s">
        <v>27</v>
      </c>
      <c r="B268" s="6" t="s">
        <v>24</v>
      </c>
      <c r="C268" s="6" t="s">
        <v>50</v>
      </c>
      <c r="D268" s="6" t="s">
        <v>113</v>
      </c>
      <c r="E268" s="6" t="s">
        <v>60</v>
      </c>
      <c r="F268" s="6" t="s">
        <v>60</v>
      </c>
      <c r="G268" s="6" t="n">
        <v>9</v>
      </c>
      <c r="H268" s="6" t="n">
        <v>1176900</v>
      </c>
      <c r="I268" s="6" t="n">
        <v>350200</v>
      </c>
      <c r="J268" s="6" t="n">
        <v>9481000</v>
      </c>
      <c r="K268" s="6" t="n">
        <v>8304100</v>
      </c>
      <c r="L268" s="6" t="n">
        <v>9</v>
      </c>
      <c r="M268" s="6" t="n">
        <v>8</v>
      </c>
      <c r="N268" s="6" t="n">
        <v>6568.3</v>
      </c>
    </row>
    <row r="269" customFormat="false" ht="15" hidden="false" customHeight="false" outlineLevel="0" collapsed="false">
      <c r="A269" s="6" t="s">
        <v>27</v>
      </c>
      <c r="B269" s="6" t="s">
        <v>24</v>
      </c>
      <c r="C269" s="6" t="s">
        <v>50</v>
      </c>
      <c r="D269" s="6" t="s">
        <v>114</v>
      </c>
      <c r="E269" s="6" t="s">
        <v>58</v>
      </c>
      <c r="F269" s="6" t="s">
        <v>58</v>
      </c>
      <c r="G269" s="6" t="n">
        <v>6</v>
      </c>
      <c r="H269" s="6" t="n">
        <v>1186300</v>
      </c>
      <c r="I269" s="6" t="n">
        <v>786600</v>
      </c>
      <c r="J269" s="6" t="n">
        <v>4578000</v>
      </c>
      <c r="K269" s="6" t="n">
        <v>3391700</v>
      </c>
      <c r="L269" s="6" t="n">
        <v>6</v>
      </c>
      <c r="M269" s="6" t="n">
        <v>4</v>
      </c>
      <c r="N269" s="6" t="n">
        <v>1809.7</v>
      </c>
    </row>
    <row r="270" customFormat="false" ht="15" hidden="false" customHeight="false" outlineLevel="0" collapsed="false">
      <c r="A270" s="6" t="s">
        <v>27</v>
      </c>
      <c r="B270" s="6" t="s">
        <v>24</v>
      </c>
      <c r="C270" s="6" t="s">
        <v>50</v>
      </c>
      <c r="D270" s="6" t="s">
        <v>114</v>
      </c>
      <c r="E270" s="6" t="s">
        <v>58</v>
      </c>
      <c r="F270" s="6" t="s">
        <v>60</v>
      </c>
      <c r="G270" s="6" t="n">
        <v>2</v>
      </c>
      <c r="H270" s="6" t="n">
        <v>257500</v>
      </c>
      <c r="I270" s="6" t="n">
        <v>154400</v>
      </c>
      <c r="J270" s="6" t="n">
        <v>1269000</v>
      </c>
      <c r="K270" s="6" t="n">
        <v>1011500</v>
      </c>
      <c r="L270" s="6" t="n">
        <v>2</v>
      </c>
      <c r="M270" s="6" t="n">
        <v>1</v>
      </c>
      <c r="N270" s="6" t="n">
        <v>926.7</v>
      </c>
    </row>
    <row r="271" customFormat="false" ht="15" hidden="false" customHeight="false" outlineLevel="0" collapsed="false">
      <c r="A271" s="6" t="s">
        <v>27</v>
      </c>
      <c r="B271" s="6" t="s">
        <v>24</v>
      </c>
      <c r="C271" s="6" t="s">
        <v>50</v>
      </c>
      <c r="D271" s="6" t="s">
        <v>114</v>
      </c>
      <c r="E271" s="6" t="s">
        <v>60</v>
      </c>
      <c r="F271" s="6" t="s">
        <v>58</v>
      </c>
      <c r="G271" s="6" t="n">
        <v>3</v>
      </c>
      <c r="H271" s="6" t="n">
        <v>629900</v>
      </c>
      <c r="I271" s="6" t="n">
        <v>508000</v>
      </c>
      <c r="J271" s="6" t="n">
        <v>3072900</v>
      </c>
      <c r="K271" s="6" t="n">
        <v>2442900</v>
      </c>
      <c r="L271" s="6" t="n">
        <v>3</v>
      </c>
      <c r="M271" s="6" t="n">
        <v>3</v>
      </c>
      <c r="N271" s="6" t="n">
        <v>1194.4</v>
      </c>
    </row>
    <row r="272" customFormat="false" ht="15" hidden="false" customHeight="false" outlineLevel="0" collapsed="false">
      <c r="A272" s="6" t="s">
        <v>27</v>
      </c>
      <c r="B272" s="6" t="s">
        <v>24</v>
      </c>
      <c r="C272" s="6" t="s">
        <v>50</v>
      </c>
      <c r="D272" s="6" t="s">
        <v>114</v>
      </c>
      <c r="E272" s="6" t="s">
        <v>60</v>
      </c>
      <c r="F272" s="6" t="s">
        <v>60</v>
      </c>
      <c r="G272" s="6" t="n">
        <v>9</v>
      </c>
      <c r="H272" s="6" t="n">
        <v>1350900</v>
      </c>
      <c r="I272" s="6" t="n">
        <v>841700</v>
      </c>
      <c r="J272" s="6" t="n">
        <v>9506600</v>
      </c>
      <c r="K272" s="6" t="n">
        <v>8155700</v>
      </c>
      <c r="L272" s="6" t="n">
        <v>9</v>
      </c>
      <c r="M272" s="6" t="n">
        <v>7</v>
      </c>
      <c r="N272" s="6" t="n">
        <v>5644.1</v>
      </c>
    </row>
    <row r="273" customFormat="false" ht="15" hidden="false" customHeight="false" outlineLevel="0" collapsed="false">
      <c r="A273" s="6" t="s">
        <v>27</v>
      </c>
      <c r="B273" s="6" t="s">
        <v>24</v>
      </c>
      <c r="C273" s="6" t="s">
        <v>52</v>
      </c>
      <c r="D273" s="6" t="s">
        <v>111</v>
      </c>
      <c r="E273" s="6" t="s">
        <v>58</v>
      </c>
      <c r="F273" s="6" t="s">
        <v>58</v>
      </c>
      <c r="G273" s="6" t="n">
        <v>18</v>
      </c>
      <c r="H273" s="6" t="n">
        <v>1788000</v>
      </c>
      <c r="I273" s="6" t="n">
        <v>932900</v>
      </c>
      <c r="J273" s="6" t="n">
        <v>11225200</v>
      </c>
      <c r="K273" s="6" t="n">
        <v>9437400</v>
      </c>
      <c r="L273" s="6" t="n">
        <v>18</v>
      </c>
      <c r="M273" s="6" t="n">
        <v>10</v>
      </c>
      <c r="N273" s="6" t="n">
        <v>9947.2</v>
      </c>
    </row>
    <row r="274" customFormat="false" ht="15" hidden="false" customHeight="false" outlineLevel="0" collapsed="false">
      <c r="A274" s="6" t="s">
        <v>27</v>
      </c>
      <c r="B274" s="6" t="s">
        <v>24</v>
      </c>
      <c r="C274" s="6" t="s">
        <v>52</v>
      </c>
      <c r="D274" s="6" t="s">
        <v>111</v>
      </c>
      <c r="E274" s="6" t="s">
        <v>58</v>
      </c>
      <c r="F274" s="6" t="s">
        <v>60</v>
      </c>
      <c r="G274" s="6" t="n">
        <v>45</v>
      </c>
      <c r="H274" s="6" t="n">
        <v>3220500</v>
      </c>
      <c r="I274" s="6" t="n">
        <v>1240500</v>
      </c>
      <c r="J274" s="6" t="n">
        <v>27651800</v>
      </c>
      <c r="K274" s="6" t="n">
        <v>24431100</v>
      </c>
      <c r="L274" s="6" t="n">
        <v>45</v>
      </c>
      <c r="M274" s="6" t="n">
        <v>24</v>
      </c>
      <c r="N274" s="6" t="n">
        <v>34741.2</v>
      </c>
    </row>
    <row r="275" customFormat="false" ht="15" hidden="false" customHeight="false" outlineLevel="0" collapsed="false">
      <c r="A275" s="6" t="s">
        <v>27</v>
      </c>
      <c r="B275" s="6" t="s">
        <v>24</v>
      </c>
      <c r="C275" s="6" t="s">
        <v>52</v>
      </c>
      <c r="D275" s="6" t="s">
        <v>111</v>
      </c>
      <c r="E275" s="6" t="s">
        <v>60</v>
      </c>
      <c r="F275" s="6" t="s">
        <v>58</v>
      </c>
      <c r="G275" s="6" t="n">
        <v>21</v>
      </c>
      <c r="H275" s="6" t="n">
        <v>2177800</v>
      </c>
      <c r="I275" s="6" t="n">
        <v>855000</v>
      </c>
      <c r="J275" s="6" t="n">
        <v>14131400</v>
      </c>
      <c r="K275" s="6" t="n">
        <v>11953500</v>
      </c>
      <c r="L275" s="6" t="n">
        <v>21</v>
      </c>
      <c r="M275" s="6" t="n">
        <v>16</v>
      </c>
      <c r="N275" s="6" t="n">
        <v>11672</v>
      </c>
    </row>
    <row r="276" customFormat="false" ht="15" hidden="false" customHeight="false" outlineLevel="0" collapsed="false">
      <c r="A276" s="6" t="s">
        <v>27</v>
      </c>
      <c r="B276" s="6" t="s">
        <v>24</v>
      </c>
      <c r="C276" s="6" t="s">
        <v>52</v>
      </c>
      <c r="D276" s="6" t="s">
        <v>111</v>
      </c>
      <c r="E276" s="6" t="s">
        <v>60</v>
      </c>
      <c r="F276" s="6" t="s">
        <v>60</v>
      </c>
      <c r="G276" s="6" t="n">
        <v>40</v>
      </c>
      <c r="H276" s="6" t="n">
        <v>2910000</v>
      </c>
      <c r="I276" s="6" t="n">
        <v>1308100</v>
      </c>
      <c r="J276" s="6" t="n">
        <v>29459800</v>
      </c>
      <c r="K276" s="6" t="n">
        <v>26549800</v>
      </c>
      <c r="L276" s="6" t="n">
        <v>40</v>
      </c>
      <c r="M276" s="6" t="n">
        <v>28</v>
      </c>
      <c r="N276" s="6" t="n">
        <v>37728.6</v>
      </c>
    </row>
    <row r="277" customFormat="false" ht="15" hidden="false" customHeight="false" outlineLevel="0" collapsed="false">
      <c r="A277" s="6" t="s">
        <v>27</v>
      </c>
      <c r="B277" s="6" t="s">
        <v>24</v>
      </c>
      <c r="C277" s="6" t="s">
        <v>52</v>
      </c>
      <c r="D277" s="6" t="s">
        <v>112</v>
      </c>
      <c r="E277" s="6" t="s">
        <v>58</v>
      </c>
      <c r="F277" s="6" t="s">
        <v>58</v>
      </c>
      <c r="G277" s="6" t="n">
        <v>20</v>
      </c>
      <c r="H277" s="6" t="n">
        <v>2195300</v>
      </c>
      <c r="I277" s="6" t="n">
        <v>715500</v>
      </c>
      <c r="J277" s="6" t="n">
        <v>10765600</v>
      </c>
      <c r="K277" s="6" t="n">
        <v>8570500</v>
      </c>
      <c r="L277" s="6" t="n">
        <v>20</v>
      </c>
      <c r="M277" s="6" t="n">
        <v>10</v>
      </c>
      <c r="N277" s="6" t="n">
        <v>8322.3</v>
      </c>
    </row>
    <row r="278" customFormat="false" ht="15" hidden="false" customHeight="false" outlineLevel="0" collapsed="false">
      <c r="A278" s="6" t="s">
        <v>27</v>
      </c>
      <c r="B278" s="6" t="s">
        <v>24</v>
      </c>
      <c r="C278" s="6" t="s">
        <v>52</v>
      </c>
      <c r="D278" s="6" t="s">
        <v>112</v>
      </c>
      <c r="E278" s="6" t="s">
        <v>58</v>
      </c>
      <c r="F278" s="6" t="s">
        <v>60</v>
      </c>
      <c r="G278" s="6" t="n">
        <v>48</v>
      </c>
      <c r="H278" s="6" t="n">
        <v>3662200</v>
      </c>
      <c r="I278" s="6" t="n">
        <v>1430500</v>
      </c>
      <c r="J278" s="6" t="n">
        <v>30286600</v>
      </c>
      <c r="K278" s="6" t="n">
        <v>26624700</v>
      </c>
      <c r="L278" s="6" t="n">
        <v>48</v>
      </c>
      <c r="M278" s="6" t="n">
        <v>31</v>
      </c>
      <c r="N278" s="6" t="n">
        <v>35640</v>
      </c>
    </row>
    <row r="279" customFormat="false" ht="15" hidden="false" customHeight="false" outlineLevel="0" collapsed="false">
      <c r="A279" s="6" t="s">
        <v>27</v>
      </c>
      <c r="B279" s="6" t="s">
        <v>24</v>
      </c>
      <c r="C279" s="6" t="s">
        <v>52</v>
      </c>
      <c r="D279" s="6" t="s">
        <v>112</v>
      </c>
      <c r="E279" s="6" t="s">
        <v>60</v>
      </c>
      <c r="F279" s="6" t="s">
        <v>58</v>
      </c>
      <c r="G279" s="6" t="n">
        <v>27</v>
      </c>
      <c r="H279" s="6" t="n">
        <v>2913200</v>
      </c>
      <c r="I279" s="6" t="n">
        <v>1322100</v>
      </c>
      <c r="J279" s="6" t="n">
        <v>16507700</v>
      </c>
      <c r="K279" s="6" t="n">
        <v>13594100</v>
      </c>
      <c r="L279" s="6" t="n">
        <v>27</v>
      </c>
      <c r="M279" s="6" t="n">
        <v>14</v>
      </c>
      <c r="N279" s="6" t="n">
        <v>13160.1</v>
      </c>
    </row>
    <row r="280" customFormat="false" ht="15" hidden="false" customHeight="false" outlineLevel="0" collapsed="false">
      <c r="A280" s="6" t="s">
        <v>27</v>
      </c>
      <c r="B280" s="6" t="s">
        <v>24</v>
      </c>
      <c r="C280" s="6" t="s">
        <v>52</v>
      </c>
      <c r="D280" s="6" t="s">
        <v>112</v>
      </c>
      <c r="E280" s="6" t="s">
        <v>60</v>
      </c>
      <c r="F280" s="6" t="s">
        <v>60</v>
      </c>
      <c r="G280" s="6" t="n">
        <v>57</v>
      </c>
      <c r="H280" s="6" t="n">
        <v>4273200</v>
      </c>
      <c r="I280" s="6" t="n">
        <v>1940900</v>
      </c>
      <c r="J280" s="6" t="n">
        <v>36884800</v>
      </c>
      <c r="K280" s="6" t="n">
        <v>32611700</v>
      </c>
      <c r="L280" s="6" t="n">
        <v>57</v>
      </c>
      <c r="M280" s="6" t="n">
        <v>35</v>
      </c>
      <c r="N280" s="6" t="n">
        <v>44976.1</v>
      </c>
    </row>
    <row r="281" customFormat="false" ht="15" hidden="false" customHeight="false" outlineLevel="0" collapsed="false">
      <c r="A281" s="6" t="s">
        <v>27</v>
      </c>
      <c r="B281" s="6" t="s">
        <v>24</v>
      </c>
      <c r="C281" s="6" t="s">
        <v>52</v>
      </c>
      <c r="D281" s="6" t="s">
        <v>113</v>
      </c>
      <c r="E281" s="6" t="s">
        <v>58</v>
      </c>
      <c r="F281" s="6" t="s">
        <v>58</v>
      </c>
      <c r="G281" s="6" t="n">
        <v>29</v>
      </c>
      <c r="H281" s="6" t="n">
        <v>3293500</v>
      </c>
      <c r="I281" s="6" t="n">
        <v>1794500</v>
      </c>
      <c r="J281" s="6" t="n">
        <v>17709700</v>
      </c>
      <c r="K281" s="6" t="n">
        <v>14416200</v>
      </c>
      <c r="L281" s="6" t="n">
        <v>29</v>
      </c>
      <c r="M281" s="6" t="n">
        <v>15</v>
      </c>
      <c r="N281" s="6" t="n">
        <v>12978.3</v>
      </c>
    </row>
    <row r="282" customFormat="false" ht="15" hidden="false" customHeight="false" outlineLevel="0" collapsed="false">
      <c r="A282" s="6" t="s">
        <v>27</v>
      </c>
      <c r="B282" s="6" t="s">
        <v>24</v>
      </c>
      <c r="C282" s="6" t="s">
        <v>52</v>
      </c>
      <c r="D282" s="6" t="s">
        <v>113</v>
      </c>
      <c r="E282" s="6" t="s">
        <v>58</v>
      </c>
      <c r="F282" s="6" t="s">
        <v>60</v>
      </c>
      <c r="G282" s="6" t="n">
        <v>67</v>
      </c>
      <c r="H282" s="6" t="n">
        <v>5097100</v>
      </c>
      <c r="I282" s="6" t="n">
        <v>2293100</v>
      </c>
      <c r="J282" s="6" t="n">
        <v>43837100</v>
      </c>
      <c r="K282" s="6" t="n">
        <v>38740000</v>
      </c>
      <c r="L282" s="6" t="n">
        <v>67</v>
      </c>
      <c r="M282" s="6" t="n">
        <v>43</v>
      </c>
      <c r="N282" s="6" t="n">
        <v>52812.3</v>
      </c>
    </row>
    <row r="283" customFormat="false" ht="15" hidden="false" customHeight="false" outlineLevel="0" collapsed="false">
      <c r="A283" s="6" t="s">
        <v>27</v>
      </c>
      <c r="B283" s="6" t="s">
        <v>24</v>
      </c>
      <c r="C283" s="6" t="s">
        <v>52</v>
      </c>
      <c r="D283" s="6" t="s">
        <v>113</v>
      </c>
      <c r="E283" s="6" t="s">
        <v>60</v>
      </c>
      <c r="F283" s="6" t="s">
        <v>58</v>
      </c>
      <c r="G283" s="6" t="n">
        <v>30</v>
      </c>
      <c r="H283" s="6" t="n">
        <v>3304400</v>
      </c>
      <c r="I283" s="6" t="n">
        <v>1100300</v>
      </c>
      <c r="J283" s="6" t="n">
        <v>18128700</v>
      </c>
      <c r="K283" s="6" t="n">
        <v>14824000</v>
      </c>
      <c r="L283" s="6" t="n">
        <v>30</v>
      </c>
      <c r="M283" s="6" t="n">
        <v>16</v>
      </c>
      <c r="N283" s="6" t="n">
        <v>14009.9</v>
      </c>
    </row>
    <row r="284" customFormat="false" ht="15" hidden="false" customHeight="false" outlineLevel="0" collapsed="false">
      <c r="A284" s="6" t="s">
        <v>27</v>
      </c>
      <c r="B284" s="6" t="s">
        <v>24</v>
      </c>
      <c r="C284" s="6" t="s">
        <v>52</v>
      </c>
      <c r="D284" s="6" t="s">
        <v>113</v>
      </c>
      <c r="E284" s="6" t="s">
        <v>60</v>
      </c>
      <c r="F284" s="6" t="s">
        <v>60</v>
      </c>
      <c r="G284" s="6" t="n">
        <v>62</v>
      </c>
      <c r="H284" s="6" t="n">
        <v>4630700</v>
      </c>
      <c r="I284" s="6" t="n">
        <v>2037000</v>
      </c>
      <c r="J284" s="6" t="n">
        <v>38242500</v>
      </c>
      <c r="K284" s="6" t="n">
        <v>33611600</v>
      </c>
      <c r="L284" s="6" t="n">
        <v>62</v>
      </c>
      <c r="M284" s="6" t="n">
        <v>40</v>
      </c>
      <c r="N284" s="6" t="n">
        <v>45741.6</v>
      </c>
    </row>
    <row r="285" customFormat="false" ht="15" hidden="false" customHeight="false" outlineLevel="0" collapsed="false">
      <c r="A285" s="6" t="s">
        <v>27</v>
      </c>
      <c r="B285" s="6" t="s">
        <v>24</v>
      </c>
      <c r="C285" s="6" t="s">
        <v>52</v>
      </c>
      <c r="D285" s="6" t="s">
        <v>114</v>
      </c>
      <c r="E285" s="6" t="s">
        <v>58</v>
      </c>
      <c r="F285" s="6" t="s">
        <v>58</v>
      </c>
      <c r="G285" s="6" t="n">
        <v>17</v>
      </c>
      <c r="H285" s="6" t="n">
        <v>1893100</v>
      </c>
      <c r="I285" s="6" t="n">
        <v>916900</v>
      </c>
      <c r="J285" s="6" t="n">
        <v>9187600</v>
      </c>
      <c r="K285" s="6" t="n">
        <v>7294400</v>
      </c>
      <c r="L285" s="6" t="n">
        <v>17</v>
      </c>
      <c r="M285" s="6" t="n">
        <v>7</v>
      </c>
      <c r="N285" s="6" t="n">
        <v>7267.8</v>
      </c>
    </row>
    <row r="286" customFormat="false" ht="15" hidden="false" customHeight="false" outlineLevel="0" collapsed="false">
      <c r="A286" s="6" t="s">
        <v>27</v>
      </c>
      <c r="B286" s="6" t="s">
        <v>24</v>
      </c>
      <c r="C286" s="6" t="s">
        <v>52</v>
      </c>
      <c r="D286" s="6" t="s">
        <v>114</v>
      </c>
      <c r="E286" s="6" t="s">
        <v>58</v>
      </c>
      <c r="F286" s="6" t="s">
        <v>60</v>
      </c>
      <c r="G286" s="6" t="n">
        <v>41</v>
      </c>
      <c r="H286" s="6" t="n">
        <v>3101200</v>
      </c>
      <c r="I286" s="6" t="n">
        <v>1162600</v>
      </c>
      <c r="J286" s="6" t="n">
        <v>26030400</v>
      </c>
      <c r="K286" s="6" t="n">
        <v>22928800</v>
      </c>
      <c r="L286" s="6" t="n">
        <v>41</v>
      </c>
      <c r="M286" s="6" t="n">
        <v>29</v>
      </c>
      <c r="N286" s="6" t="n">
        <v>31953.3</v>
      </c>
    </row>
    <row r="287" customFormat="false" ht="15" hidden="false" customHeight="false" outlineLevel="0" collapsed="false">
      <c r="A287" s="6" t="s">
        <v>27</v>
      </c>
      <c r="B287" s="6" t="s">
        <v>24</v>
      </c>
      <c r="C287" s="6" t="s">
        <v>52</v>
      </c>
      <c r="D287" s="6" t="s">
        <v>114</v>
      </c>
      <c r="E287" s="6" t="s">
        <v>60</v>
      </c>
      <c r="F287" s="6" t="s">
        <v>58</v>
      </c>
      <c r="G287" s="6" t="n">
        <v>20</v>
      </c>
      <c r="H287" s="6" t="n">
        <v>2112200</v>
      </c>
      <c r="I287" s="6" t="n">
        <v>1038700</v>
      </c>
      <c r="J287" s="6" t="n">
        <v>10360700</v>
      </c>
      <c r="K287" s="6" t="n">
        <v>8248200</v>
      </c>
      <c r="L287" s="6" t="n">
        <v>20</v>
      </c>
      <c r="M287" s="6" t="n">
        <v>8</v>
      </c>
      <c r="N287" s="6" t="n">
        <v>8204.9</v>
      </c>
    </row>
    <row r="288" customFormat="false" ht="15" hidden="false" customHeight="false" outlineLevel="0" collapsed="false">
      <c r="A288" s="6" t="s">
        <v>27</v>
      </c>
      <c r="B288" s="6" t="s">
        <v>24</v>
      </c>
      <c r="C288" s="6" t="s">
        <v>52</v>
      </c>
      <c r="D288" s="6" t="s">
        <v>114</v>
      </c>
      <c r="E288" s="6" t="s">
        <v>60</v>
      </c>
      <c r="F288" s="6" t="s">
        <v>60</v>
      </c>
      <c r="G288" s="6" t="n">
        <v>45</v>
      </c>
      <c r="H288" s="6" t="n">
        <v>3273000</v>
      </c>
      <c r="I288" s="6" t="n">
        <v>1260500</v>
      </c>
      <c r="J288" s="6" t="n">
        <v>30272700</v>
      </c>
      <c r="K288" s="6" t="n">
        <v>26999600</v>
      </c>
      <c r="L288" s="6" t="n">
        <v>45</v>
      </c>
      <c r="M288" s="6" t="n">
        <v>31</v>
      </c>
      <c r="N288" s="6" t="n">
        <v>38334.5</v>
      </c>
    </row>
    <row r="289" customFormat="false" ht="15" hidden="false" customHeight="false" outlineLevel="0" collapsed="false">
      <c r="A289" s="6" t="s">
        <v>27</v>
      </c>
      <c r="B289" s="6" t="s">
        <v>24</v>
      </c>
      <c r="C289" s="6" t="s">
        <v>53</v>
      </c>
      <c r="D289" s="6" t="s">
        <v>111</v>
      </c>
      <c r="E289" s="6" t="s">
        <v>58</v>
      </c>
      <c r="F289" s="6" t="s">
        <v>58</v>
      </c>
      <c r="G289" s="6" t="n">
        <v>24</v>
      </c>
      <c r="H289" s="6" t="n">
        <v>1848900</v>
      </c>
      <c r="I289" s="6" t="n">
        <v>700800</v>
      </c>
      <c r="J289" s="6" t="n">
        <v>11329900</v>
      </c>
      <c r="K289" s="6" t="n">
        <v>9480900</v>
      </c>
      <c r="L289" s="6" t="n">
        <v>24</v>
      </c>
      <c r="M289" s="6" t="n">
        <v>8</v>
      </c>
      <c r="N289" s="6" t="n">
        <v>12855.8</v>
      </c>
    </row>
    <row r="290" customFormat="false" ht="15" hidden="false" customHeight="false" outlineLevel="0" collapsed="false">
      <c r="A290" s="6" t="s">
        <v>27</v>
      </c>
      <c r="B290" s="6" t="s">
        <v>24</v>
      </c>
      <c r="C290" s="6" t="s">
        <v>53</v>
      </c>
      <c r="D290" s="6" t="s">
        <v>111</v>
      </c>
      <c r="E290" s="6" t="s">
        <v>58</v>
      </c>
      <c r="F290" s="6" t="s">
        <v>60</v>
      </c>
      <c r="G290" s="6" t="n">
        <v>39</v>
      </c>
      <c r="H290" s="6" t="n">
        <v>2373700</v>
      </c>
      <c r="I290" s="6" t="n">
        <v>992000</v>
      </c>
      <c r="J290" s="6" t="n">
        <v>20705200</v>
      </c>
      <c r="K290" s="6" t="n">
        <v>18331000</v>
      </c>
      <c r="L290" s="6" t="n">
        <v>39</v>
      </c>
      <c r="M290" s="6" t="n">
        <v>23</v>
      </c>
      <c r="N290" s="6" t="n">
        <v>31177.1</v>
      </c>
    </row>
    <row r="291" customFormat="false" ht="15" hidden="false" customHeight="false" outlineLevel="0" collapsed="false">
      <c r="A291" s="6" t="s">
        <v>27</v>
      </c>
      <c r="B291" s="6" t="s">
        <v>24</v>
      </c>
      <c r="C291" s="6" t="s">
        <v>53</v>
      </c>
      <c r="D291" s="6" t="s">
        <v>111</v>
      </c>
      <c r="E291" s="6" t="s">
        <v>60</v>
      </c>
      <c r="F291" s="6" t="s">
        <v>58</v>
      </c>
      <c r="G291" s="6" t="n">
        <v>18</v>
      </c>
      <c r="H291" s="6" t="n">
        <v>1492700</v>
      </c>
      <c r="I291" s="6" t="n">
        <v>928400</v>
      </c>
      <c r="J291" s="6" t="n">
        <v>8862900</v>
      </c>
      <c r="K291" s="6" t="n">
        <v>7369800</v>
      </c>
      <c r="L291" s="6" t="n">
        <v>18</v>
      </c>
      <c r="M291" s="6" t="n">
        <v>7</v>
      </c>
      <c r="N291" s="6" t="n">
        <v>8876.2</v>
      </c>
    </row>
    <row r="292" customFormat="false" ht="15" hidden="false" customHeight="false" outlineLevel="0" collapsed="false">
      <c r="A292" s="6" t="s">
        <v>27</v>
      </c>
      <c r="B292" s="6" t="s">
        <v>24</v>
      </c>
      <c r="C292" s="6" t="s">
        <v>53</v>
      </c>
      <c r="D292" s="6" t="s">
        <v>111</v>
      </c>
      <c r="E292" s="6" t="s">
        <v>60</v>
      </c>
      <c r="F292" s="6" t="s">
        <v>60</v>
      </c>
      <c r="G292" s="6" t="n">
        <v>29</v>
      </c>
      <c r="H292" s="6" t="n">
        <v>1644700</v>
      </c>
      <c r="I292" s="6" t="n">
        <v>840500</v>
      </c>
      <c r="J292" s="6" t="n">
        <v>17097800</v>
      </c>
      <c r="K292" s="6" t="n">
        <v>15453200</v>
      </c>
      <c r="L292" s="6" t="n">
        <v>29</v>
      </c>
      <c r="M292" s="6" t="n">
        <v>18</v>
      </c>
      <c r="N292" s="6" t="n">
        <v>28905.5</v>
      </c>
    </row>
    <row r="293" customFormat="false" ht="15" hidden="false" customHeight="false" outlineLevel="0" collapsed="false">
      <c r="A293" s="6" t="s">
        <v>27</v>
      </c>
      <c r="B293" s="6" t="s">
        <v>24</v>
      </c>
      <c r="C293" s="6" t="s">
        <v>53</v>
      </c>
      <c r="D293" s="6" t="s">
        <v>112</v>
      </c>
      <c r="E293" s="6" t="s">
        <v>58</v>
      </c>
      <c r="F293" s="6" t="s">
        <v>58</v>
      </c>
      <c r="G293" s="6" t="n">
        <v>20</v>
      </c>
      <c r="H293" s="6" t="n">
        <v>1665200</v>
      </c>
      <c r="I293" s="6" t="n">
        <v>781600</v>
      </c>
      <c r="J293" s="6" t="n">
        <v>9204300</v>
      </c>
      <c r="K293" s="6" t="n">
        <v>7539000</v>
      </c>
      <c r="L293" s="6" t="n">
        <v>20</v>
      </c>
      <c r="M293" s="6" t="n">
        <v>4</v>
      </c>
      <c r="N293" s="6" t="n">
        <v>9208</v>
      </c>
    </row>
    <row r="294" customFormat="false" ht="15" hidden="false" customHeight="false" outlineLevel="0" collapsed="false">
      <c r="A294" s="6" t="s">
        <v>27</v>
      </c>
      <c r="B294" s="6" t="s">
        <v>24</v>
      </c>
      <c r="C294" s="6" t="s">
        <v>53</v>
      </c>
      <c r="D294" s="6" t="s">
        <v>112</v>
      </c>
      <c r="E294" s="6" t="s">
        <v>58</v>
      </c>
      <c r="F294" s="6" t="s">
        <v>60</v>
      </c>
      <c r="G294" s="6" t="n">
        <v>31</v>
      </c>
      <c r="H294" s="6" t="n">
        <v>1688700</v>
      </c>
      <c r="I294" s="6" t="n">
        <v>805400</v>
      </c>
      <c r="J294" s="6" t="n">
        <v>16471800</v>
      </c>
      <c r="K294" s="6" t="n">
        <v>14782900</v>
      </c>
      <c r="L294" s="6" t="n">
        <v>31</v>
      </c>
      <c r="M294" s="6" t="n">
        <v>16</v>
      </c>
      <c r="N294" s="6" t="n">
        <v>27569.8</v>
      </c>
    </row>
    <row r="295" customFormat="false" ht="15" hidden="false" customHeight="false" outlineLevel="0" collapsed="false">
      <c r="A295" s="6" t="s">
        <v>27</v>
      </c>
      <c r="B295" s="6" t="s">
        <v>24</v>
      </c>
      <c r="C295" s="6" t="s">
        <v>53</v>
      </c>
      <c r="D295" s="6" t="s">
        <v>112</v>
      </c>
      <c r="E295" s="6" t="s">
        <v>60</v>
      </c>
      <c r="F295" s="6" t="s">
        <v>58</v>
      </c>
      <c r="G295" s="6" t="n">
        <v>19</v>
      </c>
      <c r="H295" s="6" t="n">
        <v>1568900</v>
      </c>
      <c r="I295" s="6" t="n">
        <v>769000</v>
      </c>
      <c r="J295" s="6" t="n">
        <v>9621900</v>
      </c>
      <c r="K295" s="6" t="n">
        <v>8052900</v>
      </c>
      <c r="L295" s="6" t="n">
        <v>19</v>
      </c>
      <c r="M295" s="6" t="n">
        <v>10</v>
      </c>
      <c r="N295" s="6" t="n">
        <v>10685.5</v>
      </c>
    </row>
    <row r="296" customFormat="false" ht="15" hidden="false" customHeight="false" outlineLevel="0" collapsed="false">
      <c r="A296" s="6" t="s">
        <v>27</v>
      </c>
      <c r="B296" s="6" t="s">
        <v>24</v>
      </c>
      <c r="C296" s="6" t="s">
        <v>53</v>
      </c>
      <c r="D296" s="6" t="s">
        <v>112</v>
      </c>
      <c r="E296" s="6" t="s">
        <v>60</v>
      </c>
      <c r="F296" s="6" t="s">
        <v>60</v>
      </c>
      <c r="G296" s="6" t="n">
        <v>32</v>
      </c>
      <c r="H296" s="6" t="n">
        <v>1918700</v>
      </c>
      <c r="I296" s="6" t="n">
        <v>811100</v>
      </c>
      <c r="J296" s="6" t="n">
        <v>18772500</v>
      </c>
      <c r="K296" s="6" t="n">
        <v>16854000</v>
      </c>
      <c r="L296" s="6" t="n">
        <v>32</v>
      </c>
      <c r="M296" s="6" t="n">
        <v>25</v>
      </c>
      <c r="N296" s="6" t="n">
        <v>29768.7</v>
      </c>
    </row>
    <row r="297" customFormat="false" ht="15" hidden="false" customHeight="false" outlineLevel="0" collapsed="false">
      <c r="A297" s="6" t="s">
        <v>27</v>
      </c>
      <c r="B297" s="6" t="s">
        <v>24</v>
      </c>
      <c r="C297" s="6" t="s">
        <v>53</v>
      </c>
      <c r="D297" s="6" t="s">
        <v>113</v>
      </c>
      <c r="E297" s="6" t="s">
        <v>58</v>
      </c>
      <c r="F297" s="6" t="s">
        <v>58</v>
      </c>
      <c r="G297" s="6" t="n">
        <v>26</v>
      </c>
      <c r="H297" s="6" t="n">
        <v>2046000</v>
      </c>
      <c r="I297" s="6" t="n">
        <v>898200</v>
      </c>
      <c r="J297" s="6" t="n">
        <v>12290800</v>
      </c>
      <c r="K297" s="6" t="n">
        <v>10244700</v>
      </c>
      <c r="L297" s="6" t="n">
        <v>26</v>
      </c>
      <c r="M297" s="6" t="n">
        <v>10</v>
      </c>
      <c r="N297" s="6" t="n">
        <v>13484</v>
      </c>
    </row>
    <row r="298" customFormat="false" ht="15" hidden="false" customHeight="false" outlineLevel="0" collapsed="false">
      <c r="A298" s="6" t="s">
        <v>27</v>
      </c>
      <c r="B298" s="6" t="s">
        <v>24</v>
      </c>
      <c r="C298" s="6" t="s">
        <v>53</v>
      </c>
      <c r="D298" s="6" t="s">
        <v>113</v>
      </c>
      <c r="E298" s="6" t="s">
        <v>58</v>
      </c>
      <c r="F298" s="6" t="s">
        <v>60</v>
      </c>
      <c r="G298" s="6" t="n">
        <v>48</v>
      </c>
      <c r="H298" s="6" t="n">
        <v>2822700</v>
      </c>
      <c r="I298" s="6" t="n">
        <v>1156200</v>
      </c>
      <c r="J298" s="6" t="n">
        <v>24224400</v>
      </c>
      <c r="K298" s="6" t="n">
        <v>21401600</v>
      </c>
      <c r="L298" s="6" t="n">
        <v>48</v>
      </c>
      <c r="M298" s="6" t="n">
        <v>23</v>
      </c>
      <c r="N298" s="6" t="n">
        <v>37383.9</v>
      </c>
    </row>
    <row r="299" customFormat="false" ht="15" hidden="false" customHeight="false" outlineLevel="0" collapsed="false">
      <c r="A299" s="6" t="s">
        <v>27</v>
      </c>
      <c r="B299" s="6" t="s">
        <v>24</v>
      </c>
      <c r="C299" s="6" t="s">
        <v>53</v>
      </c>
      <c r="D299" s="6" t="s">
        <v>113</v>
      </c>
      <c r="E299" s="6" t="s">
        <v>60</v>
      </c>
      <c r="F299" s="6" t="s">
        <v>58</v>
      </c>
      <c r="G299" s="6" t="n">
        <v>28</v>
      </c>
      <c r="H299" s="6" t="n">
        <v>2174800</v>
      </c>
      <c r="I299" s="6" t="n">
        <v>978800</v>
      </c>
      <c r="J299" s="6" t="n">
        <v>13740900</v>
      </c>
      <c r="K299" s="6" t="n">
        <v>11566300</v>
      </c>
      <c r="L299" s="6" t="n">
        <v>28</v>
      </c>
      <c r="M299" s="6" t="n">
        <v>13</v>
      </c>
      <c r="N299" s="6" t="n">
        <v>15547.1</v>
      </c>
    </row>
    <row r="300" customFormat="false" ht="15" hidden="false" customHeight="false" outlineLevel="0" collapsed="false">
      <c r="A300" s="6" t="s">
        <v>27</v>
      </c>
      <c r="B300" s="6" t="s">
        <v>24</v>
      </c>
      <c r="C300" s="6" t="s">
        <v>53</v>
      </c>
      <c r="D300" s="6" t="s">
        <v>113</v>
      </c>
      <c r="E300" s="6" t="s">
        <v>60</v>
      </c>
      <c r="F300" s="6" t="s">
        <v>60</v>
      </c>
      <c r="G300" s="6" t="n">
        <v>52</v>
      </c>
      <c r="H300" s="6" t="n">
        <v>2951600</v>
      </c>
      <c r="I300" s="6" t="n">
        <v>1048300</v>
      </c>
      <c r="J300" s="6" t="n">
        <v>28723100</v>
      </c>
      <c r="K300" s="6" t="n">
        <v>25771100</v>
      </c>
      <c r="L300" s="6" t="n">
        <v>52</v>
      </c>
      <c r="M300" s="6" t="n">
        <v>31</v>
      </c>
      <c r="N300" s="6" t="n">
        <v>46856.5</v>
      </c>
    </row>
    <row r="301" customFormat="false" ht="15" hidden="false" customHeight="false" outlineLevel="0" collapsed="false">
      <c r="A301" s="6" t="s">
        <v>27</v>
      </c>
      <c r="B301" s="6" t="s">
        <v>24</v>
      </c>
      <c r="C301" s="6" t="s">
        <v>53</v>
      </c>
      <c r="D301" s="6" t="s">
        <v>114</v>
      </c>
      <c r="E301" s="6" t="s">
        <v>58</v>
      </c>
      <c r="F301" s="6" t="s">
        <v>58</v>
      </c>
      <c r="G301" s="6" t="n">
        <v>20</v>
      </c>
      <c r="H301" s="6" t="n">
        <v>1492200</v>
      </c>
      <c r="I301" s="6" t="n">
        <v>584900</v>
      </c>
      <c r="J301" s="6" t="n">
        <v>8494000</v>
      </c>
      <c r="K301" s="6" t="n">
        <v>7002000</v>
      </c>
      <c r="L301" s="6" t="n">
        <v>20</v>
      </c>
      <c r="M301" s="6" t="n">
        <v>4</v>
      </c>
      <c r="N301" s="6" t="n">
        <v>10080.2</v>
      </c>
    </row>
    <row r="302" customFormat="false" ht="15" hidden="false" customHeight="false" outlineLevel="0" collapsed="false">
      <c r="A302" s="6" t="s">
        <v>27</v>
      </c>
      <c r="B302" s="6" t="s">
        <v>24</v>
      </c>
      <c r="C302" s="6" t="s">
        <v>53</v>
      </c>
      <c r="D302" s="6" t="s">
        <v>114</v>
      </c>
      <c r="E302" s="6" t="s">
        <v>58</v>
      </c>
      <c r="F302" s="6" t="s">
        <v>60</v>
      </c>
      <c r="G302" s="6" t="n">
        <v>29</v>
      </c>
      <c r="H302" s="6" t="n">
        <v>1667600</v>
      </c>
      <c r="I302" s="6" t="n">
        <v>737000</v>
      </c>
      <c r="J302" s="6" t="n">
        <v>14912200</v>
      </c>
      <c r="K302" s="6" t="n">
        <v>13244900</v>
      </c>
      <c r="L302" s="6" t="n">
        <v>29</v>
      </c>
      <c r="M302" s="6" t="n">
        <v>15</v>
      </c>
      <c r="N302" s="6" t="n">
        <v>23834.4</v>
      </c>
    </row>
    <row r="303" customFormat="false" ht="15" hidden="false" customHeight="false" outlineLevel="0" collapsed="false">
      <c r="A303" s="6" t="s">
        <v>27</v>
      </c>
      <c r="B303" s="6" t="s">
        <v>24</v>
      </c>
      <c r="C303" s="6" t="s">
        <v>53</v>
      </c>
      <c r="D303" s="6" t="s">
        <v>114</v>
      </c>
      <c r="E303" s="6" t="s">
        <v>60</v>
      </c>
      <c r="F303" s="6" t="s">
        <v>58</v>
      </c>
      <c r="G303" s="6" t="n">
        <v>12</v>
      </c>
      <c r="H303" s="6" t="n">
        <v>929200</v>
      </c>
      <c r="I303" s="6" t="n">
        <v>324500</v>
      </c>
      <c r="J303" s="6" t="n">
        <v>7806000</v>
      </c>
      <c r="K303" s="6" t="n">
        <v>6876400</v>
      </c>
      <c r="L303" s="6" t="n">
        <v>12</v>
      </c>
      <c r="M303" s="6" t="n">
        <v>8</v>
      </c>
      <c r="N303" s="6" t="n">
        <v>9206.1</v>
      </c>
    </row>
    <row r="304" customFormat="false" ht="15" hidden="false" customHeight="false" outlineLevel="0" collapsed="false">
      <c r="A304" s="6" t="s">
        <v>27</v>
      </c>
      <c r="B304" s="6" t="s">
        <v>24</v>
      </c>
      <c r="C304" s="6" t="s">
        <v>53</v>
      </c>
      <c r="D304" s="6" t="s">
        <v>114</v>
      </c>
      <c r="E304" s="6" t="s">
        <v>60</v>
      </c>
      <c r="F304" s="6" t="s">
        <v>60</v>
      </c>
      <c r="G304" s="6" t="n">
        <v>45</v>
      </c>
      <c r="H304" s="6" t="n">
        <v>2561800</v>
      </c>
      <c r="I304" s="6" t="n">
        <v>1240300</v>
      </c>
      <c r="J304" s="6" t="n">
        <v>25839800</v>
      </c>
      <c r="K304" s="6" t="n">
        <v>23277400</v>
      </c>
      <c r="L304" s="6" t="n">
        <v>45</v>
      </c>
      <c r="M304" s="6" t="n">
        <v>28</v>
      </c>
      <c r="N304" s="6" t="n">
        <v>42365.1</v>
      </c>
    </row>
    <row r="305" customFormat="false" ht="15" hidden="false" customHeight="false" outlineLevel="0" collapsed="false">
      <c r="A305" s="6" t="s">
        <v>27</v>
      </c>
      <c r="B305" s="6" t="s">
        <v>24</v>
      </c>
      <c r="C305" s="6" t="s">
        <v>51</v>
      </c>
      <c r="D305" s="6" t="s">
        <v>111</v>
      </c>
      <c r="E305" s="6" t="s">
        <v>58</v>
      </c>
      <c r="F305" s="6" t="s">
        <v>58</v>
      </c>
      <c r="G305" s="6" t="n">
        <v>8</v>
      </c>
      <c r="H305" s="6" t="n">
        <v>930700</v>
      </c>
      <c r="I305" s="6" t="n">
        <v>361900</v>
      </c>
      <c r="J305" s="6" t="n">
        <v>5551500</v>
      </c>
      <c r="K305" s="6" t="n">
        <v>4620700</v>
      </c>
      <c r="L305" s="6" t="n">
        <v>8</v>
      </c>
      <c r="M305" s="6" t="n">
        <v>6</v>
      </c>
      <c r="N305" s="6" t="n">
        <v>4060.4</v>
      </c>
    </row>
    <row r="306" customFormat="false" ht="15" hidden="false" customHeight="false" outlineLevel="0" collapsed="false">
      <c r="A306" s="6" t="s">
        <v>27</v>
      </c>
      <c r="B306" s="6" t="s">
        <v>24</v>
      </c>
      <c r="C306" s="6" t="s">
        <v>51</v>
      </c>
      <c r="D306" s="6" t="s">
        <v>111</v>
      </c>
      <c r="E306" s="6" t="s">
        <v>58</v>
      </c>
      <c r="F306" s="6" t="s">
        <v>60</v>
      </c>
      <c r="G306" s="6" t="n">
        <v>25</v>
      </c>
      <c r="H306" s="6" t="n">
        <v>2233400</v>
      </c>
      <c r="I306" s="6" t="n">
        <v>794600</v>
      </c>
      <c r="J306" s="6" t="n">
        <v>18149300</v>
      </c>
      <c r="K306" s="6" t="n">
        <v>15915800</v>
      </c>
      <c r="L306" s="6" t="n">
        <v>25</v>
      </c>
      <c r="M306" s="6" t="n">
        <v>19</v>
      </c>
      <c r="N306" s="6" t="n">
        <v>18304.2</v>
      </c>
    </row>
    <row r="307" customFormat="false" ht="15" hidden="false" customHeight="false" outlineLevel="0" collapsed="false">
      <c r="A307" s="6" t="s">
        <v>27</v>
      </c>
      <c r="B307" s="6" t="s">
        <v>24</v>
      </c>
      <c r="C307" s="6" t="s">
        <v>51</v>
      </c>
      <c r="D307" s="6" t="s">
        <v>111</v>
      </c>
      <c r="E307" s="6" t="s">
        <v>60</v>
      </c>
      <c r="F307" s="6" t="s">
        <v>58</v>
      </c>
      <c r="G307" s="6" t="n">
        <v>14</v>
      </c>
      <c r="H307" s="6" t="n">
        <v>1652400</v>
      </c>
      <c r="I307" s="6" t="n">
        <v>534100</v>
      </c>
      <c r="J307" s="6" t="n">
        <v>9699100</v>
      </c>
      <c r="K307" s="6" t="n">
        <v>8046900</v>
      </c>
      <c r="L307" s="6" t="n">
        <v>14</v>
      </c>
      <c r="M307" s="6" t="n">
        <v>10</v>
      </c>
      <c r="N307" s="6" t="n">
        <v>6971.7</v>
      </c>
    </row>
    <row r="308" customFormat="false" ht="15" hidden="false" customHeight="false" outlineLevel="0" collapsed="false">
      <c r="A308" s="6" t="s">
        <v>27</v>
      </c>
      <c r="B308" s="6" t="s">
        <v>24</v>
      </c>
      <c r="C308" s="6" t="s">
        <v>51</v>
      </c>
      <c r="D308" s="6" t="s">
        <v>111</v>
      </c>
      <c r="E308" s="6" t="s">
        <v>60</v>
      </c>
      <c r="F308" s="6" t="s">
        <v>60</v>
      </c>
      <c r="G308" s="6" t="n">
        <v>27</v>
      </c>
      <c r="H308" s="6" t="n">
        <v>2337800</v>
      </c>
      <c r="I308" s="6" t="n">
        <v>953200</v>
      </c>
      <c r="J308" s="6" t="n">
        <v>24501800</v>
      </c>
      <c r="K308" s="6" t="n">
        <v>22163900</v>
      </c>
      <c r="L308" s="6" t="n">
        <v>27</v>
      </c>
      <c r="M308" s="6" t="n">
        <v>25</v>
      </c>
      <c r="N308" s="6" t="n">
        <v>25607.7</v>
      </c>
    </row>
    <row r="309" customFormat="false" ht="15" hidden="false" customHeight="false" outlineLevel="0" collapsed="false">
      <c r="A309" s="6" t="s">
        <v>27</v>
      </c>
      <c r="B309" s="6" t="s">
        <v>24</v>
      </c>
      <c r="C309" s="6" t="s">
        <v>51</v>
      </c>
      <c r="D309" s="6" t="s">
        <v>112</v>
      </c>
      <c r="E309" s="6" t="s">
        <v>58</v>
      </c>
      <c r="F309" s="6" t="s">
        <v>58</v>
      </c>
      <c r="G309" s="6" t="n">
        <v>11</v>
      </c>
      <c r="H309" s="6" t="n">
        <v>1186100</v>
      </c>
      <c r="I309" s="6" t="n">
        <v>498800</v>
      </c>
      <c r="J309" s="6" t="n">
        <v>6146200</v>
      </c>
      <c r="K309" s="6" t="n">
        <v>4960400</v>
      </c>
      <c r="L309" s="6" t="n">
        <v>11</v>
      </c>
      <c r="M309" s="6" t="n">
        <v>6</v>
      </c>
      <c r="N309" s="6" t="n">
        <v>4706.1</v>
      </c>
    </row>
    <row r="310" customFormat="false" ht="15" hidden="false" customHeight="false" outlineLevel="0" collapsed="false">
      <c r="A310" s="6" t="s">
        <v>27</v>
      </c>
      <c r="B310" s="6" t="s">
        <v>24</v>
      </c>
      <c r="C310" s="6" t="s">
        <v>51</v>
      </c>
      <c r="D310" s="6" t="s">
        <v>112</v>
      </c>
      <c r="E310" s="6" t="s">
        <v>58</v>
      </c>
      <c r="F310" s="6" t="s">
        <v>60</v>
      </c>
      <c r="G310" s="6" t="n">
        <v>25</v>
      </c>
      <c r="H310" s="6" t="n">
        <v>2096400</v>
      </c>
      <c r="I310" s="6" t="n">
        <v>1064300</v>
      </c>
      <c r="J310" s="6" t="n">
        <v>20047800</v>
      </c>
      <c r="K310" s="6" t="n">
        <v>17951100</v>
      </c>
      <c r="L310" s="6" t="n">
        <v>25</v>
      </c>
      <c r="M310" s="6" t="n">
        <v>20</v>
      </c>
      <c r="N310" s="6" t="n">
        <v>21630.3</v>
      </c>
    </row>
    <row r="311" customFormat="false" ht="15" hidden="false" customHeight="false" outlineLevel="0" collapsed="false">
      <c r="A311" s="6" t="s">
        <v>27</v>
      </c>
      <c r="B311" s="6" t="s">
        <v>24</v>
      </c>
      <c r="C311" s="6" t="s">
        <v>51</v>
      </c>
      <c r="D311" s="6" t="s">
        <v>112</v>
      </c>
      <c r="E311" s="6" t="s">
        <v>60</v>
      </c>
      <c r="F311" s="6" t="s">
        <v>58</v>
      </c>
      <c r="G311" s="6" t="n">
        <v>12</v>
      </c>
      <c r="H311" s="6" t="n">
        <v>1381300</v>
      </c>
      <c r="I311" s="6" t="n">
        <v>520600</v>
      </c>
      <c r="J311" s="6" t="n">
        <v>8968000</v>
      </c>
      <c r="K311" s="6" t="n">
        <v>7586400</v>
      </c>
      <c r="L311" s="6" t="n">
        <v>12</v>
      </c>
      <c r="M311" s="6" t="n">
        <v>9</v>
      </c>
      <c r="N311" s="6" t="n">
        <v>7384.3</v>
      </c>
    </row>
    <row r="312" customFormat="false" ht="15" hidden="false" customHeight="false" outlineLevel="0" collapsed="false">
      <c r="A312" s="6" t="s">
        <v>27</v>
      </c>
      <c r="B312" s="6" t="s">
        <v>24</v>
      </c>
      <c r="C312" s="6" t="s">
        <v>51</v>
      </c>
      <c r="D312" s="6" t="s">
        <v>112</v>
      </c>
      <c r="E312" s="6" t="s">
        <v>60</v>
      </c>
      <c r="F312" s="6" t="s">
        <v>60</v>
      </c>
      <c r="G312" s="6" t="n">
        <v>31</v>
      </c>
      <c r="H312" s="6" t="n">
        <v>2485300</v>
      </c>
      <c r="I312" s="6" t="n">
        <v>1378800</v>
      </c>
      <c r="J312" s="6" t="n">
        <v>22322500</v>
      </c>
      <c r="K312" s="6" t="n">
        <v>19837600</v>
      </c>
      <c r="L312" s="6" t="n">
        <v>31</v>
      </c>
      <c r="M312" s="6" t="n">
        <v>23</v>
      </c>
      <c r="N312" s="6" t="n">
        <v>25497.4</v>
      </c>
    </row>
    <row r="313" customFormat="false" ht="15" hidden="false" customHeight="false" outlineLevel="0" collapsed="false">
      <c r="A313" s="6" t="s">
        <v>27</v>
      </c>
      <c r="B313" s="6" t="s">
        <v>24</v>
      </c>
      <c r="C313" s="6" t="s">
        <v>51</v>
      </c>
      <c r="D313" s="6" t="s">
        <v>113</v>
      </c>
      <c r="E313" s="6" t="s">
        <v>58</v>
      </c>
      <c r="F313" s="6" t="s">
        <v>58</v>
      </c>
      <c r="G313" s="6" t="n">
        <v>10</v>
      </c>
      <c r="H313" s="6" t="n">
        <v>1240400</v>
      </c>
      <c r="I313" s="6" t="n">
        <v>453200</v>
      </c>
      <c r="J313" s="6" t="n">
        <v>5618400</v>
      </c>
      <c r="K313" s="6" t="n">
        <v>4377900</v>
      </c>
      <c r="L313" s="6" t="n">
        <v>10</v>
      </c>
      <c r="M313" s="6" t="n">
        <v>6</v>
      </c>
      <c r="N313" s="6" t="n">
        <v>3767</v>
      </c>
    </row>
    <row r="314" customFormat="false" ht="15" hidden="false" customHeight="false" outlineLevel="0" collapsed="false">
      <c r="A314" s="6" t="s">
        <v>27</v>
      </c>
      <c r="B314" s="6" t="s">
        <v>24</v>
      </c>
      <c r="C314" s="6" t="s">
        <v>51</v>
      </c>
      <c r="D314" s="6" t="s">
        <v>113</v>
      </c>
      <c r="E314" s="6" t="s">
        <v>58</v>
      </c>
      <c r="F314" s="6" t="s">
        <v>60</v>
      </c>
      <c r="G314" s="6" t="n">
        <v>30</v>
      </c>
      <c r="H314" s="6" t="n">
        <v>2548900</v>
      </c>
      <c r="I314" s="6" t="n">
        <v>1059900</v>
      </c>
      <c r="J314" s="6" t="n">
        <v>20399200</v>
      </c>
      <c r="K314" s="6" t="n">
        <v>17849900</v>
      </c>
      <c r="L314" s="6" t="n">
        <v>30</v>
      </c>
      <c r="M314" s="6" t="n">
        <v>22</v>
      </c>
      <c r="N314" s="6" t="n">
        <v>21491.2</v>
      </c>
    </row>
    <row r="315" customFormat="false" ht="15" hidden="false" customHeight="false" outlineLevel="0" collapsed="false">
      <c r="A315" s="6" t="s">
        <v>27</v>
      </c>
      <c r="B315" s="6" t="s">
        <v>24</v>
      </c>
      <c r="C315" s="6" t="s">
        <v>51</v>
      </c>
      <c r="D315" s="6" t="s">
        <v>113</v>
      </c>
      <c r="E315" s="6" t="s">
        <v>60</v>
      </c>
      <c r="F315" s="6" t="s">
        <v>58</v>
      </c>
      <c r="G315" s="6" t="n">
        <v>17</v>
      </c>
      <c r="H315" s="6" t="n">
        <v>1938600</v>
      </c>
      <c r="I315" s="6" t="n">
        <v>1045000</v>
      </c>
      <c r="J315" s="6" t="n">
        <v>14657400</v>
      </c>
      <c r="K315" s="6" t="n">
        <v>12718800</v>
      </c>
      <c r="L315" s="6" t="n">
        <v>17</v>
      </c>
      <c r="M315" s="6" t="n">
        <v>14</v>
      </c>
      <c r="N315" s="6" t="n">
        <v>11996.9</v>
      </c>
    </row>
    <row r="316" customFormat="false" ht="15" hidden="false" customHeight="false" outlineLevel="0" collapsed="false">
      <c r="A316" s="6" t="s">
        <v>27</v>
      </c>
      <c r="B316" s="6" t="s">
        <v>24</v>
      </c>
      <c r="C316" s="6" t="s">
        <v>51</v>
      </c>
      <c r="D316" s="6" t="s">
        <v>113</v>
      </c>
      <c r="E316" s="6" t="s">
        <v>60</v>
      </c>
      <c r="F316" s="6" t="s">
        <v>60</v>
      </c>
      <c r="G316" s="6" t="n">
        <v>38</v>
      </c>
      <c r="H316" s="6" t="n">
        <v>3246000</v>
      </c>
      <c r="I316" s="6" t="n">
        <v>1300700</v>
      </c>
      <c r="J316" s="6" t="n">
        <v>33163400</v>
      </c>
      <c r="K316" s="6" t="n">
        <v>29917000</v>
      </c>
      <c r="L316" s="6" t="n">
        <v>38</v>
      </c>
      <c r="M316" s="6" t="n">
        <v>32</v>
      </c>
      <c r="N316" s="6" t="n">
        <v>36817.6</v>
      </c>
    </row>
    <row r="317" customFormat="false" ht="15" hidden="false" customHeight="false" outlineLevel="0" collapsed="false">
      <c r="A317" s="6" t="s">
        <v>27</v>
      </c>
      <c r="B317" s="6" t="s">
        <v>24</v>
      </c>
      <c r="C317" s="6" t="s">
        <v>51</v>
      </c>
      <c r="D317" s="6" t="s">
        <v>114</v>
      </c>
      <c r="E317" s="6" t="s">
        <v>58</v>
      </c>
      <c r="F317" s="6" t="s">
        <v>58</v>
      </c>
      <c r="G317" s="6" t="n">
        <v>12</v>
      </c>
      <c r="H317" s="6" t="n">
        <v>1533000</v>
      </c>
      <c r="I317" s="6" t="n">
        <v>674200</v>
      </c>
      <c r="J317" s="6" t="n">
        <v>7270000</v>
      </c>
      <c r="K317" s="6" t="n">
        <v>5737300</v>
      </c>
      <c r="L317" s="6" t="n">
        <v>12</v>
      </c>
      <c r="M317" s="6" t="n">
        <v>9</v>
      </c>
      <c r="N317" s="6" t="n">
        <v>4709.6</v>
      </c>
    </row>
    <row r="318" customFormat="false" ht="15" hidden="false" customHeight="false" outlineLevel="0" collapsed="false">
      <c r="A318" s="6" t="s">
        <v>27</v>
      </c>
      <c r="B318" s="6" t="s">
        <v>24</v>
      </c>
      <c r="C318" s="6" t="s">
        <v>51</v>
      </c>
      <c r="D318" s="6" t="s">
        <v>114</v>
      </c>
      <c r="E318" s="6" t="s">
        <v>58</v>
      </c>
      <c r="F318" s="6" t="s">
        <v>60</v>
      </c>
      <c r="G318" s="6" t="n">
        <v>22</v>
      </c>
      <c r="H318" s="6" t="n">
        <v>1758700</v>
      </c>
      <c r="I318" s="6" t="n">
        <v>840100</v>
      </c>
      <c r="J318" s="6" t="n">
        <v>14112400</v>
      </c>
      <c r="K318" s="6" t="n">
        <v>12354000</v>
      </c>
      <c r="L318" s="6" t="n">
        <v>22</v>
      </c>
      <c r="M318" s="6" t="n">
        <v>15</v>
      </c>
      <c r="N318" s="6" t="n">
        <v>16314.6</v>
      </c>
    </row>
    <row r="319" customFormat="false" ht="15" hidden="false" customHeight="false" outlineLevel="0" collapsed="false">
      <c r="A319" s="6" t="s">
        <v>27</v>
      </c>
      <c r="B319" s="6" t="s">
        <v>24</v>
      </c>
      <c r="C319" s="6" t="s">
        <v>51</v>
      </c>
      <c r="D319" s="6" t="s">
        <v>114</v>
      </c>
      <c r="E319" s="6" t="s">
        <v>60</v>
      </c>
      <c r="F319" s="6" t="s">
        <v>58</v>
      </c>
      <c r="G319" s="6" t="n">
        <v>4</v>
      </c>
      <c r="H319" s="6" t="n">
        <v>398100</v>
      </c>
      <c r="I319" s="6" t="n">
        <v>332200</v>
      </c>
      <c r="J319" s="6" t="n">
        <v>2787700</v>
      </c>
      <c r="K319" s="6" t="n">
        <v>2389600</v>
      </c>
      <c r="L319" s="6" t="n">
        <v>4</v>
      </c>
      <c r="M319" s="6" t="n">
        <v>4</v>
      </c>
      <c r="N319" s="6" t="n">
        <v>2609.2</v>
      </c>
    </row>
    <row r="320" customFormat="false" ht="15" hidden="false" customHeight="false" outlineLevel="0" collapsed="false">
      <c r="A320" s="6" t="s">
        <v>27</v>
      </c>
      <c r="B320" s="6" t="s">
        <v>24</v>
      </c>
      <c r="C320" s="6" t="s">
        <v>51</v>
      </c>
      <c r="D320" s="6" t="s">
        <v>114</v>
      </c>
      <c r="E320" s="6" t="s">
        <v>60</v>
      </c>
      <c r="F320" s="6" t="s">
        <v>60</v>
      </c>
      <c r="G320" s="6" t="n">
        <v>25</v>
      </c>
      <c r="H320" s="6" t="n">
        <v>1960800</v>
      </c>
      <c r="I320" s="6" t="n">
        <v>789100</v>
      </c>
      <c r="J320" s="6" t="n">
        <v>20307800</v>
      </c>
      <c r="K320" s="6" t="n">
        <v>18346700</v>
      </c>
      <c r="L320" s="6" t="n">
        <v>25</v>
      </c>
      <c r="M320" s="6" t="n">
        <v>22</v>
      </c>
      <c r="N320" s="6" t="n">
        <v>23804.4</v>
      </c>
    </row>
    <row r="321" customFormat="false" ht="15" hidden="false" customHeight="false" outlineLevel="0" collapsed="false">
      <c r="A321" s="6" t="s">
        <v>37</v>
      </c>
      <c r="B321" s="6" t="s">
        <v>38</v>
      </c>
      <c r="C321" s="6" t="s">
        <v>54</v>
      </c>
      <c r="D321" s="6" t="s">
        <v>111</v>
      </c>
      <c r="E321" s="6" t="s">
        <v>58</v>
      </c>
      <c r="F321" s="6" t="s">
        <v>58</v>
      </c>
      <c r="G321" s="6" t="n">
        <v>8</v>
      </c>
      <c r="H321" s="6" t="n">
        <v>1081400</v>
      </c>
      <c r="I321" s="6" t="n">
        <v>438800</v>
      </c>
      <c r="J321" s="6" t="n">
        <v>682100</v>
      </c>
      <c r="K321" s="6" t="n">
        <v>-399200</v>
      </c>
      <c r="L321" s="6" t="n">
        <v>0</v>
      </c>
      <c r="M321" s="6" t="n">
        <v>0</v>
      </c>
      <c r="N321" s="6" t="n">
        <v>-279.3</v>
      </c>
    </row>
    <row r="322" customFormat="false" ht="15" hidden="false" customHeight="false" outlineLevel="0" collapsed="false">
      <c r="A322" s="6" t="s">
        <v>37</v>
      </c>
      <c r="B322" s="6" t="s">
        <v>38</v>
      </c>
      <c r="C322" s="6" t="s">
        <v>54</v>
      </c>
      <c r="D322" s="6" t="s">
        <v>111</v>
      </c>
      <c r="E322" s="6" t="s">
        <v>58</v>
      </c>
      <c r="F322" s="6" t="s">
        <v>60</v>
      </c>
      <c r="G322" s="6" t="n">
        <v>22</v>
      </c>
      <c r="H322" s="6" t="n">
        <v>2256800</v>
      </c>
      <c r="I322" s="6" t="n">
        <v>1080800</v>
      </c>
      <c r="J322" s="6" t="n">
        <v>1846400</v>
      </c>
      <c r="K322" s="6" t="n">
        <v>-410600</v>
      </c>
      <c r="L322" s="6" t="n">
        <v>5</v>
      </c>
      <c r="M322" s="6" t="n">
        <v>0</v>
      </c>
      <c r="N322" s="6" t="n">
        <v>-368.1</v>
      </c>
    </row>
    <row r="323" customFormat="false" ht="15" hidden="false" customHeight="false" outlineLevel="0" collapsed="false">
      <c r="A323" s="6" t="s">
        <v>37</v>
      </c>
      <c r="B323" s="6" t="s">
        <v>38</v>
      </c>
      <c r="C323" s="6" t="s">
        <v>54</v>
      </c>
      <c r="D323" s="6" t="s">
        <v>111</v>
      </c>
      <c r="E323" s="6" t="s">
        <v>60</v>
      </c>
      <c r="F323" s="6" t="s">
        <v>58</v>
      </c>
      <c r="G323" s="6" t="n">
        <v>4</v>
      </c>
      <c r="H323" s="6" t="n">
        <v>742900</v>
      </c>
      <c r="I323" s="6" t="n">
        <v>343000</v>
      </c>
      <c r="J323" s="6" t="n">
        <v>554900</v>
      </c>
      <c r="K323" s="6" t="n">
        <v>-188100</v>
      </c>
      <c r="L323" s="6" t="n">
        <v>1</v>
      </c>
      <c r="M323" s="6" t="n">
        <v>0</v>
      </c>
      <c r="N323" s="6" t="n">
        <v>-88.2</v>
      </c>
    </row>
    <row r="324" customFormat="false" ht="15" hidden="false" customHeight="false" outlineLevel="0" collapsed="false">
      <c r="A324" s="6" t="s">
        <v>37</v>
      </c>
      <c r="B324" s="6" t="s">
        <v>38</v>
      </c>
      <c r="C324" s="6" t="s">
        <v>54</v>
      </c>
      <c r="D324" s="6" t="s">
        <v>111</v>
      </c>
      <c r="E324" s="6" t="s">
        <v>60</v>
      </c>
      <c r="F324" s="6" t="s">
        <v>60</v>
      </c>
      <c r="G324" s="6" t="n">
        <v>9</v>
      </c>
      <c r="H324" s="6" t="n">
        <v>928800</v>
      </c>
      <c r="I324" s="6" t="n">
        <v>467300</v>
      </c>
      <c r="J324" s="6" t="n">
        <v>1005100</v>
      </c>
      <c r="K324" s="6" t="n">
        <v>76200</v>
      </c>
      <c r="L324" s="6" t="n">
        <v>5</v>
      </c>
      <c r="M324" s="6" t="n">
        <v>0</v>
      </c>
      <c r="N324" s="6" t="n">
        <v>81.4</v>
      </c>
    </row>
    <row r="325" customFormat="false" ht="15" hidden="false" customHeight="false" outlineLevel="0" collapsed="false">
      <c r="A325" s="6" t="s">
        <v>37</v>
      </c>
      <c r="B325" s="6" t="s">
        <v>38</v>
      </c>
      <c r="C325" s="6" t="s">
        <v>54</v>
      </c>
      <c r="D325" s="6" t="s">
        <v>112</v>
      </c>
      <c r="E325" s="6" t="s">
        <v>58</v>
      </c>
      <c r="F325" s="6" t="s">
        <v>58</v>
      </c>
      <c r="G325" s="6" t="n">
        <v>8</v>
      </c>
      <c r="H325" s="6" t="n">
        <v>1048300</v>
      </c>
      <c r="I325" s="6" t="n">
        <v>436500</v>
      </c>
      <c r="J325" s="6" t="n">
        <v>677300</v>
      </c>
      <c r="K325" s="6" t="n">
        <v>-371000</v>
      </c>
      <c r="L325" s="6" t="n">
        <v>2</v>
      </c>
      <c r="M325" s="6" t="n">
        <v>0</v>
      </c>
      <c r="N325" s="6" t="n">
        <v>-257.8</v>
      </c>
    </row>
    <row r="326" customFormat="false" ht="15" hidden="false" customHeight="false" outlineLevel="0" collapsed="false">
      <c r="A326" s="6" t="s">
        <v>37</v>
      </c>
      <c r="B326" s="6" t="s">
        <v>38</v>
      </c>
      <c r="C326" s="6" t="s">
        <v>54</v>
      </c>
      <c r="D326" s="6" t="s">
        <v>112</v>
      </c>
      <c r="E326" s="6" t="s">
        <v>58</v>
      </c>
      <c r="F326" s="6" t="s">
        <v>60</v>
      </c>
      <c r="G326" s="6" t="n">
        <v>17</v>
      </c>
      <c r="H326" s="6" t="n">
        <v>1806300</v>
      </c>
      <c r="I326" s="6" t="n">
        <v>1078500</v>
      </c>
      <c r="J326" s="6" t="n">
        <v>1696400</v>
      </c>
      <c r="K326" s="6" t="n">
        <v>-109900</v>
      </c>
      <c r="L326" s="6" t="n">
        <v>5</v>
      </c>
      <c r="M326" s="6" t="n">
        <v>0</v>
      </c>
      <c r="N326" s="6" t="n">
        <v>-53.5</v>
      </c>
    </row>
    <row r="327" customFormat="false" ht="15" hidden="false" customHeight="false" outlineLevel="0" collapsed="false">
      <c r="A327" s="6" t="s">
        <v>37</v>
      </c>
      <c r="B327" s="6" t="s">
        <v>38</v>
      </c>
      <c r="C327" s="6" t="s">
        <v>54</v>
      </c>
      <c r="D327" s="6" t="s">
        <v>112</v>
      </c>
      <c r="E327" s="6" t="s">
        <v>60</v>
      </c>
      <c r="F327" s="6" t="s">
        <v>58</v>
      </c>
      <c r="G327" s="6" t="n">
        <v>8</v>
      </c>
      <c r="H327" s="6" t="n">
        <v>1094300</v>
      </c>
      <c r="I327" s="6" t="n">
        <v>341800</v>
      </c>
      <c r="J327" s="6" t="n">
        <v>693500</v>
      </c>
      <c r="K327" s="6" t="n">
        <v>-400900</v>
      </c>
      <c r="L327" s="6" t="n">
        <v>1</v>
      </c>
      <c r="M327" s="6" t="n">
        <v>0</v>
      </c>
      <c r="N327" s="6" t="n">
        <v>-292.4</v>
      </c>
    </row>
    <row r="328" customFormat="false" ht="15" hidden="false" customHeight="false" outlineLevel="0" collapsed="false">
      <c r="A328" s="6" t="s">
        <v>37</v>
      </c>
      <c r="B328" s="6" t="s">
        <v>38</v>
      </c>
      <c r="C328" s="6" t="s">
        <v>54</v>
      </c>
      <c r="D328" s="6" t="s">
        <v>112</v>
      </c>
      <c r="E328" s="6" t="s">
        <v>60</v>
      </c>
      <c r="F328" s="6" t="s">
        <v>60</v>
      </c>
      <c r="G328" s="6" t="n">
        <v>10</v>
      </c>
      <c r="H328" s="6" t="n">
        <v>1113800</v>
      </c>
      <c r="I328" s="6" t="n">
        <v>309300</v>
      </c>
      <c r="J328" s="6" t="n">
        <v>981200</v>
      </c>
      <c r="K328" s="6" t="n">
        <v>-132500</v>
      </c>
      <c r="L328" s="6" t="n">
        <v>3</v>
      </c>
      <c r="M328" s="6" t="n">
        <v>0</v>
      </c>
      <c r="N328" s="6" t="n">
        <v>-43.2</v>
      </c>
    </row>
    <row r="329" customFormat="false" ht="15" hidden="false" customHeight="false" outlineLevel="0" collapsed="false">
      <c r="A329" s="6" t="s">
        <v>37</v>
      </c>
      <c r="B329" s="6" t="s">
        <v>38</v>
      </c>
      <c r="C329" s="6" t="s">
        <v>54</v>
      </c>
      <c r="D329" s="6" t="s">
        <v>113</v>
      </c>
      <c r="E329" s="6" t="s">
        <v>58</v>
      </c>
      <c r="F329" s="6" t="s">
        <v>58</v>
      </c>
      <c r="G329" s="6" t="n">
        <v>14</v>
      </c>
      <c r="H329" s="6" t="n">
        <v>2035000</v>
      </c>
      <c r="I329" s="6" t="n">
        <v>1199100</v>
      </c>
      <c r="J329" s="6" t="n">
        <v>1302900</v>
      </c>
      <c r="K329" s="6" t="n">
        <v>-732200</v>
      </c>
      <c r="L329" s="6" t="n">
        <v>2</v>
      </c>
      <c r="M329" s="6" t="n">
        <v>0</v>
      </c>
      <c r="N329" s="6" t="n">
        <v>-486.9</v>
      </c>
    </row>
    <row r="330" customFormat="false" ht="15" hidden="false" customHeight="false" outlineLevel="0" collapsed="false">
      <c r="A330" s="6" t="s">
        <v>37</v>
      </c>
      <c r="B330" s="6" t="s">
        <v>38</v>
      </c>
      <c r="C330" s="6" t="s">
        <v>54</v>
      </c>
      <c r="D330" s="6" t="s">
        <v>113</v>
      </c>
      <c r="E330" s="6" t="s">
        <v>58</v>
      </c>
      <c r="F330" s="6" t="s">
        <v>60</v>
      </c>
      <c r="G330" s="6" t="n">
        <v>29</v>
      </c>
      <c r="H330" s="6" t="n">
        <v>3058000</v>
      </c>
      <c r="I330" s="6" t="n">
        <v>1436900</v>
      </c>
      <c r="J330" s="6" t="n">
        <v>2846200</v>
      </c>
      <c r="K330" s="6" t="n">
        <v>-212200</v>
      </c>
      <c r="L330" s="6" t="n">
        <v>11</v>
      </c>
      <c r="M330" s="6" t="n">
        <v>0</v>
      </c>
      <c r="N330" s="6" t="n">
        <v>-182.1</v>
      </c>
    </row>
    <row r="331" customFormat="false" ht="15" hidden="false" customHeight="false" outlineLevel="0" collapsed="false">
      <c r="A331" s="6" t="s">
        <v>37</v>
      </c>
      <c r="B331" s="6" t="s">
        <v>38</v>
      </c>
      <c r="C331" s="6" t="s">
        <v>54</v>
      </c>
      <c r="D331" s="6" t="s">
        <v>113</v>
      </c>
      <c r="E331" s="6" t="s">
        <v>60</v>
      </c>
      <c r="F331" s="6" t="s">
        <v>58</v>
      </c>
      <c r="G331" s="6" t="n">
        <v>5</v>
      </c>
      <c r="H331" s="6" t="n">
        <v>726800</v>
      </c>
      <c r="I331" s="6" t="n">
        <v>342300</v>
      </c>
      <c r="J331" s="6" t="n">
        <v>522400</v>
      </c>
      <c r="K331" s="6" t="n">
        <v>-204300</v>
      </c>
      <c r="L331" s="6" t="n">
        <v>0</v>
      </c>
      <c r="M331" s="6" t="n">
        <v>0</v>
      </c>
      <c r="N331" s="6" t="n">
        <v>-113.5</v>
      </c>
    </row>
    <row r="332" customFormat="false" ht="15" hidden="false" customHeight="false" outlineLevel="0" collapsed="false">
      <c r="A332" s="6" t="s">
        <v>37</v>
      </c>
      <c r="B332" s="6" t="s">
        <v>38</v>
      </c>
      <c r="C332" s="6" t="s">
        <v>54</v>
      </c>
      <c r="D332" s="6" t="s">
        <v>113</v>
      </c>
      <c r="E332" s="6" t="s">
        <v>60</v>
      </c>
      <c r="F332" s="6" t="s">
        <v>60</v>
      </c>
      <c r="G332" s="6" t="n">
        <v>15</v>
      </c>
      <c r="H332" s="6" t="n">
        <v>1524800</v>
      </c>
      <c r="I332" s="6" t="n">
        <v>833300</v>
      </c>
      <c r="J332" s="6" t="n">
        <v>1570300</v>
      </c>
      <c r="K332" s="6" t="n">
        <v>45600</v>
      </c>
      <c r="L332" s="6" t="n">
        <v>5</v>
      </c>
      <c r="M332" s="6" t="n">
        <v>0</v>
      </c>
      <c r="N332" s="6" t="n">
        <v>32.7</v>
      </c>
    </row>
    <row r="333" customFormat="false" ht="15" hidden="false" customHeight="false" outlineLevel="0" collapsed="false">
      <c r="A333" s="6" t="s">
        <v>37</v>
      </c>
      <c r="B333" s="6" t="s">
        <v>38</v>
      </c>
      <c r="C333" s="6" t="s">
        <v>54</v>
      </c>
      <c r="D333" s="6" t="s">
        <v>114</v>
      </c>
      <c r="E333" s="6" t="s">
        <v>58</v>
      </c>
      <c r="F333" s="6" t="s">
        <v>58</v>
      </c>
      <c r="G333" s="6" t="n">
        <v>4</v>
      </c>
      <c r="H333" s="6" t="n">
        <v>625900</v>
      </c>
      <c r="I333" s="6" t="n">
        <v>91600</v>
      </c>
      <c r="J333" s="6" t="n">
        <v>337300</v>
      </c>
      <c r="K333" s="6" t="n">
        <v>-288700</v>
      </c>
      <c r="L333" s="6" t="n">
        <v>0</v>
      </c>
      <c r="M333" s="6" t="n">
        <v>0</v>
      </c>
      <c r="N333" s="6" t="n">
        <v>-183.3</v>
      </c>
    </row>
    <row r="334" customFormat="false" ht="15" hidden="false" customHeight="false" outlineLevel="0" collapsed="false">
      <c r="A334" s="6" t="s">
        <v>37</v>
      </c>
      <c r="B334" s="6" t="s">
        <v>38</v>
      </c>
      <c r="C334" s="6" t="s">
        <v>54</v>
      </c>
      <c r="D334" s="6" t="s">
        <v>114</v>
      </c>
      <c r="E334" s="6" t="s">
        <v>58</v>
      </c>
      <c r="F334" s="6" t="s">
        <v>60</v>
      </c>
      <c r="G334" s="6" t="n">
        <v>11</v>
      </c>
      <c r="H334" s="6" t="n">
        <v>1271000</v>
      </c>
      <c r="I334" s="6" t="n">
        <v>530500</v>
      </c>
      <c r="J334" s="6" t="n">
        <v>1339600</v>
      </c>
      <c r="K334" s="6" t="n">
        <v>68400</v>
      </c>
      <c r="L334" s="6" t="n">
        <v>5</v>
      </c>
      <c r="M334" s="6" t="n">
        <v>0</v>
      </c>
      <c r="N334" s="6" t="n">
        <v>85.2</v>
      </c>
    </row>
    <row r="335" customFormat="false" ht="15" hidden="false" customHeight="false" outlineLevel="0" collapsed="false">
      <c r="A335" s="6" t="s">
        <v>37</v>
      </c>
      <c r="B335" s="6" t="s">
        <v>38</v>
      </c>
      <c r="C335" s="6" t="s">
        <v>54</v>
      </c>
      <c r="D335" s="6" t="s">
        <v>114</v>
      </c>
      <c r="E335" s="6" t="s">
        <v>60</v>
      </c>
      <c r="F335" s="6" t="s">
        <v>58</v>
      </c>
      <c r="G335" s="6" t="n">
        <v>7</v>
      </c>
      <c r="H335" s="6" t="n">
        <v>1083400</v>
      </c>
      <c r="I335" s="6" t="n">
        <v>472100</v>
      </c>
      <c r="J335" s="6" t="n">
        <v>651600</v>
      </c>
      <c r="K335" s="6" t="n">
        <v>-432000</v>
      </c>
      <c r="L335" s="6" t="n">
        <v>1</v>
      </c>
      <c r="M335" s="6" t="n">
        <v>0</v>
      </c>
      <c r="N335" s="6" t="n">
        <v>-265.6</v>
      </c>
    </row>
    <row r="336" customFormat="false" ht="15" hidden="false" customHeight="false" outlineLevel="0" collapsed="false">
      <c r="A336" s="6" t="s">
        <v>37</v>
      </c>
      <c r="B336" s="6" t="s">
        <v>38</v>
      </c>
      <c r="C336" s="6" t="s">
        <v>54</v>
      </c>
      <c r="D336" s="6" t="s">
        <v>114</v>
      </c>
      <c r="E336" s="6" t="s">
        <v>60</v>
      </c>
      <c r="F336" s="6" t="s">
        <v>60</v>
      </c>
      <c r="G336" s="6" t="n">
        <v>8</v>
      </c>
      <c r="H336" s="6" t="n">
        <v>876700</v>
      </c>
      <c r="I336" s="6" t="n">
        <v>317900</v>
      </c>
      <c r="J336" s="6" t="n">
        <v>746100</v>
      </c>
      <c r="K336" s="6" t="n">
        <v>-130600</v>
      </c>
      <c r="L336" s="6" t="n">
        <v>2</v>
      </c>
      <c r="M336" s="6" t="n">
        <v>0</v>
      </c>
      <c r="N336" s="6" t="n">
        <v>-87.2</v>
      </c>
    </row>
    <row r="337" customFormat="false" ht="15" hidden="false" customHeight="false" outlineLevel="0" collapsed="false">
      <c r="A337" s="6" t="s">
        <v>37</v>
      </c>
      <c r="B337" s="6" t="s">
        <v>38</v>
      </c>
      <c r="C337" s="6" t="s">
        <v>50</v>
      </c>
      <c r="D337" s="6" t="s">
        <v>111</v>
      </c>
      <c r="E337" s="6" t="s">
        <v>58</v>
      </c>
      <c r="F337" s="6" t="s">
        <v>58</v>
      </c>
      <c r="G337" s="6" t="n">
        <v>4</v>
      </c>
      <c r="H337" s="6" t="n">
        <v>637800</v>
      </c>
      <c r="I337" s="6" t="n">
        <v>412600</v>
      </c>
      <c r="J337" s="6" t="n">
        <v>761100</v>
      </c>
      <c r="K337" s="6" t="n">
        <v>123400</v>
      </c>
      <c r="L337" s="6" t="n">
        <v>2</v>
      </c>
      <c r="M337" s="6" t="n">
        <v>0</v>
      </c>
      <c r="N337" s="6" t="n">
        <v>88.2</v>
      </c>
    </row>
    <row r="338" customFormat="false" ht="15" hidden="false" customHeight="false" outlineLevel="0" collapsed="false">
      <c r="A338" s="6" t="s">
        <v>37</v>
      </c>
      <c r="B338" s="6" t="s">
        <v>38</v>
      </c>
      <c r="C338" s="6" t="s">
        <v>50</v>
      </c>
      <c r="D338" s="6" t="s">
        <v>111</v>
      </c>
      <c r="E338" s="6" t="s">
        <v>58</v>
      </c>
      <c r="F338" s="6" t="s">
        <v>60</v>
      </c>
      <c r="G338" s="6" t="n">
        <v>12</v>
      </c>
      <c r="H338" s="6" t="n">
        <v>1730600</v>
      </c>
      <c r="I338" s="6" t="n">
        <v>624300</v>
      </c>
      <c r="J338" s="6" t="n">
        <v>2197800</v>
      </c>
      <c r="K338" s="6" t="n">
        <v>466900</v>
      </c>
      <c r="L338" s="6" t="n">
        <v>11</v>
      </c>
      <c r="M338" s="6" t="n">
        <v>0</v>
      </c>
      <c r="N338" s="6" t="n">
        <v>384.2</v>
      </c>
    </row>
    <row r="339" customFormat="false" ht="15" hidden="false" customHeight="false" outlineLevel="0" collapsed="false">
      <c r="A339" s="6" t="s">
        <v>37</v>
      </c>
      <c r="B339" s="6" t="s">
        <v>38</v>
      </c>
      <c r="C339" s="6" t="s">
        <v>50</v>
      </c>
      <c r="D339" s="6" t="s">
        <v>111</v>
      </c>
      <c r="E339" s="6" t="s">
        <v>60</v>
      </c>
      <c r="F339" s="6" t="s">
        <v>58</v>
      </c>
      <c r="G339" s="6" t="n">
        <v>2</v>
      </c>
      <c r="H339" s="6" t="n">
        <v>455600</v>
      </c>
      <c r="I339" s="6" t="n">
        <v>156800</v>
      </c>
      <c r="J339" s="6" t="n">
        <v>573000</v>
      </c>
      <c r="K339" s="6" t="n">
        <v>117400</v>
      </c>
      <c r="L339" s="6" t="n">
        <v>2</v>
      </c>
      <c r="M339" s="6" t="n">
        <v>0</v>
      </c>
      <c r="N339" s="6" t="n">
        <v>51.1</v>
      </c>
    </row>
    <row r="340" customFormat="false" ht="15" hidden="false" customHeight="false" outlineLevel="0" collapsed="false">
      <c r="A340" s="6" t="s">
        <v>37</v>
      </c>
      <c r="B340" s="6" t="s">
        <v>38</v>
      </c>
      <c r="C340" s="6" t="s">
        <v>50</v>
      </c>
      <c r="D340" s="6" t="s">
        <v>111</v>
      </c>
      <c r="E340" s="6" t="s">
        <v>60</v>
      </c>
      <c r="F340" s="6" t="s">
        <v>60</v>
      </c>
      <c r="G340" s="6" t="n">
        <v>3</v>
      </c>
      <c r="H340" s="6" t="n">
        <v>424400</v>
      </c>
      <c r="I340" s="6" t="n">
        <v>0</v>
      </c>
      <c r="J340" s="6" t="n">
        <v>799500</v>
      </c>
      <c r="K340" s="6" t="n">
        <v>375300</v>
      </c>
      <c r="L340" s="6" t="n">
        <v>3</v>
      </c>
      <c r="M340" s="6" t="n">
        <v>0</v>
      </c>
      <c r="N340" s="6" t="n">
        <v>303</v>
      </c>
    </row>
    <row r="341" customFormat="false" ht="15" hidden="false" customHeight="false" outlineLevel="0" collapsed="false">
      <c r="A341" s="6" t="s">
        <v>37</v>
      </c>
      <c r="B341" s="6" t="s">
        <v>38</v>
      </c>
      <c r="C341" s="6" t="s">
        <v>50</v>
      </c>
      <c r="D341" s="6" t="s">
        <v>112</v>
      </c>
      <c r="E341" s="6" t="s">
        <v>58</v>
      </c>
      <c r="F341" s="6" t="s">
        <v>58</v>
      </c>
      <c r="G341" s="6" t="n">
        <v>7</v>
      </c>
      <c r="H341" s="6" t="n">
        <v>1374700</v>
      </c>
      <c r="I341" s="6" t="n">
        <v>302400</v>
      </c>
      <c r="J341" s="6" t="n">
        <v>1170000</v>
      </c>
      <c r="K341" s="6" t="n">
        <v>-204800</v>
      </c>
      <c r="L341" s="6" t="n">
        <v>2</v>
      </c>
      <c r="M341" s="6" t="n">
        <v>0</v>
      </c>
      <c r="N341" s="6" t="n">
        <v>-43</v>
      </c>
    </row>
    <row r="342" customFormat="false" ht="15" hidden="false" customHeight="false" outlineLevel="0" collapsed="false">
      <c r="A342" s="6" t="s">
        <v>37</v>
      </c>
      <c r="B342" s="6" t="s">
        <v>38</v>
      </c>
      <c r="C342" s="6" t="s">
        <v>50</v>
      </c>
      <c r="D342" s="6" t="s">
        <v>112</v>
      </c>
      <c r="E342" s="6" t="s">
        <v>58</v>
      </c>
      <c r="F342" s="6" t="s">
        <v>60</v>
      </c>
      <c r="G342" s="6" t="n">
        <v>13</v>
      </c>
      <c r="H342" s="6" t="n">
        <v>2085900</v>
      </c>
      <c r="I342" s="6" t="n">
        <v>1063600</v>
      </c>
      <c r="J342" s="6" t="n">
        <v>3466100</v>
      </c>
      <c r="K342" s="6" t="n">
        <v>1380400</v>
      </c>
      <c r="L342" s="6" t="n">
        <v>12</v>
      </c>
      <c r="M342" s="6" t="n">
        <v>0</v>
      </c>
      <c r="N342" s="6" t="n">
        <v>974.7</v>
      </c>
    </row>
    <row r="343" customFormat="false" ht="15" hidden="false" customHeight="false" outlineLevel="0" collapsed="false">
      <c r="A343" s="6" t="s">
        <v>37</v>
      </c>
      <c r="B343" s="6" t="s">
        <v>38</v>
      </c>
      <c r="C343" s="6" t="s">
        <v>50</v>
      </c>
      <c r="D343" s="6" t="s">
        <v>112</v>
      </c>
      <c r="E343" s="6" t="s">
        <v>60</v>
      </c>
      <c r="F343" s="6" t="s">
        <v>58</v>
      </c>
      <c r="G343" s="6" t="n">
        <v>6</v>
      </c>
      <c r="H343" s="6" t="n">
        <v>1193100</v>
      </c>
      <c r="I343" s="6" t="n">
        <v>406200</v>
      </c>
      <c r="J343" s="6" t="n">
        <v>1263000</v>
      </c>
      <c r="K343" s="6" t="n">
        <v>70000</v>
      </c>
      <c r="L343" s="6" t="n">
        <v>3</v>
      </c>
      <c r="M343" s="6" t="n">
        <v>0</v>
      </c>
      <c r="N343" s="6" t="n">
        <v>65.6</v>
      </c>
    </row>
    <row r="344" customFormat="false" ht="15" hidden="false" customHeight="false" outlineLevel="0" collapsed="false">
      <c r="A344" s="6" t="s">
        <v>37</v>
      </c>
      <c r="B344" s="6" t="s">
        <v>38</v>
      </c>
      <c r="C344" s="6" t="s">
        <v>50</v>
      </c>
      <c r="D344" s="6" t="s">
        <v>112</v>
      </c>
      <c r="E344" s="6" t="s">
        <v>60</v>
      </c>
      <c r="F344" s="6" t="s">
        <v>60</v>
      </c>
      <c r="G344" s="6" t="n">
        <v>7</v>
      </c>
      <c r="H344" s="6" t="n">
        <v>1085600</v>
      </c>
      <c r="I344" s="6" t="n">
        <v>570300</v>
      </c>
      <c r="J344" s="6" t="n">
        <v>1715300</v>
      </c>
      <c r="K344" s="6" t="n">
        <v>629800</v>
      </c>
      <c r="L344" s="6" t="n">
        <v>5</v>
      </c>
      <c r="M344" s="6" t="n">
        <v>0</v>
      </c>
      <c r="N344" s="6" t="n">
        <v>444.6</v>
      </c>
    </row>
    <row r="345" customFormat="false" ht="15" hidden="false" customHeight="false" outlineLevel="0" collapsed="false">
      <c r="A345" s="6" t="s">
        <v>37</v>
      </c>
      <c r="B345" s="6" t="s">
        <v>38</v>
      </c>
      <c r="C345" s="6" t="s">
        <v>50</v>
      </c>
      <c r="D345" s="6" t="s">
        <v>113</v>
      </c>
      <c r="E345" s="6" t="s">
        <v>58</v>
      </c>
      <c r="F345" s="6" t="s">
        <v>58</v>
      </c>
      <c r="G345" s="6" t="n">
        <v>3</v>
      </c>
      <c r="H345" s="6" t="n">
        <v>647000</v>
      </c>
      <c r="I345" s="6" t="n">
        <v>572600</v>
      </c>
      <c r="J345" s="6" t="n">
        <v>471500</v>
      </c>
      <c r="K345" s="6" t="n">
        <v>-175600</v>
      </c>
      <c r="L345" s="6" t="n">
        <v>0</v>
      </c>
      <c r="M345" s="6" t="n">
        <v>0</v>
      </c>
      <c r="N345" s="6" t="n">
        <v>-75.8</v>
      </c>
    </row>
    <row r="346" customFormat="false" ht="15" hidden="false" customHeight="false" outlineLevel="0" collapsed="false">
      <c r="A346" s="6" t="s">
        <v>37</v>
      </c>
      <c r="B346" s="6" t="s">
        <v>38</v>
      </c>
      <c r="C346" s="6" t="s">
        <v>50</v>
      </c>
      <c r="D346" s="6" t="s">
        <v>113</v>
      </c>
      <c r="E346" s="6" t="s">
        <v>58</v>
      </c>
      <c r="F346" s="6" t="s">
        <v>60</v>
      </c>
      <c r="G346" s="6" t="n">
        <v>18</v>
      </c>
      <c r="H346" s="6" t="n">
        <v>2531200</v>
      </c>
      <c r="I346" s="6" t="n">
        <v>1152100</v>
      </c>
      <c r="J346" s="6" t="n">
        <v>3617200</v>
      </c>
      <c r="K346" s="6" t="n">
        <v>1086300</v>
      </c>
      <c r="L346" s="6" t="n">
        <v>10</v>
      </c>
      <c r="M346" s="6" t="n">
        <v>0</v>
      </c>
      <c r="N346" s="6" t="n">
        <v>851.9</v>
      </c>
    </row>
    <row r="347" customFormat="false" ht="15" hidden="false" customHeight="false" outlineLevel="0" collapsed="false">
      <c r="A347" s="6" t="s">
        <v>37</v>
      </c>
      <c r="B347" s="6" t="s">
        <v>38</v>
      </c>
      <c r="C347" s="6" t="s">
        <v>50</v>
      </c>
      <c r="D347" s="6" t="s">
        <v>113</v>
      </c>
      <c r="E347" s="6" t="s">
        <v>60</v>
      </c>
      <c r="F347" s="6" t="s">
        <v>58</v>
      </c>
      <c r="G347" s="6" t="n">
        <v>2</v>
      </c>
      <c r="H347" s="6" t="n">
        <v>386000</v>
      </c>
      <c r="I347" s="6" t="n">
        <v>265300</v>
      </c>
      <c r="J347" s="6" t="n">
        <v>389900</v>
      </c>
      <c r="K347" s="6" t="n">
        <v>4000</v>
      </c>
      <c r="L347" s="6" t="n">
        <v>1</v>
      </c>
      <c r="M347" s="6" t="n">
        <v>0</v>
      </c>
      <c r="N347" s="6" t="n">
        <v>2.4</v>
      </c>
    </row>
    <row r="348" customFormat="false" ht="15" hidden="false" customHeight="false" outlineLevel="0" collapsed="false">
      <c r="A348" s="6" t="s">
        <v>37</v>
      </c>
      <c r="B348" s="6" t="s">
        <v>38</v>
      </c>
      <c r="C348" s="6" t="s">
        <v>50</v>
      </c>
      <c r="D348" s="6" t="s">
        <v>113</v>
      </c>
      <c r="E348" s="6" t="s">
        <v>60</v>
      </c>
      <c r="F348" s="6" t="s">
        <v>60</v>
      </c>
      <c r="G348" s="6" t="n">
        <v>8</v>
      </c>
      <c r="H348" s="6" t="n">
        <v>1099600</v>
      </c>
      <c r="I348" s="6" t="n">
        <v>326400</v>
      </c>
      <c r="J348" s="6" t="n">
        <v>2315300</v>
      </c>
      <c r="K348" s="6" t="n">
        <v>1216000</v>
      </c>
      <c r="L348" s="6" t="n">
        <v>8</v>
      </c>
      <c r="M348" s="6" t="n">
        <v>0</v>
      </c>
      <c r="N348" s="6" t="n">
        <v>908.5</v>
      </c>
    </row>
    <row r="349" customFormat="false" ht="15" hidden="false" customHeight="false" outlineLevel="0" collapsed="false">
      <c r="A349" s="6" t="s">
        <v>37</v>
      </c>
      <c r="B349" s="6" t="s">
        <v>38</v>
      </c>
      <c r="C349" s="6" t="s">
        <v>50</v>
      </c>
      <c r="D349" s="6" t="s">
        <v>114</v>
      </c>
      <c r="E349" s="6" t="s">
        <v>58</v>
      </c>
      <c r="F349" s="6" t="s">
        <v>58</v>
      </c>
      <c r="G349" s="6" t="n">
        <v>6</v>
      </c>
      <c r="H349" s="6" t="n">
        <v>1089500</v>
      </c>
      <c r="I349" s="6" t="n">
        <v>660100</v>
      </c>
      <c r="J349" s="6" t="n">
        <v>1613900</v>
      </c>
      <c r="K349" s="6" t="n">
        <v>524400</v>
      </c>
      <c r="L349" s="6" t="n">
        <v>5</v>
      </c>
      <c r="M349" s="6" t="n">
        <v>0</v>
      </c>
      <c r="N349" s="6" t="n">
        <v>266.4</v>
      </c>
    </row>
    <row r="350" customFormat="false" ht="15" hidden="false" customHeight="false" outlineLevel="0" collapsed="false">
      <c r="A350" s="6" t="s">
        <v>37</v>
      </c>
      <c r="B350" s="6" t="s">
        <v>38</v>
      </c>
      <c r="C350" s="6" t="s">
        <v>50</v>
      </c>
      <c r="D350" s="6" t="s">
        <v>114</v>
      </c>
      <c r="E350" s="6" t="s">
        <v>58</v>
      </c>
      <c r="F350" s="6" t="s">
        <v>60</v>
      </c>
      <c r="G350" s="6" t="n">
        <v>12</v>
      </c>
      <c r="H350" s="6" t="n">
        <v>1754300</v>
      </c>
      <c r="I350" s="6" t="n">
        <v>768900</v>
      </c>
      <c r="J350" s="6" t="n">
        <v>2206600</v>
      </c>
      <c r="K350" s="6" t="n">
        <v>452700</v>
      </c>
      <c r="L350" s="6" t="n">
        <v>9</v>
      </c>
      <c r="M350" s="6" t="n">
        <v>0</v>
      </c>
      <c r="N350" s="6" t="n">
        <v>301.3</v>
      </c>
    </row>
    <row r="351" customFormat="false" ht="15" hidden="false" customHeight="false" outlineLevel="0" collapsed="false">
      <c r="A351" s="6" t="s">
        <v>37</v>
      </c>
      <c r="B351" s="6" t="s">
        <v>38</v>
      </c>
      <c r="C351" s="6" t="s">
        <v>50</v>
      </c>
      <c r="D351" s="6" t="s">
        <v>114</v>
      </c>
      <c r="E351" s="6" t="s">
        <v>60</v>
      </c>
      <c r="F351" s="6" t="s">
        <v>58</v>
      </c>
      <c r="G351" s="6" t="n">
        <v>2</v>
      </c>
      <c r="H351" s="6" t="n">
        <v>440100</v>
      </c>
      <c r="I351" s="6" t="n">
        <v>390500</v>
      </c>
      <c r="J351" s="6" t="n">
        <v>362400</v>
      </c>
      <c r="K351" s="6" t="n">
        <v>-77700</v>
      </c>
      <c r="L351" s="6" t="n">
        <v>1</v>
      </c>
      <c r="M351" s="6" t="n">
        <v>0</v>
      </c>
      <c r="N351" s="6" t="n">
        <v>-34.9</v>
      </c>
    </row>
    <row r="352" customFormat="false" ht="15" hidden="false" customHeight="false" outlineLevel="0" collapsed="false">
      <c r="A352" s="6" t="s">
        <v>37</v>
      </c>
      <c r="B352" s="6" t="s">
        <v>38</v>
      </c>
      <c r="C352" s="6" t="s">
        <v>50</v>
      </c>
      <c r="D352" s="6" t="s">
        <v>114</v>
      </c>
      <c r="E352" s="6" t="s">
        <v>60</v>
      </c>
      <c r="F352" s="6" t="s">
        <v>60</v>
      </c>
      <c r="G352" s="6" t="n">
        <v>8</v>
      </c>
      <c r="H352" s="6" t="n">
        <v>1338600</v>
      </c>
      <c r="I352" s="6" t="n">
        <v>376700</v>
      </c>
      <c r="J352" s="6" t="n">
        <v>1286800</v>
      </c>
      <c r="K352" s="6" t="n">
        <v>-51900</v>
      </c>
      <c r="L352" s="6" t="n">
        <v>4</v>
      </c>
      <c r="M352" s="6" t="n">
        <v>0</v>
      </c>
      <c r="N352" s="6" t="n">
        <v>2.70000000000001</v>
      </c>
    </row>
    <row r="353" customFormat="false" ht="15" hidden="false" customHeight="false" outlineLevel="0" collapsed="false">
      <c r="A353" s="6" t="s">
        <v>37</v>
      </c>
      <c r="B353" s="6" t="s">
        <v>38</v>
      </c>
      <c r="C353" s="6" t="s">
        <v>52</v>
      </c>
      <c r="D353" s="6" t="s">
        <v>111</v>
      </c>
      <c r="E353" s="6" t="s">
        <v>58</v>
      </c>
      <c r="F353" s="6" t="s">
        <v>58</v>
      </c>
      <c r="G353" s="6" t="n">
        <v>19</v>
      </c>
      <c r="H353" s="6" t="n">
        <v>2252000</v>
      </c>
      <c r="I353" s="6" t="n">
        <v>1295800</v>
      </c>
      <c r="J353" s="6" t="n">
        <v>3537300</v>
      </c>
      <c r="K353" s="6" t="n">
        <v>1285800</v>
      </c>
      <c r="L353" s="6" t="n">
        <v>14</v>
      </c>
      <c r="M353" s="6" t="n">
        <v>0</v>
      </c>
      <c r="N353" s="6" t="n">
        <v>1266.8</v>
      </c>
    </row>
    <row r="354" customFormat="false" ht="15" hidden="false" customHeight="false" outlineLevel="0" collapsed="false">
      <c r="A354" s="6" t="s">
        <v>37</v>
      </c>
      <c r="B354" s="6" t="s">
        <v>38</v>
      </c>
      <c r="C354" s="6" t="s">
        <v>52</v>
      </c>
      <c r="D354" s="6" t="s">
        <v>111</v>
      </c>
      <c r="E354" s="6" t="s">
        <v>58</v>
      </c>
      <c r="F354" s="6" t="s">
        <v>60</v>
      </c>
      <c r="G354" s="6" t="n">
        <v>46</v>
      </c>
      <c r="H354" s="6" t="n">
        <v>3675100</v>
      </c>
      <c r="I354" s="6" t="n">
        <v>1943100</v>
      </c>
      <c r="J354" s="6" t="n">
        <v>7567300</v>
      </c>
      <c r="K354" s="6" t="n">
        <v>3892300</v>
      </c>
      <c r="L354" s="6" t="n">
        <v>44</v>
      </c>
      <c r="M354" s="6" t="n">
        <v>0</v>
      </c>
      <c r="N354" s="6" t="n">
        <v>5089.5</v>
      </c>
    </row>
    <row r="355" customFormat="false" ht="15" hidden="false" customHeight="false" outlineLevel="0" collapsed="false">
      <c r="A355" s="6" t="s">
        <v>37</v>
      </c>
      <c r="B355" s="6" t="s">
        <v>38</v>
      </c>
      <c r="C355" s="6" t="s">
        <v>52</v>
      </c>
      <c r="D355" s="6" t="s">
        <v>111</v>
      </c>
      <c r="E355" s="6" t="s">
        <v>60</v>
      </c>
      <c r="F355" s="6" t="s">
        <v>58</v>
      </c>
      <c r="G355" s="6" t="n">
        <v>21</v>
      </c>
      <c r="H355" s="6" t="n">
        <v>2218100</v>
      </c>
      <c r="I355" s="6" t="n">
        <v>1070000</v>
      </c>
      <c r="J355" s="6" t="n">
        <v>3231300</v>
      </c>
      <c r="K355" s="6" t="n">
        <v>1013300</v>
      </c>
      <c r="L355" s="6" t="n">
        <v>17</v>
      </c>
      <c r="M355" s="6" t="n">
        <v>0</v>
      </c>
      <c r="N355" s="6" t="n">
        <v>1012.2</v>
      </c>
    </row>
    <row r="356" customFormat="false" ht="15" hidden="false" customHeight="false" outlineLevel="0" collapsed="false">
      <c r="A356" s="6" t="s">
        <v>37</v>
      </c>
      <c r="B356" s="6" t="s">
        <v>38</v>
      </c>
      <c r="C356" s="6" t="s">
        <v>52</v>
      </c>
      <c r="D356" s="6" t="s">
        <v>111</v>
      </c>
      <c r="E356" s="6" t="s">
        <v>60</v>
      </c>
      <c r="F356" s="6" t="s">
        <v>60</v>
      </c>
      <c r="G356" s="6" t="n">
        <v>38</v>
      </c>
      <c r="H356" s="6" t="n">
        <v>2843500</v>
      </c>
      <c r="I356" s="6" t="n">
        <v>1168300</v>
      </c>
      <c r="J356" s="6" t="n">
        <v>6512300</v>
      </c>
      <c r="K356" s="6" t="n">
        <v>3668500</v>
      </c>
      <c r="L356" s="6" t="n">
        <v>37</v>
      </c>
      <c r="M356" s="6" t="n">
        <v>0</v>
      </c>
      <c r="N356" s="6" t="n">
        <v>5127.4</v>
      </c>
    </row>
    <row r="357" customFormat="false" ht="15" hidden="false" customHeight="false" outlineLevel="0" collapsed="false">
      <c r="A357" s="6" t="s">
        <v>37</v>
      </c>
      <c r="B357" s="6" t="s">
        <v>38</v>
      </c>
      <c r="C357" s="6" t="s">
        <v>52</v>
      </c>
      <c r="D357" s="6" t="s">
        <v>112</v>
      </c>
      <c r="E357" s="6" t="s">
        <v>58</v>
      </c>
      <c r="F357" s="6" t="s">
        <v>58</v>
      </c>
      <c r="G357" s="6" t="n">
        <v>29</v>
      </c>
      <c r="H357" s="6" t="n">
        <v>2933400</v>
      </c>
      <c r="I357" s="6" t="n">
        <v>1393000</v>
      </c>
      <c r="J357" s="6" t="n">
        <v>4163800</v>
      </c>
      <c r="K357" s="6" t="n">
        <v>1230100</v>
      </c>
      <c r="L357" s="6" t="n">
        <v>22</v>
      </c>
      <c r="M357" s="6" t="n">
        <v>0</v>
      </c>
      <c r="N357" s="6" t="n">
        <v>1344.4</v>
      </c>
    </row>
    <row r="358" customFormat="false" ht="15" hidden="false" customHeight="false" outlineLevel="0" collapsed="false">
      <c r="A358" s="6" t="s">
        <v>37</v>
      </c>
      <c r="B358" s="6" t="s">
        <v>38</v>
      </c>
      <c r="C358" s="6" t="s">
        <v>52</v>
      </c>
      <c r="D358" s="6" t="s">
        <v>112</v>
      </c>
      <c r="E358" s="6" t="s">
        <v>58</v>
      </c>
      <c r="F358" s="6" t="s">
        <v>60</v>
      </c>
      <c r="G358" s="6" t="n">
        <v>66</v>
      </c>
      <c r="H358" s="6" t="n">
        <v>5089000</v>
      </c>
      <c r="I358" s="6" t="n">
        <v>2178400</v>
      </c>
      <c r="J358" s="6" t="n">
        <v>10751500</v>
      </c>
      <c r="K358" s="6" t="n">
        <v>5663100</v>
      </c>
      <c r="L358" s="6" t="n">
        <v>63</v>
      </c>
      <c r="M358" s="6" t="n">
        <v>0</v>
      </c>
      <c r="N358" s="6" t="n">
        <v>7872</v>
      </c>
    </row>
    <row r="359" customFormat="false" ht="15" hidden="false" customHeight="false" outlineLevel="0" collapsed="false">
      <c r="A359" s="6" t="s">
        <v>37</v>
      </c>
      <c r="B359" s="6" t="s">
        <v>38</v>
      </c>
      <c r="C359" s="6" t="s">
        <v>52</v>
      </c>
      <c r="D359" s="6" t="s">
        <v>112</v>
      </c>
      <c r="E359" s="6" t="s">
        <v>60</v>
      </c>
      <c r="F359" s="6" t="s">
        <v>58</v>
      </c>
      <c r="G359" s="6" t="n">
        <v>17</v>
      </c>
      <c r="H359" s="6" t="n">
        <v>1696600</v>
      </c>
      <c r="I359" s="6" t="n">
        <v>709200</v>
      </c>
      <c r="J359" s="6" t="n">
        <v>2795700</v>
      </c>
      <c r="K359" s="6" t="n">
        <v>1098900</v>
      </c>
      <c r="L359" s="6" t="n">
        <v>15</v>
      </c>
      <c r="M359" s="6" t="n">
        <v>0</v>
      </c>
      <c r="N359" s="6" t="n">
        <v>1311.6</v>
      </c>
    </row>
    <row r="360" customFormat="false" ht="15" hidden="false" customHeight="false" outlineLevel="0" collapsed="false">
      <c r="A360" s="6" t="s">
        <v>37</v>
      </c>
      <c r="B360" s="6" t="s">
        <v>38</v>
      </c>
      <c r="C360" s="6" t="s">
        <v>52</v>
      </c>
      <c r="D360" s="6" t="s">
        <v>112</v>
      </c>
      <c r="E360" s="6" t="s">
        <v>60</v>
      </c>
      <c r="F360" s="6" t="s">
        <v>60</v>
      </c>
      <c r="G360" s="6" t="n">
        <v>43</v>
      </c>
      <c r="H360" s="6" t="n">
        <v>3082500</v>
      </c>
      <c r="I360" s="6" t="n">
        <v>1157400</v>
      </c>
      <c r="J360" s="6" t="n">
        <v>8414700</v>
      </c>
      <c r="K360" s="6" t="n">
        <v>5331800</v>
      </c>
      <c r="L360" s="6" t="n">
        <v>43</v>
      </c>
      <c r="M360" s="6" t="n">
        <v>0</v>
      </c>
      <c r="N360" s="6" t="n">
        <v>7897.8</v>
      </c>
    </row>
    <row r="361" customFormat="false" ht="15" hidden="false" customHeight="false" outlineLevel="0" collapsed="false">
      <c r="A361" s="6" t="s">
        <v>37</v>
      </c>
      <c r="B361" s="6" t="s">
        <v>38</v>
      </c>
      <c r="C361" s="6" t="s">
        <v>52</v>
      </c>
      <c r="D361" s="6" t="s">
        <v>113</v>
      </c>
      <c r="E361" s="6" t="s">
        <v>58</v>
      </c>
      <c r="F361" s="6" t="s">
        <v>58</v>
      </c>
      <c r="G361" s="6" t="n">
        <v>37</v>
      </c>
      <c r="H361" s="6" t="n">
        <v>4013500</v>
      </c>
      <c r="I361" s="6" t="n">
        <v>1984000</v>
      </c>
      <c r="J361" s="6" t="n">
        <v>5264500</v>
      </c>
      <c r="K361" s="6" t="n">
        <v>1250700</v>
      </c>
      <c r="L361" s="6" t="n">
        <v>24</v>
      </c>
      <c r="M361" s="6" t="n">
        <v>0</v>
      </c>
      <c r="N361" s="6" t="n">
        <v>1342.5</v>
      </c>
    </row>
    <row r="362" customFormat="false" ht="15" hidden="false" customHeight="false" outlineLevel="0" collapsed="false">
      <c r="A362" s="6" t="s">
        <v>37</v>
      </c>
      <c r="B362" s="6" t="s">
        <v>38</v>
      </c>
      <c r="C362" s="6" t="s">
        <v>52</v>
      </c>
      <c r="D362" s="6" t="s">
        <v>113</v>
      </c>
      <c r="E362" s="6" t="s">
        <v>58</v>
      </c>
      <c r="F362" s="6" t="s">
        <v>60</v>
      </c>
      <c r="G362" s="6" t="n">
        <v>77</v>
      </c>
      <c r="H362" s="6" t="n">
        <v>5774200</v>
      </c>
      <c r="I362" s="6" t="n">
        <v>2946000</v>
      </c>
      <c r="J362" s="6" t="n">
        <v>13237900</v>
      </c>
      <c r="K362" s="6" t="n">
        <v>7463400</v>
      </c>
      <c r="L362" s="6" t="n">
        <v>76</v>
      </c>
      <c r="M362" s="6" t="n">
        <v>0</v>
      </c>
      <c r="N362" s="6" t="n">
        <v>10296.2</v>
      </c>
    </row>
    <row r="363" customFormat="false" ht="15" hidden="false" customHeight="false" outlineLevel="0" collapsed="false">
      <c r="A363" s="6" t="s">
        <v>37</v>
      </c>
      <c r="B363" s="6" t="s">
        <v>38</v>
      </c>
      <c r="C363" s="6" t="s">
        <v>52</v>
      </c>
      <c r="D363" s="6" t="s">
        <v>113</v>
      </c>
      <c r="E363" s="6" t="s">
        <v>60</v>
      </c>
      <c r="F363" s="6" t="s">
        <v>58</v>
      </c>
      <c r="G363" s="6" t="n">
        <v>25</v>
      </c>
      <c r="H363" s="6" t="n">
        <v>2725200</v>
      </c>
      <c r="I363" s="6" t="n">
        <v>1380500</v>
      </c>
      <c r="J363" s="6" t="n">
        <v>3996800</v>
      </c>
      <c r="K363" s="6" t="n">
        <v>1271800</v>
      </c>
      <c r="L363" s="6" t="n">
        <v>17</v>
      </c>
      <c r="M363" s="6" t="n">
        <v>0</v>
      </c>
      <c r="N363" s="6" t="n">
        <v>1320.1</v>
      </c>
    </row>
    <row r="364" customFormat="false" ht="15" hidden="false" customHeight="false" outlineLevel="0" collapsed="false">
      <c r="A364" s="6" t="s">
        <v>37</v>
      </c>
      <c r="B364" s="6" t="s">
        <v>38</v>
      </c>
      <c r="C364" s="6" t="s">
        <v>52</v>
      </c>
      <c r="D364" s="6" t="s">
        <v>113</v>
      </c>
      <c r="E364" s="6" t="s">
        <v>60</v>
      </c>
      <c r="F364" s="6" t="s">
        <v>60</v>
      </c>
      <c r="G364" s="6" t="n">
        <v>40</v>
      </c>
      <c r="H364" s="6" t="n">
        <v>2861200</v>
      </c>
      <c r="I364" s="6" t="n">
        <v>997800</v>
      </c>
      <c r="J364" s="6" t="n">
        <v>6119500</v>
      </c>
      <c r="K364" s="6" t="n">
        <v>3258600</v>
      </c>
      <c r="L364" s="6" t="n">
        <v>39</v>
      </c>
      <c r="M364" s="6" t="n">
        <v>0</v>
      </c>
      <c r="N364" s="6" t="n">
        <v>4800.7</v>
      </c>
    </row>
    <row r="365" customFormat="false" ht="15" hidden="false" customHeight="false" outlineLevel="0" collapsed="false">
      <c r="A365" s="6" t="s">
        <v>37</v>
      </c>
      <c r="B365" s="6" t="s">
        <v>38</v>
      </c>
      <c r="C365" s="6" t="s">
        <v>52</v>
      </c>
      <c r="D365" s="6" t="s">
        <v>114</v>
      </c>
      <c r="E365" s="6" t="s">
        <v>58</v>
      </c>
      <c r="F365" s="6" t="s">
        <v>58</v>
      </c>
      <c r="G365" s="6" t="n">
        <v>24</v>
      </c>
      <c r="H365" s="6" t="n">
        <v>2669100</v>
      </c>
      <c r="I365" s="6" t="n">
        <v>782800</v>
      </c>
      <c r="J365" s="6" t="n">
        <v>3636100</v>
      </c>
      <c r="K365" s="6" t="n">
        <v>967300</v>
      </c>
      <c r="L365" s="6" t="n">
        <v>16</v>
      </c>
      <c r="M365" s="6" t="n">
        <v>0</v>
      </c>
      <c r="N365" s="6" t="n">
        <v>1005.2</v>
      </c>
    </row>
    <row r="366" customFormat="false" ht="15" hidden="false" customHeight="false" outlineLevel="0" collapsed="false">
      <c r="A366" s="6" t="s">
        <v>37</v>
      </c>
      <c r="B366" s="6" t="s">
        <v>38</v>
      </c>
      <c r="C366" s="6" t="s">
        <v>52</v>
      </c>
      <c r="D366" s="6" t="s">
        <v>114</v>
      </c>
      <c r="E366" s="6" t="s">
        <v>58</v>
      </c>
      <c r="F366" s="6" t="s">
        <v>60</v>
      </c>
      <c r="G366" s="6" t="n">
        <v>56</v>
      </c>
      <c r="H366" s="6" t="n">
        <v>4420600</v>
      </c>
      <c r="I366" s="6" t="n">
        <v>2344400</v>
      </c>
      <c r="J366" s="6" t="n">
        <v>9456800</v>
      </c>
      <c r="K366" s="6" t="n">
        <v>5035900</v>
      </c>
      <c r="L366" s="6" t="n">
        <v>53</v>
      </c>
      <c r="M366" s="6" t="n">
        <v>0</v>
      </c>
      <c r="N366" s="6" t="n">
        <v>6878.6</v>
      </c>
    </row>
    <row r="367" customFormat="false" ht="15" hidden="false" customHeight="false" outlineLevel="0" collapsed="false">
      <c r="A367" s="6" t="s">
        <v>37</v>
      </c>
      <c r="B367" s="6" t="s">
        <v>38</v>
      </c>
      <c r="C367" s="6" t="s">
        <v>52</v>
      </c>
      <c r="D367" s="6" t="s">
        <v>114</v>
      </c>
      <c r="E367" s="6" t="s">
        <v>60</v>
      </c>
      <c r="F367" s="6" t="s">
        <v>58</v>
      </c>
      <c r="G367" s="6" t="n">
        <v>18</v>
      </c>
      <c r="H367" s="6" t="n">
        <v>2036200</v>
      </c>
      <c r="I367" s="6" t="n">
        <v>1234700</v>
      </c>
      <c r="J367" s="6" t="n">
        <v>2685100</v>
      </c>
      <c r="K367" s="6" t="n">
        <v>649100</v>
      </c>
      <c r="L367" s="6" t="n">
        <v>14</v>
      </c>
      <c r="M367" s="6" t="n">
        <v>0</v>
      </c>
      <c r="N367" s="6" t="n">
        <v>674.3</v>
      </c>
    </row>
    <row r="368" customFormat="false" ht="15" hidden="false" customHeight="false" outlineLevel="0" collapsed="false">
      <c r="A368" s="6" t="s">
        <v>37</v>
      </c>
      <c r="B368" s="6" t="s">
        <v>38</v>
      </c>
      <c r="C368" s="6" t="s">
        <v>52</v>
      </c>
      <c r="D368" s="6" t="s">
        <v>114</v>
      </c>
      <c r="E368" s="6" t="s">
        <v>60</v>
      </c>
      <c r="F368" s="6" t="s">
        <v>60</v>
      </c>
      <c r="G368" s="6" t="n">
        <v>37</v>
      </c>
      <c r="H368" s="6" t="n">
        <v>2739600</v>
      </c>
      <c r="I368" s="6" t="n">
        <v>1015700</v>
      </c>
      <c r="J368" s="6" t="n">
        <v>6749100</v>
      </c>
      <c r="K368" s="6" t="n">
        <v>4009300</v>
      </c>
      <c r="L368" s="6" t="n">
        <v>36</v>
      </c>
      <c r="M368" s="6" t="n">
        <v>0</v>
      </c>
      <c r="N368" s="6" t="n">
        <v>5593.9</v>
      </c>
    </row>
    <row r="369" customFormat="false" ht="15" hidden="false" customHeight="false" outlineLevel="0" collapsed="false">
      <c r="A369" s="6" t="s">
        <v>37</v>
      </c>
      <c r="B369" s="6" t="s">
        <v>38</v>
      </c>
      <c r="C369" s="6" t="s">
        <v>53</v>
      </c>
      <c r="D369" s="6" t="s">
        <v>111</v>
      </c>
      <c r="E369" s="6" t="s">
        <v>58</v>
      </c>
      <c r="F369" s="6" t="s">
        <v>58</v>
      </c>
      <c r="G369" s="6" t="n">
        <v>23</v>
      </c>
      <c r="H369" s="6" t="n">
        <v>1845800</v>
      </c>
      <c r="I369" s="6" t="n">
        <v>713900</v>
      </c>
      <c r="J369" s="6" t="n">
        <v>3205400</v>
      </c>
      <c r="K369" s="6" t="n">
        <v>1359800</v>
      </c>
      <c r="L369" s="6" t="n">
        <v>18</v>
      </c>
      <c r="M369" s="6" t="n">
        <v>0</v>
      </c>
      <c r="N369" s="6" t="n">
        <v>1862.6</v>
      </c>
    </row>
    <row r="370" customFormat="false" ht="15" hidden="false" customHeight="false" outlineLevel="0" collapsed="false">
      <c r="A370" s="6" t="s">
        <v>37</v>
      </c>
      <c r="B370" s="6" t="s">
        <v>38</v>
      </c>
      <c r="C370" s="6" t="s">
        <v>53</v>
      </c>
      <c r="D370" s="6" t="s">
        <v>111</v>
      </c>
      <c r="E370" s="6" t="s">
        <v>58</v>
      </c>
      <c r="F370" s="6" t="s">
        <v>60</v>
      </c>
      <c r="G370" s="6" t="n">
        <v>51</v>
      </c>
      <c r="H370" s="6" t="n">
        <v>2924000</v>
      </c>
      <c r="I370" s="6" t="n">
        <v>991900</v>
      </c>
      <c r="J370" s="6" t="n">
        <v>7566700</v>
      </c>
      <c r="K370" s="6" t="n">
        <v>4643000</v>
      </c>
      <c r="L370" s="6" t="n">
        <v>50</v>
      </c>
      <c r="M370" s="6" t="n">
        <v>0</v>
      </c>
      <c r="N370" s="6" t="n">
        <v>8429.6</v>
      </c>
    </row>
    <row r="371" customFormat="false" ht="15" hidden="false" customHeight="false" outlineLevel="0" collapsed="false">
      <c r="A371" s="6" t="s">
        <v>37</v>
      </c>
      <c r="B371" s="6" t="s">
        <v>38</v>
      </c>
      <c r="C371" s="6" t="s">
        <v>53</v>
      </c>
      <c r="D371" s="6" t="s">
        <v>111</v>
      </c>
      <c r="E371" s="6" t="s">
        <v>60</v>
      </c>
      <c r="F371" s="6" t="s">
        <v>58</v>
      </c>
      <c r="G371" s="6" t="n">
        <v>5</v>
      </c>
      <c r="H371" s="6" t="n">
        <v>427400</v>
      </c>
      <c r="I371" s="6" t="n">
        <v>268200</v>
      </c>
      <c r="J371" s="6" t="n">
        <v>507000</v>
      </c>
      <c r="K371" s="6" t="n">
        <v>79500</v>
      </c>
      <c r="L371" s="6" t="n">
        <v>3</v>
      </c>
      <c r="M371" s="6" t="n">
        <v>0</v>
      </c>
      <c r="N371" s="6" t="n">
        <v>120.6</v>
      </c>
    </row>
    <row r="372" customFormat="false" ht="15" hidden="false" customHeight="false" outlineLevel="0" collapsed="false">
      <c r="A372" s="6" t="s">
        <v>37</v>
      </c>
      <c r="B372" s="6" t="s">
        <v>38</v>
      </c>
      <c r="C372" s="6" t="s">
        <v>53</v>
      </c>
      <c r="D372" s="6" t="s">
        <v>111</v>
      </c>
      <c r="E372" s="6" t="s">
        <v>60</v>
      </c>
      <c r="F372" s="6" t="s">
        <v>60</v>
      </c>
      <c r="G372" s="6" t="n">
        <v>29</v>
      </c>
      <c r="H372" s="6" t="n">
        <v>1583000</v>
      </c>
      <c r="I372" s="6" t="n">
        <v>834200</v>
      </c>
      <c r="J372" s="6" t="n">
        <v>4516200</v>
      </c>
      <c r="K372" s="6" t="n">
        <v>2933300</v>
      </c>
      <c r="L372" s="6" t="n">
        <v>29</v>
      </c>
      <c r="M372" s="6" t="n">
        <v>0</v>
      </c>
      <c r="N372" s="6" t="n">
        <v>5861.9</v>
      </c>
    </row>
    <row r="373" customFormat="false" ht="15" hidden="false" customHeight="false" outlineLevel="0" collapsed="false">
      <c r="A373" s="6" t="s">
        <v>37</v>
      </c>
      <c r="B373" s="6" t="s">
        <v>38</v>
      </c>
      <c r="C373" s="6" t="s">
        <v>53</v>
      </c>
      <c r="D373" s="6" t="s">
        <v>112</v>
      </c>
      <c r="E373" s="6" t="s">
        <v>58</v>
      </c>
      <c r="F373" s="6" t="s">
        <v>58</v>
      </c>
      <c r="G373" s="6" t="n">
        <v>30</v>
      </c>
      <c r="H373" s="6" t="n">
        <v>2337700</v>
      </c>
      <c r="I373" s="6" t="n">
        <v>991900</v>
      </c>
      <c r="J373" s="6" t="n">
        <v>4007700</v>
      </c>
      <c r="K373" s="6" t="n">
        <v>1670000</v>
      </c>
      <c r="L373" s="6" t="n">
        <v>23</v>
      </c>
      <c r="M373" s="6" t="n">
        <v>0</v>
      </c>
      <c r="N373" s="6" t="n">
        <v>2280.5</v>
      </c>
    </row>
    <row r="374" customFormat="false" ht="15" hidden="false" customHeight="false" outlineLevel="0" collapsed="false">
      <c r="A374" s="6" t="s">
        <v>37</v>
      </c>
      <c r="B374" s="6" t="s">
        <v>38</v>
      </c>
      <c r="C374" s="6" t="s">
        <v>53</v>
      </c>
      <c r="D374" s="6" t="s">
        <v>112</v>
      </c>
      <c r="E374" s="6" t="s">
        <v>58</v>
      </c>
      <c r="F374" s="6" t="s">
        <v>60</v>
      </c>
      <c r="G374" s="6" t="n">
        <v>60</v>
      </c>
      <c r="H374" s="6" t="n">
        <v>3565700</v>
      </c>
      <c r="I374" s="6" t="n">
        <v>1569600</v>
      </c>
      <c r="J374" s="6" t="n">
        <v>7487600</v>
      </c>
      <c r="K374" s="6" t="n">
        <v>3921600</v>
      </c>
      <c r="L374" s="6" t="n">
        <v>55</v>
      </c>
      <c r="M374" s="6" t="n">
        <v>0</v>
      </c>
      <c r="N374" s="6" t="n">
        <v>7094.8</v>
      </c>
    </row>
    <row r="375" customFormat="false" ht="15" hidden="false" customHeight="false" outlineLevel="0" collapsed="false">
      <c r="A375" s="6" t="s">
        <v>37</v>
      </c>
      <c r="B375" s="6" t="s">
        <v>38</v>
      </c>
      <c r="C375" s="6" t="s">
        <v>53</v>
      </c>
      <c r="D375" s="6" t="s">
        <v>112</v>
      </c>
      <c r="E375" s="6" t="s">
        <v>60</v>
      </c>
      <c r="F375" s="6" t="s">
        <v>58</v>
      </c>
      <c r="G375" s="6" t="n">
        <v>12</v>
      </c>
      <c r="H375" s="6" t="n">
        <v>922000</v>
      </c>
      <c r="I375" s="6" t="n">
        <v>285400</v>
      </c>
      <c r="J375" s="6" t="n">
        <v>1508600</v>
      </c>
      <c r="K375" s="6" t="n">
        <v>586700</v>
      </c>
      <c r="L375" s="6" t="n">
        <v>10</v>
      </c>
      <c r="M375" s="6" t="n">
        <v>0</v>
      </c>
      <c r="N375" s="6" t="n">
        <v>869.3</v>
      </c>
    </row>
    <row r="376" customFormat="false" ht="15" hidden="false" customHeight="false" outlineLevel="0" collapsed="false">
      <c r="A376" s="6" t="s">
        <v>37</v>
      </c>
      <c r="B376" s="6" t="s">
        <v>38</v>
      </c>
      <c r="C376" s="6" t="s">
        <v>53</v>
      </c>
      <c r="D376" s="6" t="s">
        <v>112</v>
      </c>
      <c r="E376" s="6" t="s">
        <v>60</v>
      </c>
      <c r="F376" s="6" t="s">
        <v>60</v>
      </c>
      <c r="G376" s="6" t="n">
        <v>37</v>
      </c>
      <c r="H376" s="6" t="n">
        <v>2181900</v>
      </c>
      <c r="I376" s="6" t="n">
        <v>906800</v>
      </c>
      <c r="J376" s="6" t="n">
        <v>5420900</v>
      </c>
      <c r="K376" s="6" t="n">
        <v>3239900</v>
      </c>
      <c r="L376" s="6" t="n">
        <v>36</v>
      </c>
      <c r="M376" s="6" t="n">
        <v>0</v>
      </c>
      <c r="N376" s="6" t="n">
        <v>5961.9</v>
      </c>
    </row>
    <row r="377" customFormat="false" ht="15" hidden="false" customHeight="false" outlineLevel="0" collapsed="false">
      <c r="A377" s="6" t="s">
        <v>37</v>
      </c>
      <c r="B377" s="6" t="s">
        <v>38</v>
      </c>
      <c r="C377" s="6" t="s">
        <v>53</v>
      </c>
      <c r="D377" s="6" t="s">
        <v>113</v>
      </c>
      <c r="E377" s="6" t="s">
        <v>58</v>
      </c>
      <c r="F377" s="6" t="s">
        <v>58</v>
      </c>
      <c r="G377" s="6" t="n">
        <v>36</v>
      </c>
      <c r="H377" s="6" t="n">
        <v>2848500</v>
      </c>
      <c r="I377" s="6" t="n">
        <v>910200</v>
      </c>
      <c r="J377" s="6" t="n">
        <v>4499300</v>
      </c>
      <c r="K377" s="6" t="n">
        <v>1651000</v>
      </c>
      <c r="L377" s="6" t="n">
        <v>29</v>
      </c>
      <c r="M377" s="6" t="n">
        <v>0</v>
      </c>
      <c r="N377" s="6" t="n">
        <v>2300.3</v>
      </c>
    </row>
    <row r="378" customFormat="false" ht="15" hidden="false" customHeight="false" outlineLevel="0" collapsed="false">
      <c r="A378" s="6" t="s">
        <v>37</v>
      </c>
      <c r="B378" s="6" t="s">
        <v>38</v>
      </c>
      <c r="C378" s="6" t="s">
        <v>53</v>
      </c>
      <c r="D378" s="6" t="s">
        <v>113</v>
      </c>
      <c r="E378" s="6" t="s">
        <v>58</v>
      </c>
      <c r="F378" s="6" t="s">
        <v>60</v>
      </c>
      <c r="G378" s="6" t="n">
        <v>72</v>
      </c>
      <c r="H378" s="6" t="n">
        <v>3973000</v>
      </c>
      <c r="I378" s="6" t="n">
        <v>1542900</v>
      </c>
      <c r="J378" s="6" t="n">
        <v>9168300</v>
      </c>
      <c r="K378" s="6" t="n">
        <v>5195600</v>
      </c>
      <c r="L378" s="6" t="n">
        <v>71</v>
      </c>
      <c r="M378" s="6" t="n">
        <v>0</v>
      </c>
      <c r="N378" s="6" t="n">
        <v>9929.4</v>
      </c>
    </row>
    <row r="379" customFormat="false" ht="15" hidden="false" customHeight="false" outlineLevel="0" collapsed="false">
      <c r="A379" s="6" t="s">
        <v>37</v>
      </c>
      <c r="B379" s="6" t="s">
        <v>38</v>
      </c>
      <c r="C379" s="6" t="s">
        <v>53</v>
      </c>
      <c r="D379" s="6" t="s">
        <v>113</v>
      </c>
      <c r="E379" s="6" t="s">
        <v>60</v>
      </c>
      <c r="F379" s="6" t="s">
        <v>58</v>
      </c>
      <c r="G379" s="6" t="n">
        <v>17</v>
      </c>
      <c r="H379" s="6" t="n">
        <v>1311900</v>
      </c>
      <c r="I379" s="6" t="n">
        <v>386500</v>
      </c>
      <c r="J379" s="6" t="n">
        <v>2301800</v>
      </c>
      <c r="K379" s="6" t="n">
        <v>989500</v>
      </c>
      <c r="L379" s="6" t="n">
        <v>16</v>
      </c>
      <c r="M379" s="6" t="n">
        <v>0</v>
      </c>
      <c r="N379" s="6" t="n">
        <v>1429.9</v>
      </c>
    </row>
    <row r="380" customFormat="false" ht="15" hidden="false" customHeight="false" outlineLevel="0" collapsed="false">
      <c r="A380" s="6" t="s">
        <v>37</v>
      </c>
      <c r="B380" s="6" t="s">
        <v>38</v>
      </c>
      <c r="C380" s="6" t="s">
        <v>53</v>
      </c>
      <c r="D380" s="6" t="s">
        <v>113</v>
      </c>
      <c r="E380" s="6" t="s">
        <v>60</v>
      </c>
      <c r="F380" s="6" t="s">
        <v>60</v>
      </c>
      <c r="G380" s="6" t="n">
        <v>43</v>
      </c>
      <c r="H380" s="6" t="n">
        <v>2544000</v>
      </c>
      <c r="I380" s="6" t="n">
        <v>1016100</v>
      </c>
      <c r="J380" s="6" t="n">
        <v>6338200</v>
      </c>
      <c r="K380" s="6" t="n">
        <v>3794400</v>
      </c>
      <c r="L380" s="6" t="n">
        <v>42</v>
      </c>
      <c r="M380" s="6" t="n">
        <v>0</v>
      </c>
      <c r="N380" s="6" t="n">
        <v>6829.3</v>
      </c>
    </row>
    <row r="381" customFormat="false" ht="15" hidden="false" customHeight="false" outlineLevel="0" collapsed="false">
      <c r="A381" s="6" t="s">
        <v>37</v>
      </c>
      <c r="B381" s="6" t="s">
        <v>38</v>
      </c>
      <c r="C381" s="6" t="s">
        <v>53</v>
      </c>
      <c r="D381" s="6" t="s">
        <v>114</v>
      </c>
      <c r="E381" s="6" t="s">
        <v>58</v>
      </c>
      <c r="F381" s="6" t="s">
        <v>58</v>
      </c>
      <c r="G381" s="6" t="n">
        <v>22</v>
      </c>
      <c r="H381" s="6" t="n">
        <v>1785600</v>
      </c>
      <c r="I381" s="6" t="n">
        <v>698700</v>
      </c>
      <c r="J381" s="6" t="n">
        <v>2470100</v>
      </c>
      <c r="K381" s="6" t="n">
        <v>684300</v>
      </c>
      <c r="L381" s="6" t="n">
        <v>19</v>
      </c>
      <c r="M381" s="6" t="n">
        <v>0</v>
      </c>
      <c r="N381" s="6" t="n">
        <v>983.6</v>
      </c>
    </row>
    <row r="382" customFormat="false" ht="15" hidden="false" customHeight="false" outlineLevel="0" collapsed="false">
      <c r="A382" s="6" t="s">
        <v>37</v>
      </c>
      <c r="B382" s="6" t="s">
        <v>38</v>
      </c>
      <c r="C382" s="6" t="s">
        <v>53</v>
      </c>
      <c r="D382" s="6" t="s">
        <v>114</v>
      </c>
      <c r="E382" s="6" t="s">
        <v>58</v>
      </c>
      <c r="F382" s="6" t="s">
        <v>60</v>
      </c>
      <c r="G382" s="6" t="n">
        <v>51</v>
      </c>
      <c r="H382" s="6" t="n">
        <v>2980300</v>
      </c>
      <c r="I382" s="6" t="n">
        <v>1274900</v>
      </c>
      <c r="J382" s="6" t="n">
        <v>7245200</v>
      </c>
      <c r="K382" s="6" t="n">
        <v>4264600</v>
      </c>
      <c r="L382" s="6" t="n">
        <v>49</v>
      </c>
      <c r="M382" s="6" t="n">
        <v>2</v>
      </c>
      <c r="N382" s="6" t="n">
        <v>7681.6</v>
      </c>
    </row>
    <row r="383" customFormat="false" ht="15" hidden="false" customHeight="false" outlineLevel="0" collapsed="false">
      <c r="A383" s="6" t="s">
        <v>37</v>
      </c>
      <c r="B383" s="6" t="s">
        <v>38</v>
      </c>
      <c r="C383" s="6" t="s">
        <v>53</v>
      </c>
      <c r="D383" s="6" t="s">
        <v>114</v>
      </c>
      <c r="E383" s="6" t="s">
        <v>60</v>
      </c>
      <c r="F383" s="6" t="s">
        <v>58</v>
      </c>
      <c r="G383" s="6" t="n">
        <v>7</v>
      </c>
      <c r="H383" s="6" t="n">
        <v>558300</v>
      </c>
      <c r="I383" s="6" t="n">
        <v>178800</v>
      </c>
      <c r="J383" s="6" t="n">
        <v>1012000</v>
      </c>
      <c r="K383" s="6" t="n">
        <v>453800</v>
      </c>
      <c r="L383" s="6" t="n">
        <v>5</v>
      </c>
      <c r="M383" s="6" t="n">
        <v>0</v>
      </c>
      <c r="N383" s="6" t="n">
        <v>822.4</v>
      </c>
    </row>
    <row r="384" customFormat="false" ht="15" hidden="false" customHeight="false" outlineLevel="0" collapsed="false">
      <c r="A384" s="6" t="s">
        <v>37</v>
      </c>
      <c r="B384" s="6" t="s">
        <v>38</v>
      </c>
      <c r="C384" s="6" t="s">
        <v>53</v>
      </c>
      <c r="D384" s="6" t="s">
        <v>114</v>
      </c>
      <c r="E384" s="6" t="s">
        <v>60</v>
      </c>
      <c r="F384" s="6" t="s">
        <v>60</v>
      </c>
      <c r="G384" s="6" t="n">
        <v>28</v>
      </c>
      <c r="H384" s="6" t="n">
        <v>1588800</v>
      </c>
      <c r="I384" s="6" t="n">
        <v>745300</v>
      </c>
      <c r="J384" s="6" t="n">
        <v>3818300</v>
      </c>
      <c r="K384" s="6" t="n">
        <v>2228900</v>
      </c>
      <c r="L384" s="6" t="n">
        <v>28</v>
      </c>
      <c r="M384" s="6" t="n">
        <v>0</v>
      </c>
      <c r="N384" s="6" t="n">
        <v>4062.4</v>
      </c>
    </row>
    <row r="385" customFormat="false" ht="15" hidden="false" customHeight="false" outlineLevel="0" collapsed="false">
      <c r="A385" s="6" t="s">
        <v>37</v>
      </c>
      <c r="B385" s="6" t="s">
        <v>38</v>
      </c>
      <c r="C385" s="6" t="s">
        <v>51</v>
      </c>
      <c r="D385" s="6" t="s">
        <v>111</v>
      </c>
      <c r="E385" s="6" t="s">
        <v>58</v>
      </c>
      <c r="F385" s="6" t="s">
        <v>58</v>
      </c>
      <c r="G385" s="6" t="n">
        <v>24</v>
      </c>
      <c r="H385" s="6" t="n">
        <v>2763700</v>
      </c>
      <c r="I385" s="6" t="n">
        <v>1140400</v>
      </c>
      <c r="J385" s="6" t="n">
        <v>3742000</v>
      </c>
      <c r="K385" s="6" t="n">
        <v>978200</v>
      </c>
      <c r="L385" s="6" t="n">
        <v>17</v>
      </c>
      <c r="M385" s="6" t="n">
        <v>0</v>
      </c>
      <c r="N385" s="6" t="n">
        <v>1016.4</v>
      </c>
    </row>
    <row r="386" customFormat="false" ht="15" hidden="false" customHeight="false" outlineLevel="0" collapsed="false">
      <c r="A386" s="6" t="s">
        <v>37</v>
      </c>
      <c r="B386" s="6" t="s">
        <v>38</v>
      </c>
      <c r="C386" s="6" t="s">
        <v>51</v>
      </c>
      <c r="D386" s="6" t="s">
        <v>111</v>
      </c>
      <c r="E386" s="6" t="s">
        <v>58</v>
      </c>
      <c r="F386" s="6" t="s">
        <v>60</v>
      </c>
      <c r="G386" s="6" t="n">
        <v>40</v>
      </c>
      <c r="H386" s="6" t="n">
        <v>3267500</v>
      </c>
      <c r="I386" s="6" t="n">
        <v>1393100</v>
      </c>
      <c r="J386" s="6" t="n">
        <v>8225800</v>
      </c>
      <c r="K386" s="6" t="n">
        <v>4958500</v>
      </c>
      <c r="L386" s="6" t="n">
        <v>38</v>
      </c>
      <c r="M386" s="6" t="n">
        <v>0</v>
      </c>
      <c r="N386" s="6" t="n">
        <v>6417</v>
      </c>
    </row>
    <row r="387" customFormat="false" ht="15" hidden="false" customHeight="false" outlineLevel="0" collapsed="false">
      <c r="A387" s="6" t="s">
        <v>37</v>
      </c>
      <c r="B387" s="6" t="s">
        <v>38</v>
      </c>
      <c r="C387" s="6" t="s">
        <v>51</v>
      </c>
      <c r="D387" s="6" t="s">
        <v>111</v>
      </c>
      <c r="E387" s="6" t="s">
        <v>60</v>
      </c>
      <c r="F387" s="6" t="s">
        <v>58</v>
      </c>
      <c r="G387" s="6" t="n">
        <v>9</v>
      </c>
      <c r="H387" s="6" t="n">
        <v>1168500</v>
      </c>
      <c r="I387" s="6" t="n">
        <v>288800</v>
      </c>
      <c r="J387" s="6" t="n">
        <v>1430900</v>
      </c>
      <c r="K387" s="6" t="n">
        <v>262300</v>
      </c>
      <c r="L387" s="6" t="n">
        <v>6</v>
      </c>
      <c r="M387" s="6" t="n">
        <v>0</v>
      </c>
      <c r="N387" s="6" t="n">
        <v>243.9</v>
      </c>
    </row>
    <row r="388" customFormat="false" ht="15" hidden="false" customHeight="false" outlineLevel="0" collapsed="false">
      <c r="A388" s="6" t="s">
        <v>37</v>
      </c>
      <c r="B388" s="6" t="s">
        <v>38</v>
      </c>
      <c r="C388" s="6" t="s">
        <v>51</v>
      </c>
      <c r="D388" s="6" t="s">
        <v>111</v>
      </c>
      <c r="E388" s="6" t="s">
        <v>60</v>
      </c>
      <c r="F388" s="6" t="s">
        <v>60</v>
      </c>
      <c r="G388" s="6" t="n">
        <v>23</v>
      </c>
      <c r="H388" s="6" t="n">
        <v>1988100</v>
      </c>
      <c r="I388" s="6" t="n">
        <v>1032400</v>
      </c>
      <c r="J388" s="6" t="n">
        <v>4692000</v>
      </c>
      <c r="K388" s="6" t="n">
        <v>2704200</v>
      </c>
      <c r="L388" s="6" t="n">
        <v>23</v>
      </c>
      <c r="M388" s="6" t="n">
        <v>0</v>
      </c>
      <c r="N388" s="6" t="n">
        <v>3214</v>
      </c>
    </row>
    <row r="389" customFormat="false" ht="15" hidden="false" customHeight="false" outlineLevel="0" collapsed="false">
      <c r="A389" s="6" t="s">
        <v>37</v>
      </c>
      <c r="B389" s="6" t="s">
        <v>38</v>
      </c>
      <c r="C389" s="6" t="s">
        <v>51</v>
      </c>
      <c r="D389" s="6" t="s">
        <v>112</v>
      </c>
      <c r="E389" s="6" t="s">
        <v>58</v>
      </c>
      <c r="F389" s="6" t="s">
        <v>58</v>
      </c>
      <c r="G389" s="6" t="n">
        <v>20</v>
      </c>
      <c r="H389" s="6" t="n">
        <v>2484100</v>
      </c>
      <c r="I389" s="6" t="n">
        <v>890000</v>
      </c>
      <c r="J389" s="6" t="n">
        <v>3303600</v>
      </c>
      <c r="K389" s="6" t="n">
        <v>819300</v>
      </c>
      <c r="L389" s="6" t="n">
        <v>13</v>
      </c>
      <c r="M389" s="6" t="n">
        <v>0</v>
      </c>
      <c r="N389" s="6" t="n">
        <v>813.6</v>
      </c>
    </row>
    <row r="390" customFormat="false" ht="15" hidden="false" customHeight="false" outlineLevel="0" collapsed="false">
      <c r="A390" s="6" t="s">
        <v>37</v>
      </c>
      <c r="B390" s="6" t="s">
        <v>38</v>
      </c>
      <c r="C390" s="6" t="s">
        <v>51</v>
      </c>
      <c r="D390" s="6" t="s">
        <v>112</v>
      </c>
      <c r="E390" s="6" t="s">
        <v>58</v>
      </c>
      <c r="F390" s="6" t="s">
        <v>60</v>
      </c>
      <c r="G390" s="6" t="n">
        <v>39</v>
      </c>
      <c r="H390" s="6" t="n">
        <v>3385600</v>
      </c>
      <c r="I390" s="6" t="n">
        <v>1729400</v>
      </c>
      <c r="J390" s="6" t="n">
        <v>7647400</v>
      </c>
      <c r="K390" s="6" t="n">
        <v>4261500</v>
      </c>
      <c r="L390" s="6" t="n">
        <v>37</v>
      </c>
      <c r="M390" s="6" t="n">
        <v>0</v>
      </c>
      <c r="N390" s="6" t="n">
        <v>5456.6</v>
      </c>
    </row>
    <row r="391" customFormat="false" ht="15" hidden="false" customHeight="false" outlineLevel="0" collapsed="false">
      <c r="A391" s="6" t="s">
        <v>37</v>
      </c>
      <c r="B391" s="6" t="s">
        <v>38</v>
      </c>
      <c r="C391" s="6" t="s">
        <v>51</v>
      </c>
      <c r="D391" s="6" t="s">
        <v>112</v>
      </c>
      <c r="E391" s="6" t="s">
        <v>60</v>
      </c>
      <c r="F391" s="6" t="s">
        <v>58</v>
      </c>
      <c r="G391" s="6" t="n">
        <v>18</v>
      </c>
      <c r="H391" s="6" t="n">
        <v>2041500</v>
      </c>
      <c r="I391" s="6" t="n">
        <v>806200</v>
      </c>
      <c r="J391" s="6" t="n">
        <v>3545200</v>
      </c>
      <c r="K391" s="6" t="n">
        <v>1504100</v>
      </c>
      <c r="L391" s="6" t="n">
        <v>17</v>
      </c>
      <c r="M391" s="6" t="n">
        <v>0</v>
      </c>
      <c r="N391" s="6" t="n">
        <v>1388.5</v>
      </c>
    </row>
    <row r="392" customFormat="false" ht="15" hidden="false" customHeight="false" outlineLevel="0" collapsed="false">
      <c r="A392" s="6" t="s">
        <v>37</v>
      </c>
      <c r="B392" s="6" t="s">
        <v>38</v>
      </c>
      <c r="C392" s="6" t="s">
        <v>51</v>
      </c>
      <c r="D392" s="6" t="s">
        <v>112</v>
      </c>
      <c r="E392" s="6" t="s">
        <v>60</v>
      </c>
      <c r="F392" s="6" t="s">
        <v>60</v>
      </c>
      <c r="G392" s="6" t="n">
        <v>24</v>
      </c>
      <c r="H392" s="6" t="n">
        <v>1869600</v>
      </c>
      <c r="I392" s="6" t="n">
        <v>1146200</v>
      </c>
      <c r="J392" s="6" t="n">
        <v>4606900</v>
      </c>
      <c r="K392" s="6" t="n">
        <v>2737400</v>
      </c>
      <c r="L392" s="6" t="n">
        <v>24</v>
      </c>
      <c r="M392" s="6" t="n">
        <v>0</v>
      </c>
      <c r="N392" s="6" t="n">
        <v>3650.2</v>
      </c>
    </row>
    <row r="393" customFormat="false" ht="15" hidden="false" customHeight="false" outlineLevel="0" collapsed="false">
      <c r="A393" s="6" t="s">
        <v>37</v>
      </c>
      <c r="B393" s="6" t="s">
        <v>38</v>
      </c>
      <c r="C393" s="6" t="s">
        <v>51</v>
      </c>
      <c r="D393" s="6" t="s">
        <v>113</v>
      </c>
      <c r="E393" s="6" t="s">
        <v>58</v>
      </c>
      <c r="F393" s="6" t="s">
        <v>58</v>
      </c>
      <c r="G393" s="6" t="n">
        <v>26</v>
      </c>
      <c r="H393" s="6" t="n">
        <v>2988100</v>
      </c>
      <c r="I393" s="6" t="n">
        <v>974700</v>
      </c>
      <c r="J393" s="6" t="n">
        <v>4346700</v>
      </c>
      <c r="K393" s="6" t="n">
        <v>1359200</v>
      </c>
      <c r="L393" s="6" t="n">
        <v>20</v>
      </c>
      <c r="M393" s="6" t="n">
        <v>0</v>
      </c>
      <c r="N393" s="6" t="n">
        <v>1335.1</v>
      </c>
    </row>
    <row r="394" customFormat="false" ht="15" hidden="false" customHeight="false" outlineLevel="0" collapsed="false">
      <c r="A394" s="6" t="s">
        <v>37</v>
      </c>
      <c r="B394" s="6" t="s">
        <v>38</v>
      </c>
      <c r="C394" s="6" t="s">
        <v>51</v>
      </c>
      <c r="D394" s="6" t="s">
        <v>113</v>
      </c>
      <c r="E394" s="6" t="s">
        <v>58</v>
      </c>
      <c r="F394" s="6" t="s">
        <v>60</v>
      </c>
      <c r="G394" s="6" t="n">
        <v>43</v>
      </c>
      <c r="H394" s="6" t="n">
        <v>3602800</v>
      </c>
      <c r="I394" s="6" t="n">
        <v>1896600</v>
      </c>
      <c r="J394" s="6" t="n">
        <v>8587800</v>
      </c>
      <c r="K394" s="6" t="n">
        <v>4985200</v>
      </c>
      <c r="L394" s="6" t="n">
        <v>42</v>
      </c>
      <c r="M394" s="6" t="n">
        <v>0</v>
      </c>
      <c r="N394" s="6" t="n">
        <v>6259.7</v>
      </c>
    </row>
    <row r="395" customFormat="false" ht="15" hidden="false" customHeight="false" outlineLevel="0" collapsed="false">
      <c r="A395" s="6" t="s">
        <v>37</v>
      </c>
      <c r="B395" s="6" t="s">
        <v>38</v>
      </c>
      <c r="C395" s="6" t="s">
        <v>51</v>
      </c>
      <c r="D395" s="6" t="s">
        <v>113</v>
      </c>
      <c r="E395" s="6" t="s">
        <v>60</v>
      </c>
      <c r="F395" s="6" t="s">
        <v>58</v>
      </c>
      <c r="G395" s="6" t="n">
        <v>13</v>
      </c>
      <c r="H395" s="6" t="n">
        <v>1584300</v>
      </c>
      <c r="I395" s="6" t="n">
        <v>771600</v>
      </c>
      <c r="J395" s="6" t="n">
        <v>2243600</v>
      </c>
      <c r="K395" s="6" t="n">
        <v>658800</v>
      </c>
      <c r="L395" s="6" t="n">
        <v>10</v>
      </c>
      <c r="M395" s="6" t="n">
        <v>0</v>
      </c>
      <c r="N395" s="6" t="n">
        <v>682.4</v>
      </c>
    </row>
    <row r="396" customFormat="false" ht="15" hidden="false" customHeight="false" outlineLevel="0" collapsed="false">
      <c r="A396" s="6" t="s">
        <v>37</v>
      </c>
      <c r="B396" s="6" t="s">
        <v>38</v>
      </c>
      <c r="C396" s="6" t="s">
        <v>51</v>
      </c>
      <c r="D396" s="6" t="s">
        <v>113</v>
      </c>
      <c r="E396" s="6" t="s">
        <v>60</v>
      </c>
      <c r="F396" s="6" t="s">
        <v>60</v>
      </c>
      <c r="G396" s="6" t="n">
        <v>21</v>
      </c>
      <c r="H396" s="6" t="n">
        <v>1709800</v>
      </c>
      <c r="I396" s="6" t="n">
        <v>796500</v>
      </c>
      <c r="J396" s="6" t="n">
        <v>4287000</v>
      </c>
      <c r="K396" s="6" t="n">
        <v>2577200</v>
      </c>
      <c r="L396" s="6" t="n">
        <v>21</v>
      </c>
      <c r="M396" s="6" t="n">
        <v>0</v>
      </c>
      <c r="N396" s="6" t="n">
        <v>3445.7</v>
      </c>
    </row>
    <row r="397" customFormat="false" ht="15" hidden="false" customHeight="false" outlineLevel="0" collapsed="false">
      <c r="A397" s="6" t="s">
        <v>37</v>
      </c>
      <c r="B397" s="6" t="s">
        <v>38</v>
      </c>
      <c r="C397" s="6" t="s">
        <v>51</v>
      </c>
      <c r="D397" s="6" t="s">
        <v>114</v>
      </c>
      <c r="E397" s="6" t="s">
        <v>58</v>
      </c>
      <c r="F397" s="6" t="s">
        <v>58</v>
      </c>
      <c r="G397" s="6" t="n">
        <v>15</v>
      </c>
      <c r="H397" s="6" t="n">
        <v>1749800</v>
      </c>
      <c r="I397" s="6" t="n">
        <v>910400</v>
      </c>
      <c r="J397" s="6" t="n">
        <v>2769700</v>
      </c>
      <c r="K397" s="6" t="n">
        <v>1019700</v>
      </c>
      <c r="L397" s="6" t="n">
        <v>12</v>
      </c>
      <c r="M397" s="6" t="n">
        <v>0</v>
      </c>
      <c r="N397" s="6" t="n">
        <v>909.1</v>
      </c>
    </row>
    <row r="398" customFormat="false" ht="15" hidden="false" customHeight="false" outlineLevel="0" collapsed="false">
      <c r="A398" s="6" t="s">
        <v>37</v>
      </c>
      <c r="B398" s="6" t="s">
        <v>38</v>
      </c>
      <c r="C398" s="6" t="s">
        <v>51</v>
      </c>
      <c r="D398" s="6" t="s">
        <v>114</v>
      </c>
      <c r="E398" s="6" t="s">
        <v>58</v>
      </c>
      <c r="F398" s="6" t="s">
        <v>60</v>
      </c>
      <c r="G398" s="6" t="n">
        <v>37</v>
      </c>
      <c r="H398" s="6" t="n">
        <v>3003900</v>
      </c>
      <c r="I398" s="6" t="n">
        <v>1416200</v>
      </c>
      <c r="J398" s="6" t="n">
        <v>6499100</v>
      </c>
      <c r="K398" s="6" t="n">
        <v>3495300</v>
      </c>
      <c r="L398" s="6" t="n">
        <v>35</v>
      </c>
      <c r="M398" s="6" t="n">
        <v>0</v>
      </c>
      <c r="N398" s="6" t="n">
        <v>4489.9</v>
      </c>
    </row>
    <row r="399" customFormat="false" ht="15" hidden="false" customHeight="false" outlineLevel="0" collapsed="false">
      <c r="A399" s="6" t="s">
        <v>37</v>
      </c>
      <c r="B399" s="6" t="s">
        <v>38</v>
      </c>
      <c r="C399" s="6" t="s">
        <v>51</v>
      </c>
      <c r="D399" s="6" t="s">
        <v>114</v>
      </c>
      <c r="E399" s="6" t="s">
        <v>60</v>
      </c>
      <c r="F399" s="6" t="s">
        <v>58</v>
      </c>
      <c r="G399" s="6" t="n">
        <v>11</v>
      </c>
      <c r="H399" s="6" t="n">
        <v>1234200</v>
      </c>
      <c r="I399" s="6" t="n">
        <v>580500</v>
      </c>
      <c r="J399" s="6" t="n">
        <v>1849400</v>
      </c>
      <c r="K399" s="6" t="n">
        <v>615400</v>
      </c>
      <c r="L399" s="6" t="n">
        <v>10</v>
      </c>
      <c r="M399" s="6" t="n">
        <v>0</v>
      </c>
      <c r="N399" s="6" t="n">
        <v>524.5</v>
      </c>
    </row>
    <row r="400" customFormat="false" ht="15" hidden="false" customHeight="false" outlineLevel="0" collapsed="false">
      <c r="A400" s="6" t="s">
        <v>37</v>
      </c>
      <c r="B400" s="6" t="s">
        <v>38</v>
      </c>
      <c r="C400" s="6" t="s">
        <v>51</v>
      </c>
      <c r="D400" s="6" t="s">
        <v>114</v>
      </c>
      <c r="E400" s="6" t="s">
        <v>60</v>
      </c>
      <c r="F400" s="6" t="s">
        <v>60</v>
      </c>
      <c r="G400" s="6" t="n">
        <v>17</v>
      </c>
      <c r="H400" s="6" t="n">
        <v>1407300</v>
      </c>
      <c r="I400" s="6" t="n">
        <v>486200</v>
      </c>
      <c r="J400" s="6" t="n">
        <v>3915000</v>
      </c>
      <c r="K400" s="6" t="n">
        <v>2507700</v>
      </c>
      <c r="L400" s="6" t="n">
        <v>17</v>
      </c>
      <c r="M400" s="6" t="n">
        <v>1</v>
      </c>
      <c r="N400" s="6" t="n">
        <v>3508.7</v>
      </c>
    </row>
    <row r="401" customFormat="false" ht="15" hidden="false" customHeight="false" outlineLevel="0" collapsed="false">
      <c r="A401" s="6" t="s">
        <v>29</v>
      </c>
      <c r="B401" s="6" t="s">
        <v>24</v>
      </c>
      <c r="C401" s="6" t="s">
        <v>54</v>
      </c>
      <c r="D401" s="6" t="s">
        <v>111</v>
      </c>
      <c r="E401" s="6" t="s">
        <v>58</v>
      </c>
      <c r="F401" s="6" t="s">
        <v>58</v>
      </c>
      <c r="G401" s="6" t="n">
        <v>8</v>
      </c>
      <c r="H401" s="6" t="n">
        <v>1047700</v>
      </c>
      <c r="I401" s="6" t="n">
        <v>710000</v>
      </c>
      <c r="J401" s="6" t="n">
        <v>2704500</v>
      </c>
      <c r="K401" s="6" t="n">
        <v>1656900</v>
      </c>
      <c r="L401" s="6" t="n">
        <v>8</v>
      </c>
      <c r="M401" s="6" t="n">
        <v>1</v>
      </c>
      <c r="N401" s="6" t="n">
        <v>1245.7</v>
      </c>
    </row>
    <row r="402" customFormat="false" ht="15" hidden="false" customHeight="false" outlineLevel="0" collapsed="false">
      <c r="A402" s="6" t="s">
        <v>29</v>
      </c>
      <c r="B402" s="6" t="s">
        <v>24</v>
      </c>
      <c r="C402" s="6" t="s">
        <v>54</v>
      </c>
      <c r="D402" s="6" t="s">
        <v>111</v>
      </c>
      <c r="E402" s="6" t="s">
        <v>58</v>
      </c>
      <c r="F402" s="6" t="s">
        <v>60</v>
      </c>
      <c r="G402" s="6" t="n">
        <v>11</v>
      </c>
      <c r="H402" s="6" t="n">
        <v>1215300</v>
      </c>
      <c r="I402" s="6" t="n">
        <v>521300</v>
      </c>
      <c r="J402" s="6" t="n">
        <v>4331500</v>
      </c>
      <c r="K402" s="6" t="n">
        <v>3115900</v>
      </c>
      <c r="L402" s="6" t="n">
        <v>11</v>
      </c>
      <c r="M402" s="6" t="n">
        <v>2</v>
      </c>
      <c r="N402" s="6" t="n">
        <v>2886.3</v>
      </c>
    </row>
    <row r="403" customFormat="false" ht="15" hidden="false" customHeight="false" outlineLevel="0" collapsed="false">
      <c r="A403" s="6" t="s">
        <v>29</v>
      </c>
      <c r="B403" s="6" t="s">
        <v>24</v>
      </c>
      <c r="C403" s="6" t="s">
        <v>54</v>
      </c>
      <c r="D403" s="6" t="s">
        <v>111</v>
      </c>
      <c r="E403" s="6" t="s">
        <v>60</v>
      </c>
      <c r="F403" s="6" t="s">
        <v>58</v>
      </c>
      <c r="G403" s="6" t="n">
        <v>8</v>
      </c>
      <c r="H403" s="6" t="n">
        <v>1384600</v>
      </c>
      <c r="I403" s="6" t="n">
        <v>476700</v>
      </c>
      <c r="J403" s="6" t="n">
        <v>2850000</v>
      </c>
      <c r="K403" s="6" t="n">
        <v>1465500</v>
      </c>
      <c r="L403" s="6" t="n">
        <v>8</v>
      </c>
      <c r="M403" s="6" t="n">
        <v>2</v>
      </c>
      <c r="N403" s="6" t="n">
        <v>986.8</v>
      </c>
    </row>
    <row r="404" customFormat="false" ht="15" hidden="false" customHeight="false" outlineLevel="0" collapsed="false">
      <c r="A404" s="6" t="s">
        <v>29</v>
      </c>
      <c r="B404" s="6" t="s">
        <v>24</v>
      </c>
      <c r="C404" s="6" t="s">
        <v>54</v>
      </c>
      <c r="D404" s="6" t="s">
        <v>111</v>
      </c>
      <c r="E404" s="6" t="s">
        <v>60</v>
      </c>
      <c r="F404" s="6" t="s">
        <v>60</v>
      </c>
      <c r="G404" s="6" t="n">
        <v>8</v>
      </c>
      <c r="H404" s="6" t="n">
        <v>799200</v>
      </c>
      <c r="I404" s="6" t="n">
        <v>363200</v>
      </c>
      <c r="J404" s="6" t="n">
        <v>3343800</v>
      </c>
      <c r="K404" s="6" t="n">
        <v>2544700</v>
      </c>
      <c r="L404" s="6" t="n">
        <v>8</v>
      </c>
      <c r="M404" s="6" t="n">
        <v>2</v>
      </c>
      <c r="N404" s="6" t="n">
        <v>2590.5</v>
      </c>
    </row>
    <row r="405" customFormat="false" ht="15" hidden="false" customHeight="false" outlineLevel="0" collapsed="false">
      <c r="A405" s="6" t="s">
        <v>29</v>
      </c>
      <c r="B405" s="6" t="s">
        <v>24</v>
      </c>
      <c r="C405" s="6" t="s">
        <v>54</v>
      </c>
      <c r="D405" s="6" t="s">
        <v>112</v>
      </c>
      <c r="E405" s="6" t="s">
        <v>58</v>
      </c>
      <c r="F405" s="6" t="s">
        <v>58</v>
      </c>
      <c r="G405" s="6" t="n">
        <v>2</v>
      </c>
      <c r="H405" s="6" t="n">
        <v>404900</v>
      </c>
      <c r="I405" s="6" t="n">
        <v>0</v>
      </c>
      <c r="J405" s="6" t="n">
        <v>484000</v>
      </c>
      <c r="K405" s="6" t="n">
        <v>79000</v>
      </c>
      <c r="L405" s="6" t="n">
        <v>1</v>
      </c>
      <c r="M405" s="6" t="n">
        <v>0</v>
      </c>
      <c r="N405" s="6" t="n">
        <v>51</v>
      </c>
    </row>
    <row r="406" customFormat="false" ht="15" hidden="false" customHeight="false" outlineLevel="0" collapsed="false">
      <c r="A406" s="6" t="s">
        <v>29</v>
      </c>
      <c r="B406" s="6" t="s">
        <v>24</v>
      </c>
      <c r="C406" s="6" t="s">
        <v>54</v>
      </c>
      <c r="D406" s="6" t="s">
        <v>112</v>
      </c>
      <c r="E406" s="6" t="s">
        <v>58</v>
      </c>
      <c r="F406" s="6" t="s">
        <v>60</v>
      </c>
      <c r="G406" s="6" t="n">
        <v>12</v>
      </c>
      <c r="H406" s="6" t="n">
        <v>1257800</v>
      </c>
      <c r="I406" s="6" t="n">
        <v>727400</v>
      </c>
      <c r="J406" s="6" t="n">
        <v>5004000</v>
      </c>
      <c r="K406" s="6" t="n">
        <v>3746400</v>
      </c>
      <c r="L406" s="6" t="n">
        <v>12</v>
      </c>
      <c r="M406" s="6" t="n">
        <v>3</v>
      </c>
      <c r="N406" s="6" t="n">
        <v>3597.4</v>
      </c>
    </row>
    <row r="407" customFormat="false" ht="15" hidden="false" customHeight="false" outlineLevel="0" collapsed="false">
      <c r="A407" s="6" t="s">
        <v>29</v>
      </c>
      <c r="B407" s="6" t="s">
        <v>24</v>
      </c>
      <c r="C407" s="6" t="s">
        <v>54</v>
      </c>
      <c r="D407" s="6" t="s">
        <v>112</v>
      </c>
      <c r="E407" s="6" t="s">
        <v>60</v>
      </c>
      <c r="F407" s="6" t="s">
        <v>58</v>
      </c>
      <c r="G407" s="6" t="n">
        <v>7</v>
      </c>
      <c r="H407" s="6" t="n">
        <v>973200</v>
      </c>
      <c r="I407" s="6" t="n">
        <v>368600</v>
      </c>
      <c r="J407" s="6" t="n">
        <v>3207600</v>
      </c>
      <c r="K407" s="6" t="n">
        <v>2234400</v>
      </c>
      <c r="L407" s="6" t="n">
        <v>7</v>
      </c>
      <c r="M407" s="6" t="n">
        <v>1</v>
      </c>
      <c r="N407" s="6" t="n">
        <v>1546.1</v>
      </c>
    </row>
    <row r="408" customFormat="false" ht="15" hidden="false" customHeight="false" outlineLevel="0" collapsed="false">
      <c r="A408" s="6" t="s">
        <v>29</v>
      </c>
      <c r="B408" s="6" t="s">
        <v>24</v>
      </c>
      <c r="C408" s="6" t="s">
        <v>54</v>
      </c>
      <c r="D408" s="6" t="s">
        <v>112</v>
      </c>
      <c r="E408" s="6" t="s">
        <v>60</v>
      </c>
      <c r="F408" s="6" t="s">
        <v>60</v>
      </c>
      <c r="G408" s="6" t="n">
        <v>16</v>
      </c>
      <c r="H408" s="6" t="n">
        <v>1611900</v>
      </c>
      <c r="I408" s="6" t="n">
        <v>965800</v>
      </c>
      <c r="J408" s="6" t="n">
        <v>5716700</v>
      </c>
      <c r="K408" s="6" t="n">
        <v>4104500</v>
      </c>
      <c r="L408" s="6" t="n">
        <v>16</v>
      </c>
      <c r="M408" s="6" t="n">
        <v>3</v>
      </c>
      <c r="N408" s="6" t="n">
        <v>4162.7</v>
      </c>
    </row>
    <row r="409" customFormat="false" ht="15" hidden="false" customHeight="false" outlineLevel="0" collapsed="false">
      <c r="A409" s="6" t="s">
        <v>29</v>
      </c>
      <c r="B409" s="6" t="s">
        <v>24</v>
      </c>
      <c r="C409" s="6" t="s">
        <v>54</v>
      </c>
      <c r="D409" s="6" t="s">
        <v>113</v>
      </c>
      <c r="E409" s="6" t="s">
        <v>58</v>
      </c>
      <c r="F409" s="6" t="s">
        <v>58</v>
      </c>
      <c r="G409" s="6" t="n">
        <v>8</v>
      </c>
      <c r="H409" s="6" t="n">
        <v>1092200</v>
      </c>
      <c r="I409" s="6" t="n">
        <v>453900</v>
      </c>
      <c r="J409" s="6" t="n">
        <v>2750800</v>
      </c>
      <c r="K409" s="6" t="n">
        <v>1658800</v>
      </c>
      <c r="L409" s="6" t="n">
        <v>8</v>
      </c>
      <c r="M409" s="6" t="n">
        <v>1</v>
      </c>
      <c r="N409" s="6" t="n">
        <v>1309.1</v>
      </c>
    </row>
    <row r="410" customFormat="false" ht="15" hidden="false" customHeight="false" outlineLevel="0" collapsed="false">
      <c r="A410" s="6" t="s">
        <v>29</v>
      </c>
      <c r="B410" s="6" t="s">
        <v>24</v>
      </c>
      <c r="C410" s="6" t="s">
        <v>54</v>
      </c>
      <c r="D410" s="6" t="s">
        <v>113</v>
      </c>
      <c r="E410" s="6" t="s">
        <v>58</v>
      </c>
      <c r="F410" s="6" t="s">
        <v>60</v>
      </c>
      <c r="G410" s="6" t="n">
        <v>20</v>
      </c>
      <c r="H410" s="6" t="n">
        <v>2147700</v>
      </c>
      <c r="I410" s="6" t="n">
        <v>864900</v>
      </c>
      <c r="J410" s="6" t="n">
        <v>7111900</v>
      </c>
      <c r="K410" s="6" t="n">
        <v>4964100</v>
      </c>
      <c r="L410" s="6" t="n">
        <v>20</v>
      </c>
      <c r="M410" s="6" t="n">
        <v>2</v>
      </c>
      <c r="N410" s="6" t="n">
        <v>4868.1</v>
      </c>
    </row>
    <row r="411" customFormat="false" ht="15" hidden="false" customHeight="false" outlineLevel="0" collapsed="false">
      <c r="A411" s="6" t="s">
        <v>29</v>
      </c>
      <c r="B411" s="6" t="s">
        <v>24</v>
      </c>
      <c r="C411" s="6" t="s">
        <v>54</v>
      </c>
      <c r="D411" s="6" t="s">
        <v>113</v>
      </c>
      <c r="E411" s="6" t="s">
        <v>60</v>
      </c>
      <c r="F411" s="6" t="s">
        <v>58</v>
      </c>
      <c r="G411" s="6" t="n">
        <v>5</v>
      </c>
      <c r="H411" s="6" t="n">
        <v>690000</v>
      </c>
      <c r="I411" s="6" t="n">
        <v>220400</v>
      </c>
      <c r="J411" s="6" t="n">
        <v>1058000</v>
      </c>
      <c r="K411" s="6" t="n">
        <v>368000</v>
      </c>
      <c r="L411" s="6" t="n">
        <v>5</v>
      </c>
      <c r="M411" s="6" t="n">
        <v>0</v>
      </c>
      <c r="N411" s="6" t="n">
        <v>286.9</v>
      </c>
    </row>
    <row r="412" customFormat="false" ht="15" hidden="false" customHeight="false" outlineLevel="0" collapsed="false">
      <c r="A412" s="6" t="s">
        <v>29</v>
      </c>
      <c r="B412" s="6" t="s">
        <v>24</v>
      </c>
      <c r="C412" s="6" t="s">
        <v>54</v>
      </c>
      <c r="D412" s="6" t="s">
        <v>113</v>
      </c>
      <c r="E412" s="6" t="s">
        <v>60</v>
      </c>
      <c r="F412" s="6" t="s">
        <v>60</v>
      </c>
      <c r="G412" s="6" t="n">
        <v>19</v>
      </c>
      <c r="H412" s="6" t="n">
        <v>2047300</v>
      </c>
      <c r="I412" s="6" t="n">
        <v>1087300</v>
      </c>
      <c r="J412" s="6" t="n">
        <v>8058500</v>
      </c>
      <c r="K412" s="6" t="n">
        <v>6011400</v>
      </c>
      <c r="L412" s="6" t="n">
        <v>19</v>
      </c>
      <c r="M412" s="6" t="n">
        <v>4</v>
      </c>
      <c r="N412" s="6" t="n">
        <v>5730.7</v>
      </c>
    </row>
    <row r="413" customFormat="false" ht="15" hidden="false" customHeight="false" outlineLevel="0" collapsed="false">
      <c r="A413" s="6" t="s">
        <v>29</v>
      </c>
      <c r="B413" s="6" t="s">
        <v>24</v>
      </c>
      <c r="C413" s="6" t="s">
        <v>54</v>
      </c>
      <c r="D413" s="6" t="s">
        <v>114</v>
      </c>
      <c r="E413" s="6" t="s">
        <v>58</v>
      </c>
      <c r="F413" s="6" t="s">
        <v>58</v>
      </c>
      <c r="G413" s="6" t="n">
        <v>5</v>
      </c>
      <c r="H413" s="6" t="n">
        <v>792400</v>
      </c>
      <c r="I413" s="6" t="n">
        <v>607100</v>
      </c>
      <c r="J413" s="6" t="n">
        <v>1844600</v>
      </c>
      <c r="K413" s="6" t="n">
        <v>1052100</v>
      </c>
      <c r="L413" s="6" t="n">
        <v>5</v>
      </c>
      <c r="M413" s="6" t="n">
        <v>0</v>
      </c>
      <c r="N413" s="6" t="n">
        <v>643.4</v>
      </c>
    </row>
    <row r="414" customFormat="false" ht="15" hidden="false" customHeight="false" outlineLevel="0" collapsed="false">
      <c r="A414" s="6" t="s">
        <v>29</v>
      </c>
      <c r="B414" s="6" t="s">
        <v>24</v>
      </c>
      <c r="C414" s="6" t="s">
        <v>54</v>
      </c>
      <c r="D414" s="6" t="s">
        <v>114</v>
      </c>
      <c r="E414" s="6" t="s">
        <v>58</v>
      </c>
      <c r="F414" s="6" t="s">
        <v>60</v>
      </c>
      <c r="G414" s="6" t="n">
        <v>8</v>
      </c>
      <c r="H414" s="6" t="n">
        <v>808400</v>
      </c>
      <c r="I414" s="6" t="n">
        <v>377400</v>
      </c>
      <c r="J414" s="6" t="n">
        <v>3046600</v>
      </c>
      <c r="K414" s="6" t="n">
        <v>2238200</v>
      </c>
      <c r="L414" s="6" t="n">
        <v>8</v>
      </c>
      <c r="M414" s="6" t="n">
        <v>1</v>
      </c>
      <c r="N414" s="6" t="n">
        <v>2222.4</v>
      </c>
    </row>
    <row r="415" customFormat="false" ht="15" hidden="false" customHeight="false" outlineLevel="0" collapsed="false">
      <c r="A415" s="6" t="s">
        <v>29</v>
      </c>
      <c r="B415" s="6" t="s">
        <v>24</v>
      </c>
      <c r="C415" s="6" t="s">
        <v>54</v>
      </c>
      <c r="D415" s="6" t="s">
        <v>114</v>
      </c>
      <c r="E415" s="6" t="s">
        <v>60</v>
      </c>
      <c r="F415" s="6" t="s">
        <v>58</v>
      </c>
      <c r="G415" s="6" t="n">
        <v>3</v>
      </c>
      <c r="H415" s="6" t="n">
        <v>497800</v>
      </c>
      <c r="I415" s="6" t="n">
        <v>280000</v>
      </c>
      <c r="J415" s="6" t="n">
        <v>964400</v>
      </c>
      <c r="K415" s="6" t="n">
        <v>466600</v>
      </c>
      <c r="L415" s="6" t="n">
        <v>3</v>
      </c>
      <c r="M415" s="6" t="n">
        <v>0</v>
      </c>
      <c r="N415" s="6" t="n">
        <v>336.1</v>
      </c>
    </row>
    <row r="416" customFormat="false" ht="15" hidden="false" customHeight="false" outlineLevel="0" collapsed="false">
      <c r="A416" s="6" t="s">
        <v>29</v>
      </c>
      <c r="B416" s="6" t="s">
        <v>24</v>
      </c>
      <c r="C416" s="6" t="s">
        <v>54</v>
      </c>
      <c r="D416" s="6" t="s">
        <v>114</v>
      </c>
      <c r="E416" s="6" t="s">
        <v>60</v>
      </c>
      <c r="F416" s="6" t="s">
        <v>60</v>
      </c>
      <c r="G416" s="6" t="n">
        <v>8</v>
      </c>
      <c r="H416" s="6" t="n">
        <v>869400</v>
      </c>
      <c r="I416" s="6" t="n">
        <v>355600</v>
      </c>
      <c r="J416" s="6" t="n">
        <v>3003200</v>
      </c>
      <c r="K416" s="6" t="n">
        <v>2133900</v>
      </c>
      <c r="L416" s="6" t="n">
        <v>8</v>
      </c>
      <c r="M416" s="6" t="n">
        <v>1</v>
      </c>
      <c r="N416" s="6" t="n">
        <v>2147.8</v>
      </c>
    </row>
    <row r="417" customFormat="false" ht="15" hidden="false" customHeight="false" outlineLevel="0" collapsed="false">
      <c r="A417" s="6" t="s">
        <v>29</v>
      </c>
      <c r="B417" s="6" t="s">
        <v>24</v>
      </c>
      <c r="C417" s="6" t="s">
        <v>50</v>
      </c>
      <c r="D417" s="6" t="s">
        <v>111</v>
      </c>
      <c r="E417" s="6" t="s">
        <v>58</v>
      </c>
      <c r="F417" s="6" t="s">
        <v>58</v>
      </c>
      <c r="G417" s="6" t="n">
        <v>2</v>
      </c>
      <c r="H417" s="6" t="n">
        <v>407400</v>
      </c>
      <c r="I417" s="6" t="n">
        <v>0</v>
      </c>
      <c r="J417" s="6" t="n">
        <v>1816900</v>
      </c>
      <c r="K417" s="6" t="n">
        <v>1409400</v>
      </c>
      <c r="L417" s="6" t="n">
        <v>2</v>
      </c>
      <c r="M417" s="6" t="n">
        <v>1</v>
      </c>
      <c r="N417" s="6" t="n">
        <v>662.6</v>
      </c>
    </row>
    <row r="418" customFormat="false" ht="15" hidden="false" customHeight="false" outlineLevel="0" collapsed="false">
      <c r="A418" s="6" t="s">
        <v>29</v>
      </c>
      <c r="B418" s="6" t="s">
        <v>24</v>
      </c>
      <c r="C418" s="6" t="s">
        <v>50</v>
      </c>
      <c r="D418" s="6" t="s">
        <v>111</v>
      </c>
      <c r="E418" s="6" t="s">
        <v>58</v>
      </c>
      <c r="F418" s="6" t="s">
        <v>60</v>
      </c>
      <c r="G418" s="6" t="n">
        <v>11</v>
      </c>
      <c r="H418" s="6" t="n">
        <v>1719400</v>
      </c>
      <c r="I418" s="6" t="n">
        <v>731600</v>
      </c>
      <c r="J418" s="6" t="n">
        <v>8306100</v>
      </c>
      <c r="K418" s="6" t="n">
        <v>6586900</v>
      </c>
      <c r="L418" s="6" t="n">
        <v>11</v>
      </c>
      <c r="M418" s="6" t="n">
        <v>9</v>
      </c>
      <c r="N418" s="6" t="n">
        <v>4357.7</v>
      </c>
    </row>
    <row r="419" customFormat="false" ht="15" hidden="false" customHeight="false" outlineLevel="0" collapsed="false">
      <c r="A419" s="6" t="s">
        <v>29</v>
      </c>
      <c r="B419" s="6" t="s">
        <v>24</v>
      </c>
      <c r="C419" s="6" t="s">
        <v>50</v>
      </c>
      <c r="D419" s="6" t="s">
        <v>111</v>
      </c>
      <c r="E419" s="6" t="s">
        <v>60</v>
      </c>
      <c r="F419" s="6" t="s">
        <v>58</v>
      </c>
      <c r="G419" s="6" t="n">
        <v>1</v>
      </c>
      <c r="H419" s="6" t="n">
        <v>173900</v>
      </c>
      <c r="I419" s="6" t="n">
        <v>0</v>
      </c>
      <c r="J419" s="6" t="n">
        <v>379800</v>
      </c>
      <c r="K419" s="6" t="n">
        <v>205900</v>
      </c>
      <c r="L419" s="6" t="n">
        <v>1</v>
      </c>
      <c r="M419" s="6" t="n">
        <v>0</v>
      </c>
      <c r="N419" s="6" t="n">
        <v>118.4</v>
      </c>
    </row>
    <row r="420" customFormat="false" ht="15" hidden="false" customHeight="false" outlineLevel="0" collapsed="false">
      <c r="A420" s="6" t="s">
        <v>29</v>
      </c>
      <c r="B420" s="6" t="s">
        <v>24</v>
      </c>
      <c r="C420" s="6" t="s">
        <v>50</v>
      </c>
      <c r="D420" s="6" t="s">
        <v>111</v>
      </c>
      <c r="E420" s="6" t="s">
        <v>60</v>
      </c>
      <c r="F420" s="6" t="s">
        <v>60</v>
      </c>
      <c r="G420" s="6" t="n">
        <v>11</v>
      </c>
      <c r="H420" s="6" t="n">
        <v>1588500</v>
      </c>
      <c r="I420" s="6" t="n">
        <v>933700</v>
      </c>
      <c r="J420" s="6" t="n">
        <v>11870700</v>
      </c>
      <c r="K420" s="6" t="n">
        <v>10282100</v>
      </c>
      <c r="L420" s="6" t="n">
        <v>11</v>
      </c>
      <c r="M420" s="6" t="n">
        <v>9</v>
      </c>
      <c r="N420" s="6" t="n">
        <v>7276.9</v>
      </c>
    </row>
    <row r="421" customFormat="false" ht="15" hidden="false" customHeight="false" outlineLevel="0" collapsed="false">
      <c r="A421" s="6" t="s">
        <v>29</v>
      </c>
      <c r="B421" s="6" t="s">
        <v>24</v>
      </c>
      <c r="C421" s="6" t="s">
        <v>50</v>
      </c>
      <c r="D421" s="6" t="s">
        <v>112</v>
      </c>
      <c r="E421" s="6" t="s">
        <v>58</v>
      </c>
      <c r="F421" s="6" t="s">
        <v>58</v>
      </c>
      <c r="G421" s="6" t="n">
        <v>6</v>
      </c>
      <c r="H421" s="6" t="n">
        <v>1296900</v>
      </c>
      <c r="I421" s="6" t="n">
        <v>342900</v>
      </c>
      <c r="J421" s="6" t="n">
        <v>4358700</v>
      </c>
      <c r="K421" s="6" t="n">
        <v>3061800</v>
      </c>
      <c r="L421" s="6" t="n">
        <v>6</v>
      </c>
      <c r="M421" s="6" t="n">
        <v>3</v>
      </c>
      <c r="N421" s="6" t="n">
        <v>1542.9</v>
      </c>
    </row>
    <row r="422" customFormat="false" ht="15" hidden="false" customHeight="false" outlineLevel="0" collapsed="false">
      <c r="A422" s="6" t="s">
        <v>29</v>
      </c>
      <c r="B422" s="6" t="s">
        <v>24</v>
      </c>
      <c r="C422" s="6" t="s">
        <v>50</v>
      </c>
      <c r="D422" s="6" t="s">
        <v>112</v>
      </c>
      <c r="E422" s="6" t="s">
        <v>58</v>
      </c>
      <c r="F422" s="6" t="s">
        <v>60</v>
      </c>
      <c r="G422" s="6" t="n">
        <v>7</v>
      </c>
      <c r="H422" s="6" t="n">
        <v>1003100</v>
      </c>
      <c r="I422" s="6" t="n">
        <v>637300</v>
      </c>
      <c r="J422" s="6" t="n">
        <v>6924900</v>
      </c>
      <c r="K422" s="6" t="n">
        <v>5921800</v>
      </c>
      <c r="L422" s="6" t="n">
        <v>7</v>
      </c>
      <c r="M422" s="6" t="n">
        <v>7</v>
      </c>
      <c r="N422" s="6" t="n">
        <v>4241.1</v>
      </c>
    </row>
    <row r="423" customFormat="false" ht="15" hidden="false" customHeight="false" outlineLevel="0" collapsed="false">
      <c r="A423" s="6" t="s">
        <v>29</v>
      </c>
      <c r="B423" s="6" t="s">
        <v>24</v>
      </c>
      <c r="C423" s="6" t="s">
        <v>50</v>
      </c>
      <c r="D423" s="6" t="s">
        <v>112</v>
      </c>
      <c r="E423" s="6" t="s">
        <v>60</v>
      </c>
      <c r="F423" s="6" t="s">
        <v>58</v>
      </c>
      <c r="G423" s="6" t="n">
        <v>3</v>
      </c>
      <c r="H423" s="6" t="n">
        <v>681600</v>
      </c>
      <c r="I423" s="6" t="n">
        <v>130200</v>
      </c>
      <c r="J423" s="6" t="n">
        <v>2610900</v>
      </c>
      <c r="K423" s="6" t="n">
        <v>1929500</v>
      </c>
      <c r="L423" s="6" t="n">
        <v>3</v>
      </c>
      <c r="M423" s="6" t="n">
        <v>3</v>
      </c>
      <c r="N423" s="6" t="n">
        <v>845.7</v>
      </c>
    </row>
    <row r="424" customFormat="false" ht="15" hidden="false" customHeight="false" outlineLevel="0" collapsed="false">
      <c r="A424" s="6" t="s">
        <v>29</v>
      </c>
      <c r="B424" s="6" t="s">
        <v>24</v>
      </c>
      <c r="C424" s="6" t="s">
        <v>50</v>
      </c>
      <c r="D424" s="6" t="s">
        <v>112</v>
      </c>
      <c r="E424" s="6" t="s">
        <v>60</v>
      </c>
      <c r="F424" s="6" t="s">
        <v>60</v>
      </c>
      <c r="G424" s="6" t="n">
        <v>9</v>
      </c>
      <c r="H424" s="6" t="n">
        <v>1335000</v>
      </c>
      <c r="I424" s="6" t="n">
        <v>606900</v>
      </c>
      <c r="J424" s="6" t="n">
        <v>8570100</v>
      </c>
      <c r="K424" s="6" t="n">
        <v>7235200</v>
      </c>
      <c r="L424" s="6" t="n">
        <v>9</v>
      </c>
      <c r="M424" s="6" t="n">
        <v>9</v>
      </c>
      <c r="N424" s="6" t="n">
        <v>5540.3</v>
      </c>
    </row>
    <row r="425" customFormat="false" ht="15" hidden="false" customHeight="false" outlineLevel="0" collapsed="false">
      <c r="A425" s="6" t="s">
        <v>29</v>
      </c>
      <c r="B425" s="6" t="s">
        <v>24</v>
      </c>
      <c r="C425" s="6" t="s">
        <v>50</v>
      </c>
      <c r="D425" s="6" t="s">
        <v>113</v>
      </c>
      <c r="E425" s="6" t="s">
        <v>58</v>
      </c>
      <c r="F425" s="6" t="s">
        <v>58</v>
      </c>
      <c r="G425" s="6" t="n">
        <v>5</v>
      </c>
      <c r="H425" s="6" t="n">
        <v>1023500</v>
      </c>
      <c r="I425" s="6" t="n">
        <v>631200</v>
      </c>
      <c r="J425" s="6" t="n">
        <v>5115800</v>
      </c>
      <c r="K425" s="6" t="n">
        <v>4092200</v>
      </c>
      <c r="L425" s="6" t="n">
        <v>5</v>
      </c>
      <c r="M425" s="6" t="n">
        <v>3</v>
      </c>
      <c r="N425" s="6" t="n">
        <v>1869</v>
      </c>
    </row>
    <row r="426" customFormat="false" ht="15" hidden="false" customHeight="false" outlineLevel="0" collapsed="false">
      <c r="A426" s="6" t="s">
        <v>29</v>
      </c>
      <c r="B426" s="6" t="s">
        <v>24</v>
      </c>
      <c r="C426" s="6" t="s">
        <v>50</v>
      </c>
      <c r="D426" s="6" t="s">
        <v>113</v>
      </c>
      <c r="E426" s="6" t="s">
        <v>58</v>
      </c>
      <c r="F426" s="6" t="s">
        <v>60</v>
      </c>
      <c r="G426" s="6" t="n">
        <v>11</v>
      </c>
      <c r="H426" s="6" t="n">
        <v>1611100</v>
      </c>
      <c r="I426" s="6" t="n">
        <v>544800</v>
      </c>
      <c r="J426" s="6" t="n">
        <v>8412700</v>
      </c>
      <c r="K426" s="6" t="n">
        <v>6801600</v>
      </c>
      <c r="L426" s="6" t="n">
        <v>11</v>
      </c>
      <c r="M426" s="6" t="n">
        <v>7</v>
      </c>
      <c r="N426" s="6" t="n">
        <v>4982.5</v>
      </c>
    </row>
    <row r="427" customFormat="false" ht="15" hidden="false" customHeight="false" outlineLevel="0" collapsed="false">
      <c r="A427" s="6" t="s">
        <v>29</v>
      </c>
      <c r="B427" s="6" t="s">
        <v>24</v>
      </c>
      <c r="C427" s="6" t="s">
        <v>50</v>
      </c>
      <c r="D427" s="6" t="s">
        <v>113</v>
      </c>
      <c r="E427" s="6" t="s">
        <v>60</v>
      </c>
      <c r="F427" s="6" t="s">
        <v>58</v>
      </c>
      <c r="G427" s="6" t="n">
        <v>4</v>
      </c>
      <c r="H427" s="6" t="n">
        <v>969000</v>
      </c>
      <c r="I427" s="6" t="n">
        <v>145300</v>
      </c>
      <c r="J427" s="6" t="n">
        <v>4189300</v>
      </c>
      <c r="K427" s="6" t="n">
        <v>3220200</v>
      </c>
      <c r="L427" s="6" t="n">
        <v>4</v>
      </c>
      <c r="M427" s="6" t="n">
        <v>4</v>
      </c>
      <c r="N427" s="6" t="n">
        <v>1363.7</v>
      </c>
    </row>
    <row r="428" customFormat="false" ht="15" hidden="false" customHeight="false" outlineLevel="0" collapsed="false">
      <c r="A428" s="6" t="s">
        <v>29</v>
      </c>
      <c r="B428" s="6" t="s">
        <v>24</v>
      </c>
      <c r="C428" s="6" t="s">
        <v>50</v>
      </c>
      <c r="D428" s="6" t="s">
        <v>113</v>
      </c>
      <c r="E428" s="6" t="s">
        <v>60</v>
      </c>
      <c r="F428" s="6" t="s">
        <v>60</v>
      </c>
      <c r="G428" s="6" t="n">
        <v>15</v>
      </c>
      <c r="H428" s="6" t="n">
        <v>2078600</v>
      </c>
      <c r="I428" s="6" t="n">
        <v>1136100</v>
      </c>
      <c r="J428" s="6" t="n">
        <v>15512500</v>
      </c>
      <c r="K428" s="6" t="n">
        <v>13433900</v>
      </c>
      <c r="L428" s="6" t="n">
        <v>15</v>
      </c>
      <c r="M428" s="6" t="n">
        <v>14</v>
      </c>
      <c r="N428" s="6" t="n">
        <v>9695.2</v>
      </c>
    </row>
    <row r="429" customFormat="false" ht="15" hidden="false" customHeight="false" outlineLevel="0" collapsed="false">
      <c r="A429" s="6" t="s">
        <v>29</v>
      </c>
      <c r="B429" s="6" t="s">
        <v>24</v>
      </c>
      <c r="C429" s="6" t="s">
        <v>50</v>
      </c>
      <c r="D429" s="6" t="s">
        <v>114</v>
      </c>
      <c r="E429" s="6" t="s">
        <v>58</v>
      </c>
      <c r="F429" s="6" t="s">
        <v>58</v>
      </c>
      <c r="G429" s="6" t="n">
        <v>4</v>
      </c>
      <c r="H429" s="6" t="n">
        <v>911100</v>
      </c>
      <c r="I429" s="6" t="n">
        <v>540600</v>
      </c>
      <c r="J429" s="6" t="n">
        <v>2683100</v>
      </c>
      <c r="K429" s="6" t="n">
        <v>1772000</v>
      </c>
      <c r="L429" s="6" t="n">
        <v>4</v>
      </c>
      <c r="M429" s="6" t="n">
        <v>2</v>
      </c>
      <c r="N429" s="6" t="n">
        <v>790.3</v>
      </c>
    </row>
    <row r="430" customFormat="false" ht="15" hidden="false" customHeight="false" outlineLevel="0" collapsed="false">
      <c r="A430" s="6" t="s">
        <v>29</v>
      </c>
      <c r="B430" s="6" t="s">
        <v>24</v>
      </c>
      <c r="C430" s="6" t="s">
        <v>50</v>
      </c>
      <c r="D430" s="6" t="s">
        <v>114</v>
      </c>
      <c r="E430" s="6" t="s">
        <v>58</v>
      </c>
      <c r="F430" s="6" t="s">
        <v>60</v>
      </c>
      <c r="G430" s="6" t="n">
        <v>9</v>
      </c>
      <c r="H430" s="6" t="n">
        <v>1204600</v>
      </c>
      <c r="I430" s="6" t="n">
        <v>553800</v>
      </c>
      <c r="J430" s="6" t="n">
        <v>6118400</v>
      </c>
      <c r="K430" s="6" t="n">
        <v>4913700</v>
      </c>
      <c r="L430" s="6" t="n">
        <v>9</v>
      </c>
      <c r="M430" s="6" t="n">
        <v>6</v>
      </c>
      <c r="N430" s="6" t="n">
        <v>3964.4</v>
      </c>
    </row>
    <row r="431" customFormat="false" ht="15" hidden="false" customHeight="false" outlineLevel="0" collapsed="false">
      <c r="A431" s="6" t="s">
        <v>29</v>
      </c>
      <c r="B431" s="6" t="s">
        <v>24</v>
      </c>
      <c r="C431" s="6" t="s">
        <v>50</v>
      </c>
      <c r="D431" s="6" t="s">
        <v>114</v>
      </c>
      <c r="E431" s="6" t="s">
        <v>60</v>
      </c>
      <c r="F431" s="6" t="s">
        <v>58</v>
      </c>
      <c r="G431" s="6" t="n">
        <v>2</v>
      </c>
      <c r="H431" s="6" t="n">
        <v>430400</v>
      </c>
      <c r="I431" s="6" t="n">
        <v>0</v>
      </c>
      <c r="J431" s="6" t="n">
        <v>1416500</v>
      </c>
      <c r="K431" s="6" t="n">
        <v>986100</v>
      </c>
      <c r="L431" s="6" t="n">
        <v>2</v>
      </c>
      <c r="M431" s="6" t="n">
        <v>2</v>
      </c>
      <c r="N431" s="6" t="n">
        <v>466.4</v>
      </c>
    </row>
    <row r="432" customFormat="false" ht="15" hidden="false" customHeight="false" outlineLevel="0" collapsed="false">
      <c r="A432" s="6" t="s">
        <v>29</v>
      </c>
      <c r="B432" s="6" t="s">
        <v>24</v>
      </c>
      <c r="C432" s="6" t="s">
        <v>50</v>
      </c>
      <c r="D432" s="6" t="s">
        <v>114</v>
      </c>
      <c r="E432" s="6" t="s">
        <v>60</v>
      </c>
      <c r="F432" s="6" t="s">
        <v>60</v>
      </c>
      <c r="G432" s="6" t="n">
        <v>10</v>
      </c>
      <c r="H432" s="6" t="n">
        <v>1495400</v>
      </c>
      <c r="I432" s="6" t="n">
        <v>494800</v>
      </c>
      <c r="J432" s="6" t="n">
        <v>9174500</v>
      </c>
      <c r="K432" s="6" t="n">
        <v>7679000</v>
      </c>
      <c r="L432" s="6" t="n">
        <v>10</v>
      </c>
      <c r="M432" s="6" t="n">
        <v>7</v>
      </c>
      <c r="N432" s="6" t="n">
        <v>5187.7</v>
      </c>
    </row>
    <row r="433" customFormat="false" ht="15" hidden="false" customHeight="false" outlineLevel="0" collapsed="false">
      <c r="A433" s="6" t="s">
        <v>29</v>
      </c>
      <c r="B433" s="6" t="s">
        <v>24</v>
      </c>
      <c r="C433" s="6" t="s">
        <v>52</v>
      </c>
      <c r="D433" s="6" t="s">
        <v>111</v>
      </c>
      <c r="E433" s="6" t="s">
        <v>58</v>
      </c>
      <c r="F433" s="6" t="s">
        <v>58</v>
      </c>
      <c r="G433" s="6" t="n">
        <v>22</v>
      </c>
      <c r="H433" s="6" t="n">
        <v>2201800</v>
      </c>
      <c r="I433" s="6" t="n">
        <v>724400</v>
      </c>
      <c r="J433" s="6" t="n">
        <v>13824200</v>
      </c>
      <c r="K433" s="6" t="n">
        <v>11622100</v>
      </c>
      <c r="L433" s="6" t="n">
        <v>22</v>
      </c>
      <c r="M433" s="6" t="n">
        <v>14</v>
      </c>
      <c r="N433" s="6" t="n">
        <v>12090</v>
      </c>
    </row>
    <row r="434" customFormat="false" ht="15" hidden="false" customHeight="false" outlineLevel="0" collapsed="false">
      <c r="A434" s="6" t="s">
        <v>29</v>
      </c>
      <c r="B434" s="6" t="s">
        <v>24</v>
      </c>
      <c r="C434" s="6" t="s">
        <v>52</v>
      </c>
      <c r="D434" s="6" t="s">
        <v>111</v>
      </c>
      <c r="E434" s="6" t="s">
        <v>58</v>
      </c>
      <c r="F434" s="6" t="s">
        <v>60</v>
      </c>
      <c r="G434" s="6" t="n">
        <v>47</v>
      </c>
      <c r="H434" s="6" t="n">
        <v>3535500</v>
      </c>
      <c r="I434" s="6" t="n">
        <v>1631500</v>
      </c>
      <c r="J434" s="6" t="n">
        <v>27855300</v>
      </c>
      <c r="K434" s="6" t="n">
        <v>24319900</v>
      </c>
      <c r="L434" s="6" t="n">
        <v>47</v>
      </c>
      <c r="M434" s="6" t="n">
        <v>29</v>
      </c>
      <c r="N434" s="6" t="n">
        <v>33095.4</v>
      </c>
    </row>
    <row r="435" customFormat="false" ht="15" hidden="false" customHeight="false" outlineLevel="0" collapsed="false">
      <c r="A435" s="6" t="s">
        <v>29</v>
      </c>
      <c r="B435" s="6" t="s">
        <v>24</v>
      </c>
      <c r="C435" s="6" t="s">
        <v>52</v>
      </c>
      <c r="D435" s="6" t="s">
        <v>111</v>
      </c>
      <c r="E435" s="6" t="s">
        <v>60</v>
      </c>
      <c r="F435" s="6" t="s">
        <v>58</v>
      </c>
      <c r="G435" s="6" t="n">
        <v>9</v>
      </c>
      <c r="H435" s="6" t="n">
        <v>905600</v>
      </c>
      <c r="I435" s="6" t="n">
        <v>482200</v>
      </c>
      <c r="J435" s="6" t="n">
        <v>4827200</v>
      </c>
      <c r="K435" s="6" t="n">
        <v>3921500</v>
      </c>
      <c r="L435" s="6" t="n">
        <v>9</v>
      </c>
      <c r="M435" s="6" t="n">
        <v>3</v>
      </c>
      <c r="N435" s="6" t="n">
        <v>4007.2</v>
      </c>
    </row>
    <row r="436" customFormat="false" ht="15" hidden="false" customHeight="false" outlineLevel="0" collapsed="false">
      <c r="A436" s="6" t="s">
        <v>29</v>
      </c>
      <c r="B436" s="6" t="s">
        <v>24</v>
      </c>
      <c r="C436" s="6" t="s">
        <v>52</v>
      </c>
      <c r="D436" s="6" t="s">
        <v>111</v>
      </c>
      <c r="E436" s="6" t="s">
        <v>60</v>
      </c>
      <c r="F436" s="6" t="s">
        <v>60</v>
      </c>
      <c r="G436" s="6" t="n">
        <v>44</v>
      </c>
      <c r="H436" s="6" t="n">
        <v>3248700</v>
      </c>
      <c r="I436" s="6" t="n">
        <v>1491400</v>
      </c>
      <c r="J436" s="6" t="n">
        <v>26757900</v>
      </c>
      <c r="K436" s="6" t="n">
        <v>23509300</v>
      </c>
      <c r="L436" s="6" t="n">
        <v>44</v>
      </c>
      <c r="M436" s="6" t="n">
        <v>28</v>
      </c>
      <c r="N436" s="6" t="n">
        <v>32305.2</v>
      </c>
    </row>
    <row r="437" customFormat="false" ht="15" hidden="false" customHeight="false" outlineLevel="0" collapsed="false">
      <c r="A437" s="6" t="s">
        <v>29</v>
      </c>
      <c r="B437" s="6" t="s">
        <v>24</v>
      </c>
      <c r="C437" s="6" t="s">
        <v>52</v>
      </c>
      <c r="D437" s="6" t="s">
        <v>112</v>
      </c>
      <c r="E437" s="6" t="s">
        <v>58</v>
      </c>
      <c r="F437" s="6" t="s">
        <v>58</v>
      </c>
      <c r="G437" s="6" t="n">
        <v>26</v>
      </c>
      <c r="H437" s="6" t="n">
        <v>2648800</v>
      </c>
      <c r="I437" s="6" t="n">
        <v>1101900</v>
      </c>
      <c r="J437" s="6" t="n">
        <v>14181700</v>
      </c>
      <c r="K437" s="6" t="n">
        <v>11532800</v>
      </c>
      <c r="L437" s="6" t="n">
        <v>26</v>
      </c>
      <c r="M437" s="6" t="n">
        <v>12</v>
      </c>
      <c r="N437" s="6" t="n">
        <v>11721.3</v>
      </c>
    </row>
    <row r="438" customFormat="false" ht="15" hidden="false" customHeight="false" outlineLevel="0" collapsed="false">
      <c r="A438" s="6" t="s">
        <v>29</v>
      </c>
      <c r="B438" s="6" t="s">
        <v>24</v>
      </c>
      <c r="C438" s="6" t="s">
        <v>52</v>
      </c>
      <c r="D438" s="6" t="s">
        <v>112</v>
      </c>
      <c r="E438" s="6" t="s">
        <v>58</v>
      </c>
      <c r="F438" s="6" t="s">
        <v>60</v>
      </c>
      <c r="G438" s="6" t="n">
        <v>53</v>
      </c>
      <c r="H438" s="6" t="n">
        <v>3839500</v>
      </c>
      <c r="I438" s="6" t="n">
        <v>1714500</v>
      </c>
      <c r="J438" s="6" t="n">
        <v>33781200</v>
      </c>
      <c r="K438" s="6" t="n">
        <v>29941900</v>
      </c>
      <c r="L438" s="6" t="n">
        <v>53</v>
      </c>
      <c r="M438" s="6" t="n">
        <v>35</v>
      </c>
      <c r="N438" s="6" t="n">
        <v>41951.5</v>
      </c>
    </row>
    <row r="439" customFormat="false" ht="15" hidden="false" customHeight="false" outlineLevel="0" collapsed="false">
      <c r="A439" s="6" t="s">
        <v>29</v>
      </c>
      <c r="B439" s="6" t="s">
        <v>24</v>
      </c>
      <c r="C439" s="6" t="s">
        <v>52</v>
      </c>
      <c r="D439" s="6" t="s">
        <v>112</v>
      </c>
      <c r="E439" s="6" t="s">
        <v>60</v>
      </c>
      <c r="F439" s="6" t="s">
        <v>58</v>
      </c>
      <c r="G439" s="6" t="n">
        <v>19</v>
      </c>
      <c r="H439" s="6" t="n">
        <v>2073600</v>
      </c>
      <c r="I439" s="6" t="n">
        <v>854600</v>
      </c>
      <c r="J439" s="6" t="n">
        <v>10908400</v>
      </c>
      <c r="K439" s="6" t="n">
        <v>8834600</v>
      </c>
      <c r="L439" s="6" t="n">
        <v>19</v>
      </c>
      <c r="M439" s="6" t="n">
        <v>6</v>
      </c>
      <c r="N439" s="6" t="n">
        <v>9014.8</v>
      </c>
    </row>
    <row r="440" customFormat="false" ht="15" hidden="false" customHeight="false" outlineLevel="0" collapsed="false">
      <c r="A440" s="6" t="s">
        <v>29</v>
      </c>
      <c r="B440" s="6" t="s">
        <v>24</v>
      </c>
      <c r="C440" s="6" t="s">
        <v>52</v>
      </c>
      <c r="D440" s="6" t="s">
        <v>112</v>
      </c>
      <c r="E440" s="6" t="s">
        <v>60</v>
      </c>
      <c r="F440" s="6" t="s">
        <v>60</v>
      </c>
      <c r="G440" s="6" t="n">
        <v>37</v>
      </c>
      <c r="H440" s="6" t="n">
        <v>2721600</v>
      </c>
      <c r="I440" s="6" t="n">
        <v>1242300</v>
      </c>
      <c r="J440" s="6" t="n">
        <v>20782900</v>
      </c>
      <c r="K440" s="6" t="n">
        <v>18061300</v>
      </c>
      <c r="L440" s="6" t="n">
        <v>37</v>
      </c>
      <c r="M440" s="6" t="n">
        <v>20</v>
      </c>
      <c r="N440" s="6" t="n">
        <v>25039.6</v>
      </c>
    </row>
    <row r="441" customFormat="false" ht="15" hidden="false" customHeight="false" outlineLevel="0" collapsed="false">
      <c r="A441" s="6" t="s">
        <v>29</v>
      </c>
      <c r="B441" s="6" t="s">
        <v>24</v>
      </c>
      <c r="C441" s="6" t="s">
        <v>52</v>
      </c>
      <c r="D441" s="6" t="s">
        <v>113</v>
      </c>
      <c r="E441" s="6" t="s">
        <v>58</v>
      </c>
      <c r="F441" s="6" t="s">
        <v>58</v>
      </c>
      <c r="G441" s="6" t="n">
        <v>34</v>
      </c>
      <c r="H441" s="6" t="n">
        <v>3652200</v>
      </c>
      <c r="I441" s="6" t="n">
        <v>1532100</v>
      </c>
      <c r="J441" s="6" t="n">
        <v>18962400</v>
      </c>
      <c r="K441" s="6" t="n">
        <v>15310700</v>
      </c>
      <c r="L441" s="6" t="n">
        <v>34</v>
      </c>
      <c r="M441" s="6" t="n">
        <v>19</v>
      </c>
      <c r="N441" s="6" t="n">
        <v>15663.9</v>
      </c>
    </row>
    <row r="442" customFormat="false" ht="15" hidden="false" customHeight="false" outlineLevel="0" collapsed="false">
      <c r="A442" s="6" t="s">
        <v>29</v>
      </c>
      <c r="B442" s="6" t="s">
        <v>24</v>
      </c>
      <c r="C442" s="6" t="s">
        <v>52</v>
      </c>
      <c r="D442" s="6" t="s">
        <v>113</v>
      </c>
      <c r="E442" s="6" t="s">
        <v>58</v>
      </c>
      <c r="F442" s="6" t="s">
        <v>60</v>
      </c>
      <c r="G442" s="6" t="n">
        <v>63</v>
      </c>
      <c r="H442" s="6" t="n">
        <v>4608800</v>
      </c>
      <c r="I442" s="6" t="n">
        <v>2195900</v>
      </c>
      <c r="J442" s="6" t="n">
        <v>34918800</v>
      </c>
      <c r="K442" s="6" t="n">
        <v>30310300</v>
      </c>
      <c r="L442" s="6" t="n">
        <v>63</v>
      </c>
      <c r="M442" s="6" t="n">
        <v>29</v>
      </c>
      <c r="N442" s="6" t="n">
        <v>43108.5</v>
      </c>
    </row>
    <row r="443" customFormat="false" ht="15" hidden="false" customHeight="false" outlineLevel="0" collapsed="false">
      <c r="A443" s="6" t="s">
        <v>29</v>
      </c>
      <c r="B443" s="6" t="s">
        <v>24</v>
      </c>
      <c r="C443" s="6" t="s">
        <v>52</v>
      </c>
      <c r="D443" s="6" t="s">
        <v>113</v>
      </c>
      <c r="E443" s="6" t="s">
        <v>60</v>
      </c>
      <c r="F443" s="6" t="s">
        <v>58</v>
      </c>
      <c r="G443" s="6" t="n">
        <v>29</v>
      </c>
      <c r="H443" s="6" t="n">
        <v>3055500</v>
      </c>
      <c r="I443" s="6" t="n">
        <v>1362800</v>
      </c>
      <c r="J443" s="6" t="n">
        <v>16400200</v>
      </c>
      <c r="K443" s="6" t="n">
        <v>13345000</v>
      </c>
      <c r="L443" s="6" t="n">
        <v>29</v>
      </c>
      <c r="M443" s="6" t="n">
        <v>16</v>
      </c>
      <c r="N443" s="6" t="n">
        <v>13254.2</v>
      </c>
    </row>
    <row r="444" customFormat="false" ht="15" hidden="false" customHeight="false" outlineLevel="0" collapsed="false">
      <c r="A444" s="6" t="s">
        <v>29</v>
      </c>
      <c r="B444" s="6" t="s">
        <v>24</v>
      </c>
      <c r="C444" s="6" t="s">
        <v>52</v>
      </c>
      <c r="D444" s="6" t="s">
        <v>113</v>
      </c>
      <c r="E444" s="6" t="s">
        <v>60</v>
      </c>
      <c r="F444" s="6" t="s">
        <v>60</v>
      </c>
      <c r="G444" s="6" t="n">
        <v>61</v>
      </c>
      <c r="H444" s="6" t="n">
        <v>4471900</v>
      </c>
      <c r="I444" s="6" t="n">
        <v>1868300</v>
      </c>
      <c r="J444" s="6" t="n">
        <v>35562400</v>
      </c>
      <c r="K444" s="6" t="n">
        <v>31090000</v>
      </c>
      <c r="L444" s="6" t="n">
        <v>61</v>
      </c>
      <c r="M444" s="6" t="n">
        <v>32</v>
      </c>
      <c r="N444" s="6" t="n">
        <v>43376.1</v>
      </c>
    </row>
    <row r="445" customFormat="false" ht="15" hidden="false" customHeight="false" outlineLevel="0" collapsed="false">
      <c r="A445" s="6" t="s">
        <v>29</v>
      </c>
      <c r="B445" s="6" t="s">
        <v>24</v>
      </c>
      <c r="C445" s="6" t="s">
        <v>52</v>
      </c>
      <c r="D445" s="6" t="s">
        <v>114</v>
      </c>
      <c r="E445" s="6" t="s">
        <v>58</v>
      </c>
      <c r="F445" s="6" t="s">
        <v>58</v>
      </c>
      <c r="G445" s="6" t="n">
        <v>21</v>
      </c>
      <c r="H445" s="6" t="n">
        <v>2198600</v>
      </c>
      <c r="I445" s="6" t="n">
        <v>828300</v>
      </c>
      <c r="J445" s="6" t="n">
        <v>10965800</v>
      </c>
      <c r="K445" s="6" t="n">
        <v>8767300</v>
      </c>
      <c r="L445" s="6" t="n">
        <v>21</v>
      </c>
      <c r="M445" s="6" t="n">
        <v>10</v>
      </c>
      <c r="N445" s="6" t="n">
        <v>9036.4</v>
      </c>
    </row>
    <row r="446" customFormat="false" ht="15" hidden="false" customHeight="false" outlineLevel="0" collapsed="false">
      <c r="A446" s="6" t="s">
        <v>29</v>
      </c>
      <c r="B446" s="6" t="s">
        <v>24</v>
      </c>
      <c r="C446" s="6" t="s">
        <v>52</v>
      </c>
      <c r="D446" s="6" t="s">
        <v>114</v>
      </c>
      <c r="E446" s="6" t="s">
        <v>58</v>
      </c>
      <c r="F446" s="6" t="s">
        <v>60</v>
      </c>
      <c r="G446" s="6" t="n">
        <v>42</v>
      </c>
      <c r="H446" s="6" t="n">
        <v>3116000</v>
      </c>
      <c r="I446" s="6" t="n">
        <v>1479400</v>
      </c>
      <c r="J446" s="6" t="n">
        <v>25560700</v>
      </c>
      <c r="K446" s="6" t="n">
        <v>22445200</v>
      </c>
      <c r="L446" s="6" t="n">
        <v>42</v>
      </c>
      <c r="M446" s="6" t="n">
        <v>27</v>
      </c>
      <c r="N446" s="6" t="n">
        <v>31305.8</v>
      </c>
    </row>
    <row r="447" customFormat="false" ht="15" hidden="false" customHeight="false" outlineLevel="0" collapsed="false">
      <c r="A447" s="6" t="s">
        <v>29</v>
      </c>
      <c r="B447" s="6" t="s">
        <v>24</v>
      </c>
      <c r="C447" s="6" t="s">
        <v>52</v>
      </c>
      <c r="D447" s="6" t="s">
        <v>114</v>
      </c>
      <c r="E447" s="6" t="s">
        <v>60</v>
      </c>
      <c r="F447" s="6" t="s">
        <v>58</v>
      </c>
      <c r="G447" s="6" t="n">
        <v>18</v>
      </c>
      <c r="H447" s="6" t="n">
        <v>1885800</v>
      </c>
      <c r="I447" s="6" t="n">
        <v>685600</v>
      </c>
      <c r="J447" s="6" t="n">
        <v>10039900</v>
      </c>
      <c r="K447" s="6" t="n">
        <v>8154200</v>
      </c>
      <c r="L447" s="6" t="n">
        <v>18</v>
      </c>
      <c r="M447" s="6" t="n">
        <v>8</v>
      </c>
      <c r="N447" s="6" t="n">
        <v>8152.4</v>
      </c>
    </row>
    <row r="448" customFormat="false" ht="15" hidden="false" customHeight="false" outlineLevel="0" collapsed="false">
      <c r="A448" s="6" t="s">
        <v>29</v>
      </c>
      <c r="B448" s="6" t="s">
        <v>24</v>
      </c>
      <c r="C448" s="6" t="s">
        <v>52</v>
      </c>
      <c r="D448" s="6" t="s">
        <v>114</v>
      </c>
      <c r="E448" s="6" t="s">
        <v>60</v>
      </c>
      <c r="F448" s="6" t="s">
        <v>60</v>
      </c>
      <c r="G448" s="6" t="n">
        <v>34</v>
      </c>
      <c r="H448" s="6" t="n">
        <v>2629600</v>
      </c>
      <c r="I448" s="6" t="n">
        <v>974700</v>
      </c>
      <c r="J448" s="6" t="n">
        <v>20846800</v>
      </c>
      <c r="K448" s="6" t="n">
        <v>18217800</v>
      </c>
      <c r="L448" s="6" t="n">
        <v>34</v>
      </c>
      <c r="M448" s="6" t="n">
        <v>22</v>
      </c>
      <c r="N448" s="6" t="n">
        <v>25204</v>
      </c>
    </row>
    <row r="449" customFormat="false" ht="15" hidden="false" customHeight="false" outlineLevel="0" collapsed="false">
      <c r="A449" s="6" t="s">
        <v>29</v>
      </c>
      <c r="B449" s="6" t="s">
        <v>24</v>
      </c>
      <c r="C449" s="6" t="s">
        <v>53</v>
      </c>
      <c r="D449" s="6" t="s">
        <v>111</v>
      </c>
      <c r="E449" s="6" t="s">
        <v>58</v>
      </c>
      <c r="F449" s="6" t="s">
        <v>58</v>
      </c>
      <c r="G449" s="6" t="n">
        <v>15</v>
      </c>
      <c r="H449" s="6" t="n">
        <v>1253800</v>
      </c>
      <c r="I449" s="6" t="n">
        <v>500800</v>
      </c>
      <c r="J449" s="6" t="n">
        <v>7199100</v>
      </c>
      <c r="K449" s="6" t="n">
        <v>5945200</v>
      </c>
      <c r="L449" s="6" t="n">
        <v>15</v>
      </c>
      <c r="M449" s="6" t="n">
        <v>5</v>
      </c>
      <c r="N449" s="6" t="n">
        <v>7434.4</v>
      </c>
    </row>
    <row r="450" customFormat="false" ht="15" hidden="false" customHeight="false" outlineLevel="0" collapsed="false">
      <c r="A450" s="6" t="s">
        <v>29</v>
      </c>
      <c r="B450" s="6" t="s">
        <v>24</v>
      </c>
      <c r="C450" s="6" t="s">
        <v>53</v>
      </c>
      <c r="D450" s="6" t="s">
        <v>111</v>
      </c>
      <c r="E450" s="6" t="s">
        <v>58</v>
      </c>
      <c r="F450" s="6" t="s">
        <v>60</v>
      </c>
      <c r="G450" s="6" t="n">
        <v>41</v>
      </c>
      <c r="H450" s="6" t="n">
        <v>2346000</v>
      </c>
      <c r="I450" s="6" t="n">
        <v>1139800</v>
      </c>
      <c r="J450" s="6" t="n">
        <v>19176800</v>
      </c>
      <c r="K450" s="6" t="n">
        <v>16830600</v>
      </c>
      <c r="L450" s="6" t="n">
        <v>41</v>
      </c>
      <c r="M450" s="6" t="n">
        <v>17</v>
      </c>
      <c r="N450" s="6" t="n">
        <v>31947.1</v>
      </c>
    </row>
    <row r="451" customFormat="false" ht="15" hidden="false" customHeight="false" outlineLevel="0" collapsed="false">
      <c r="A451" s="6" t="s">
        <v>29</v>
      </c>
      <c r="B451" s="6" t="s">
        <v>24</v>
      </c>
      <c r="C451" s="6" t="s">
        <v>53</v>
      </c>
      <c r="D451" s="6" t="s">
        <v>111</v>
      </c>
      <c r="E451" s="6" t="s">
        <v>60</v>
      </c>
      <c r="F451" s="6" t="s">
        <v>58</v>
      </c>
      <c r="G451" s="6" t="n">
        <v>19</v>
      </c>
      <c r="H451" s="6" t="n">
        <v>1638800</v>
      </c>
      <c r="I451" s="6" t="n">
        <v>867500</v>
      </c>
      <c r="J451" s="6" t="n">
        <v>10872300</v>
      </c>
      <c r="K451" s="6" t="n">
        <v>9233600</v>
      </c>
      <c r="L451" s="6" t="n">
        <v>19</v>
      </c>
      <c r="M451" s="6" t="n">
        <v>10</v>
      </c>
      <c r="N451" s="6" t="n">
        <v>11069.1</v>
      </c>
    </row>
    <row r="452" customFormat="false" ht="15" hidden="false" customHeight="false" outlineLevel="0" collapsed="false">
      <c r="A452" s="6" t="s">
        <v>29</v>
      </c>
      <c r="B452" s="6" t="s">
        <v>24</v>
      </c>
      <c r="C452" s="6" t="s">
        <v>53</v>
      </c>
      <c r="D452" s="6" t="s">
        <v>111</v>
      </c>
      <c r="E452" s="6" t="s">
        <v>60</v>
      </c>
      <c r="F452" s="6" t="s">
        <v>60</v>
      </c>
      <c r="G452" s="6" t="n">
        <v>48</v>
      </c>
      <c r="H452" s="6" t="n">
        <v>2780600</v>
      </c>
      <c r="I452" s="6" t="n">
        <v>945900</v>
      </c>
      <c r="J452" s="6" t="n">
        <v>26663900</v>
      </c>
      <c r="K452" s="6" t="n">
        <v>23883800</v>
      </c>
      <c r="L452" s="6" t="n">
        <v>48</v>
      </c>
      <c r="M452" s="6" t="n">
        <v>25</v>
      </c>
      <c r="N452" s="6" t="n">
        <v>42494.4</v>
      </c>
    </row>
    <row r="453" customFormat="false" ht="15" hidden="false" customHeight="false" outlineLevel="0" collapsed="false">
      <c r="A453" s="6" t="s">
        <v>29</v>
      </c>
      <c r="B453" s="6" t="s">
        <v>24</v>
      </c>
      <c r="C453" s="6" t="s">
        <v>53</v>
      </c>
      <c r="D453" s="6" t="s">
        <v>112</v>
      </c>
      <c r="E453" s="6" t="s">
        <v>58</v>
      </c>
      <c r="F453" s="6" t="s">
        <v>58</v>
      </c>
      <c r="G453" s="6" t="n">
        <v>23</v>
      </c>
      <c r="H453" s="6" t="n">
        <v>1813300</v>
      </c>
      <c r="I453" s="6" t="n">
        <v>908100</v>
      </c>
      <c r="J453" s="6" t="n">
        <v>10821400</v>
      </c>
      <c r="K453" s="6" t="n">
        <v>9008400</v>
      </c>
      <c r="L453" s="6" t="n">
        <v>23</v>
      </c>
      <c r="M453" s="6" t="n">
        <v>8</v>
      </c>
      <c r="N453" s="6" t="n">
        <v>11453.2</v>
      </c>
    </row>
    <row r="454" customFormat="false" ht="15" hidden="false" customHeight="false" outlineLevel="0" collapsed="false">
      <c r="A454" s="6" t="s">
        <v>29</v>
      </c>
      <c r="B454" s="6" t="s">
        <v>24</v>
      </c>
      <c r="C454" s="6" t="s">
        <v>53</v>
      </c>
      <c r="D454" s="6" t="s">
        <v>112</v>
      </c>
      <c r="E454" s="6" t="s">
        <v>58</v>
      </c>
      <c r="F454" s="6" t="s">
        <v>60</v>
      </c>
      <c r="G454" s="6" t="n">
        <v>44</v>
      </c>
      <c r="H454" s="6" t="n">
        <v>2457600</v>
      </c>
      <c r="I454" s="6" t="n">
        <v>1067000</v>
      </c>
      <c r="J454" s="6" t="n">
        <v>25279900</v>
      </c>
      <c r="K454" s="6" t="n">
        <v>22822400</v>
      </c>
      <c r="L454" s="6" t="n">
        <v>44</v>
      </c>
      <c r="M454" s="6" t="n">
        <v>24</v>
      </c>
      <c r="N454" s="6" t="n">
        <v>41699.6</v>
      </c>
    </row>
    <row r="455" customFormat="false" ht="15" hidden="false" customHeight="false" outlineLevel="0" collapsed="false">
      <c r="A455" s="6" t="s">
        <v>29</v>
      </c>
      <c r="B455" s="6" t="s">
        <v>24</v>
      </c>
      <c r="C455" s="6" t="s">
        <v>53</v>
      </c>
      <c r="D455" s="6" t="s">
        <v>112</v>
      </c>
      <c r="E455" s="6" t="s">
        <v>60</v>
      </c>
      <c r="F455" s="6" t="s">
        <v>58</v>
      </c>
      <c r="G455" s="6" t="n">
        <v>15</v>
      </c>
      <c r="H455" s="6" t="n">
        <v>1240700</v>
      </c>
      <c r="I455" s="6" t="n">
        <v>459600</v>
      </c>
      <c r="J455" s="6" t="n">
        <v>7668000</v>
      </c>
      <c r="K455" s="6" t="n">
        <v>6427600</v>
      </c>
      <c r="L455" s="6" t="n">
        <v>15</v>
      </c>
      <c r="M455" s="6" t="n">
        <v>7</v>
      </c>
      <c r="N455" s="6" t="n">
        <v>8507.4</v>
      </c>
    </row>
    <row r="456" customFormat="false" ht="15" hidden="false" customHeight="false" outlineLevel="0" collapsed="false">
      <c r="A456" s="6" t="s">
        <v>29</v>
      </c>
      <c r="B456" s="6" t="s">
        <v>24</v>
      </c>
      <c r="C456" s="6" t="s">
        <v>53</v>
      </c>
      <c r="D456" s="6" t="s">
        <v>112</v>
      </c>
      <c r="E456" s="6" t="s">
        <v>60</v>
      </c>
      <c r="F456" s="6" t="s">
        <v>60</v>
      </c>
      <c r="G456" s="6" t="n">
        <v>44</v>
      </c>
      <c r="H456" s="6" t="n">
        <v>2486900</v>
      </c>
      <c r="I456" s="6" t="n">
        <v>896700</v>
      </c>
      <c r="J456" s="6" t="n">
        <v>23143800</v>
      </c>
      <c r="K456" s="6" t="n">
        <v>20657300</v>
      </c>
      <c r="L456" s="6" t="n">
        <v>44</v>
      </c>
      <c r="M456" s="6" t="n">
        <v>25</v>
      </c>
      <c r="N456" s="6" t="n">
        <v>38236.3</v>
      </c>
    </row>
    <row r="457" customFormat="false" ht="15" hidden="false" customHeight="false" outlineLevel="0" collapsed="false">
      <c r="A457" s="6" t="s">
        <v>29</v>
      </c>
      <c r="B457" s="6" t="s">
        <v>24</v>
      </c>
      <c r="C457" s="6" t="s">
        <v>53</v>
      </c>
      <c r="D457" s="6" t="s">
        <v>113</v>
      </c>
      <c r="E457" s="6" t="s">
        <v>58</v>
      </c>
      <c r="F457" s="6" t="s">
        <v>58</v>
      </c>
      <c r="G457" s="6" t="n">
        <v>26</v>
      </c>
      <c r="H457" s="6" t="n">
        <v>1829700</v>
      </c>
      <c r="I457" s="6" t="n">
        <v>763400</v>
      </c>
      <c r="J457" s="6" t="n">
        <v>10401300</v>
      </c>
      <c r="K457" s="6" t="n">
        <v>8572000</v>
      </c>
      <c r="L457" s="6" t="n">
        <v>26</v>
      </c>
      <c r="M457" s="6" t="n">
        <v>6</v>
      </c>
      <c r="N457" s="6" t="n">
        <v>13192.4</v>
      </c>
    </row>
    <row r="458" customFormat="false" ht="15" hidden="false" customHeight="false" outlineLevel="0" collapsed="false">
      <c r="A458" s="6" t="s">
        <v>29</v>
      </c>
      <c r="B458" s="6" t="s">
        <v>24</v>
      </c>
      <c r="C458" s="6" t="s">
        <v>53</v>
      </c>
      <c r="D458" s="6" t="s">
        <v>113</v>
      </c>
      <c r="E458" s="6" t="s">
        <v>58</v>
      </c>
      <c r="F458" s="6" t="s">
        <v>60</v>
      </c>
      <c r="G458" s="6" t="n">
        <v>56</v>
      </c>
      <c r="H458" s="6" t="n">
        <v>3293200</v>
      </c>
      <c r="I458" s="6" t="n">
        <v>1457900</v>
      </c>
      <c r="J458" s="6" t="n">
        <v>28631600</v>
      </c>
      <c r="K458" s="6" t="n">
        <v>25338700</v>
      </c>
      <c r="L458" s="6" t="n">
        <v>56</v>
      </c>
      <c r="M458" s="6" t="n">
        <v>28</v>
      </c>
      <c r="N458" s="6" t="n">
        <v>44933.6</v>
      </c>
    </row>
    <row r="459" customFormat="false" ht="15" hidden="false" customHeight="false" outlineLevel="0" collapsed="false">
      <c r="A459" s="6" t="s">
        <v>29</v>
      </c>
      <c r="B459" s="6" t="s">
        <v>24</v>
      </c>
      <c r="C459" s="6" t="s">
        <v>53</v>
      </c>
      <c r="D459" s="6" t="s">
        <v>113</v>
      </c>
      <c r="E459" s="6" t="s">
        <v>60</v>
      </c>
      <c r="F459" s="6" t="s">
        <v>58</v>
      </c>
      <c r="G459" s="6" t="n">
        <v>18</v>
      </c>
      <c r="H459" s="6" t="n">
        <v>1548200</v>
      </c>
      <c r="I459" s="6" t="n">
        <v>886600</v>
      </c>
      <c r="J459" s="6" t="n">
        <v>8831400</v>
      </c>
      <c r="K459" s="6" t="n">
        <v>7283000</v>
      </c>
      <c r="L459" s="6" t="n">
        <v>18</v>
      </c>
      <c r="M459" s="6" t="n">
        <v>8</v>
      </c>
      <c r="N459" s="6" t="n">
        <v>8515.5</v>
      </c>
    </row>
    <row r="460" customFormat="false" ht="15" hidden="false" customHeight="false" outlineLevel="0" collapsed="false">
      <c r="A460" s="6" t="s">
        <v>29</v>
      </c>
      <c r="B460" s="6" t="s">
        <v>24</v>
      </c>
      <c r="C460" s="6" t="s">
        <v>53</v>
      </c>
      <c r="D460" s="6" t="s">
        <v>113</v>
      </c>
      <c r="E460" s="6" t="s">
        <v>60</v>
      </c>
      <c r="F460" s="6" t="s">
        <v>60</v>
      </c>
      <c r="G460" s="6" t="n">
        <v>67</v>
      </c>
      <c r="H460" s="6" t="n">
        <v>3957700</v>
      </c>
      <c r="I460" s="6" t="n">
        <v>1961100</v>
      </c>
      <c r="J460" s="6" t="n">
        <v>34296200</v>
      </c>
      <c r="K460" s="6" t="n">
        <v>30338200</v>
      </c>
      <c r="L460" s="6" t="n">
        <v>67</v>
      </c>
      <c r="M460" s="6" t="n">
        <v>33</v>
      </c>
      <c r="N460" s="6" t="n">
        <v>53319.5</v>
      </c>
    </row>
    <row r="461" customFormat="false" ht="15" hidden="false" customHeight="false" outlineLevel="0" collapsed="false">
      <c r="A461" s="6" t="s">
        <v>29</v>
      </c>
      <c r="B461" s="6" t="s">
        <v>24</v>
      </c>
      <c r="C461" s="6" t="s">
        <v>53</v>
      </c>
      <c r="D461" s="6" t="s">
        <v>114</v>
      </c>
      <c r="E461" s="6" t="s">
        <v>58</v>
      </c>
      <c r="F461" s="6" t="s">
        <v>58</v>
      </c>
      <c r="G461" s="6" t="n">
        <v>17</v>
      </c>
      <c r="H461" s="6" t="n">
        <v>1393200</v>
      </c>
      <c r="I461" s="6" t="n">
        <v>653800</v>
      </c>
      <c r="J461" s="6" t="n">
        <v>7480300</v>
      </c>
      <c r="K461" s="6" t="n">
        <v>6087200</v>
      </c>
      <c r="L461" s="6" t="n">
        <v>17</v>
      </c>
      <c r="M461" s="6" t="n">
        <v>6</v>
      </c>
      <c r="N461" s="6" t="n">
        <v>7740.2</v>
      </c>
    </row>
    <row r="462" customFormat="false" ht="15" hidden="false" customHeight="false" outlineLevel="0" collapsed="false">
      <c r="A462" s="6" t="s">
        <v>29</v>
      </c>
      <c r="B462" s="6" t="s">
        <v>24</v>
      </c>
      <c r="C462" s="6" t="s">
        <v>53</v>
      </c>
      <c r="D462" s="6" t="s">
        <v>114</v>
      </c>
      <c r="E462" s="6" t="s">
        <v>58</v>
      </c>
      <c r="F462" s="6" t="s">
        <v>60</v>
      </c>
      <c r="G462" s="6" t="n">
        <v>33</v>
      </c>
      <c r="H462" s="6" t="n">
        <v>2030800</v>
      </c>
      <c r="I462" s="6" t="n">
        <v>1033900</v>
      </c>
      <c r="J462" s="6" t="n">
        <v>16241200</v>
      </c>
      <c r="K462" s="6" t="n">
        <v>14210500</v>
      </c>
      <c r="L462" s="6" t="n">
        <v>33</v>
      </c>
      <c r="M462" s="6" t="n">
        <v>13</v>
      </c>
      <c r="N462" s="6" t="n">
        <v>23992.8</v>
      </c>
    </row>
    <row r="463" customFormat="false" ht="15" hidden="false" customHeight="false" outlineLevel="0" collapsed="false">
      <c r="A463" s="6" t="s">
        <v>29</v>
      </c>
      <c r="B463" s="6" t="s">
        <v>24</v>
      </c>
      <c r="C463" s="6" t="s">
        <v>53</v>
      </c>
      <c r="D463" s="6" t="s">
        <v>114</v>
      </c>
      <c r="E463" s="6" t="s">
        <v>60</v>
      </c>
      <c r="F463" s="6" t="s">
        <v>58</v>
      </c>
      <c r="G463" s="6" t="n">
        <v>25</v>
      </c>
      <c r="H463" s="6" t="n">
        <v>1949400</v>
      </c>
      <c r="I463" s="6" t="n">
        <v>747500</v>
      </c>
      <c r="J463" s="6" t="n">
        <v>13096100</v>
      </c>
      <c r="K463" s="6" t="n">
        <v>11146700</v>
      </c>
      <c r="L463" s="6" t="n">
        <v>25</v>
      </c>
      <c r="M463" s="6" t="n">
        <v>13</v>
      </c>
      <c r="N463" s="6" t="n">
        <v>14704.5</v>
      </c>
    </row>
    <row r="464" customFormat="false" ht="15" hidden="false" customHeight="false" outlineLevel="0" collapsed="false">
      <c r="A464" s="6" t="s">
        <v>29</v>
      </c>
      <c r="B464" s="6" t="s">
        <v>24</v>
      </c>
      <c r="C464" s="6" t="s">
        <v>53</v>
      </c>
      <c r="D464" s="6" t="s">
        <v>114</v>
      </c>
      <c r="E464" s="6" t="s">
        <v>60</v>
      </c>
      <c r="F464" s="6" t="s">
        <v>60</v>
      </c>
      <c r="G464" s="6" t="n">
        <v>41</v>
      </c>
      <c r="H464" s="6" t="n">
        <v>2329500</v>
      </c>
      <c r="I464" s="6" t="n">
        <v>839900</v>
      </c>
      <c r="J464" s="6" t="n">
        <v>24988100</v>
      </c>
      <c r="K464" s="6" t="n">
        <v>22658400</v>
      </c>
      <c r="L464" s="6" t="n">
        <v>41</v>
      </c>
      <c r="M464" s="6" t="n">
        <v>28</v>
      </c>
      <c r="N464" s="6" t="n">
        <v>41518.3</v>
      </c>
    </row>
    <row r="465" customFormat="false" ht="15" hidden="false" customHeight="false" outlineLevel="0" collapsed="false">
      <c r="A465" s="6" t="s">
        <v>29</v>
      </c>
      <c r="B465" s="6" t="s">
        <v>24</v>
      </c>
      <c r="C465" s="6" t="s">
        <v>51</v>
      </c>
      <c r="D465" s="6" t="s">
        <v>111</v>
      </c>
      <c r="E465" s="6" t="s">
        <v>58</v>
      </c>
      <c r="F465" s="6" t="s">
        <v>58</v>
      </c>
      <c r="G465" s="6" t="n">
        <v>12</v>
      </c>
      <c r="H465" s="6" t="n">
        <v>1406700</v>
      </c>
      <c r="I465" s="6" t="n">
        <v>652300</v>
      </c>
      <c r="J465" s="6" t="n">
        <v>8195800</v>
      </c>
      <c r="K465" s="6" t="n">
        <v>6789400</v>
      </c>
      <c r="L465" s="6" t="n">
        <v>12</v>
      </c>
      <c r="M465" s="6" t="n">
        <v>8</v>
      </c>
      <c r="N465" s="6" t="n">
        <v>5755.8</v>
      </c>
    </row>
    <row r="466" customFormat="false" ht="15" hidden="false" customHeight="false" outlineLevel="0" collapsed="false">
      <c r="A466" s="6" t="s">
        <v>29</v>
      </c>
      <c r="B466" s="6" t="s">
        <v>24</v>
      </c>
      <c r="C466" s="6" t="s">
        <v>51</v>
      </c>
      <c r="D466" s="6" t="s">
        <v>111</v>
      </c>
      <c r="E466" s="6" t="s">
        <v>58</v>
      </c>
      <c r="F466" s="6" t="s">
        <v>60</v>
      </c>
      <c r="G466" s="6" t="n">
        <v>28</v>
      </c>
      <c r="H466" s="6" t="n">
        <v>2270200</v>
      </c>
      <c r="I466" s="6" t="n">
        <v>779800</v>
      </c>
      <c r="J466" s="6" t="n">
        <v>19451700</v>
      </c>
      <c r="K466" s="6" t="n">
        <v>17181000</v>
      </c>
      <c r="L466" s="6" t="n">
        <v>28</v>
      </c>
      <c r="M466" s="6" t="n">
        <v>21</v>
      </c>
      <c r="N466" s="6" t="n">
        <v>22613.2</v>
      </c>
    </row>
    <row r="467" customFormat="false" ht="15" hidden="false" customHeight="false" outlineLevel="0" collapsed="false">
      <c r="A467" s="6" t="s">
        <v>29</v>
      </c>
      <c r="B467" s="6" t="s">
        <v>24</v>
      </c>
      <c r="C467" s="6" t="s">
        <v>51</v>
      </c>
      <c r="D467" s="6" t="s">
        <v>111</v>
      </c>
      <c r="E467" s="6" t="s">
        <v>60</v>
      </c>
      <c r="F467" s="6" t="s">
        <v>58</v>
      </c>
      <c r="G467" s="6" t="n">
        <v>10</v>
      </c>
      <c r="H467" s="6" t="n">
        <v>1274500</v>
      </c>
      <c r="I467" s="6" t="n">
        <v>449200</v>
      </c>
      <c r="J467" s="6" t="n">
        <v>5670900</v>
      </c>
      <c r="K467" s="6" t="n">
        <v>4396400</v>
      </c>
      <c r="L467" s="6" t="n">
        <v>10</v>
      </c>
      <c r="M467" s="6" t="n">
        <v>4</v>
      </c>
      <c r="N467" s="6" t="n">
        <v>3871.5</v>
      </c>
    </row>
    <row r="468" customFormat="false" ht="15" hidden="false" customHeight="false" outlineLevel="0" collapsed="false">
      <c r="A468" s="6" t="s">
        <v>29</v>
      </c>
      <c r="B468" s="6" t="s">
        <v>24</v>
      </c>
      <c r="C468" s="6" t="s">
        <v>51</v>
      </c>
      <c r="D468" s="6" t="s">
        <v>111</v>
      </c>
      <c r="E468" s="6" t="s">
        <v>60</v>
      </c>
      <c r="F468" s="6" t="s">
        <v>60</v>
      </c>
      <c r="G468" s="6" t="n">
        <v>20</v>
      </c>
      <c r="H468" s="6" t="n">
        <v>1656800</v>
      </c>
      <c r="I468" s="6" t="n">
        <v>670900</v>
      </c>
      <c r="J468" s="6" t="n">
        <v>15378300</v>
      </c>
      <c r="K468" s="6" t="n">
        <v>13721700</v>
      </c>
      <c r="L468" s="6" t="n">
        <v>20</v>
      </c>
      <c r="M468" s="6" t="n">
        <v>17</v>
      </c>
      <c r="N468" s="6" t="n">
        <v>16425.1</v>
      </c>
    </row>
    <row r="469" customFormat="false" ht="15" hidden="false" customHeight="false" outlineLevel="0" collapsed="false">
      <c r="A469" s="6" t="s">
        <v>29</v>
      </c>
      <c r="B469" s="6" t="s">
        <v>24</v>
      </c>
      <c r="C469" s="6" t="s">
        <v>51</v>
      </c>
      <c r="D469" s="6" t="s">
        <v>112</v>
      </c>
      <c r="E469" s="6" t="s">
        <v>58</v>
      </c>
      <c r="F469" s="6" t="s">
        <v>58</v>
      </c>
      <c r="G469" s="6" t="n">
        <v>19</v>
      </c>
      <c r="H469" s="6" t="n">
        <v>2245700</v>
      </c>
      <c r="I469" s="6" t="n">
        <v>1093200</v>
      </c>
      <c r="J469" s="6" t="n">
        <v>12022400</v>
      </c>
      <c r="K469" s="6" t="n">
        <v>9776700</v>
      </c>
      <c r="L469" s="6" t="n">
        <v>19</v>
      </c>
      <c r="M469" s="6" t="n">
        <v>11</v>
      </c>
      <c r="N469" s="6" t="n">
        <v>9244.3</v>
      </c>
    </row>
    <row r="470" customFormat="false" ht="15" hidden="false" customHeight="false" outlineLevel="0" collapsed="false">
      <c r="A470" s="6" t="s">
        <v>29</v>
      </c>
      <c r="B470" s="6" t="s">
        <v>24</v>
      </c>
      <c r="C470" s="6" t="s">
        <v>51</v>
      </c>
      <c r="D470" s="6" t="s">
        <v>112</v>
      </c>
      <c r="E470" s="6" t="s">
        <v>58</v>
      </c>
      <c r="F470" s="6" t="s">
        <v>60</v>
      </c>
      <c r="G470" s="6" t="n">
        <v>25</v>
      </c>
      <c r="H470" s="6" t="n">
        <v>2052800</v>
      </c>
      <c r="I470" s="6" t="n">
        <v>514600</v>
      </c>
      <c r="J470" s="6" t="n">
        <v>18297600</v>
      </c>
      <c r="K470" s="6" t="n">
        <v>16244600</v>
      </c>
      <c r="L470" s="6" t="n">
        <v>25</v>
      </c>
      <c r="M470" s="6" t="n">
        <v>20</v>
      </c>
      <c r="N470" s="6" t="n">
        <v>20911</v>
      </c>
    </row>
    <row r="471" customFormat="false" ht="15" hidden="false" customHeight="false" outlineLevel="0" collapsed="false">
      <c r="A471" s="6" t="s">
        <v>29</v>
      </c>
      <c r="B471" s="6" t="s">
        <v>24</v>
      </c>
      <c r="C471" s="6" t="s">
        <v>51</v>
      </c>
      <c r="D471" s="6" t="s">
        <v>112</v>
      </c>
      <c r="E471" s="6" t="s">
        <v>60</v>
      </c>
      <c r="F471" s="6" t="s">
        <v>58</v>
      </c>
      <c r="G471" s="6" t="n">
        <v>5</v>
      </c>
      <c r="H471" s="6" t="n">
        <v>598300</v>
      </c>
      <c r="I471" s="6" t="n">
        <v>430600</v>
      </c>
      <c r="J471" s="6" t="n">
        <v>2588200</v>
      </c>
      <c r="K471" s="6" t="n">
        <v>1989800</v>
      </c>
      <c r="L471" s="6" t="n">
        <v>5</v>
      </c>
      <c r="M471" s="6" t="n">
        <v>1</v>
      </c>
      <c r="N471" s="6" t="n">
        <v>1897.6</v>
      </c>
    </row>
    <row r="472" customFormat="false" ht="15" hidden="false" customHeight="false" outlineLevel="0" collapsed="false">
      <c r="A472" s="6" t="s">
        <v>29</v>
      </c>
      <c r="B472" s="6" t="s">
        <v>24</v>
      </c>
      <c r="C472" s="6" t="s">
        <v>51</v>
      </c>
      <c r="D472" s="6" t="s">
        <v>112</v>
      </c>
      <c r="E472" s="6" t="s">
        <v>60</v>
      </c>
      <c r="F472" s="6" t="s">
        <v>60</v>
      </c>
      <c r="G472" s="6" t="n">
        <v>19</v>
      </c>
      <c r="H472" s="6" t="n">
        <v>1511100</v>
      </c>
      <c r="I472" s="6" t="n">
        <v>590000</v>
      </c>
      <c r="J472" s="6" t="n">
        <v>15203800</v>
      </c>
      <c r="K472" s="6" t="n">
        <v>13692400</v>
      </c>
      <c r="L472" s="6" t="n">
        <v>19</v>
      </c>
      <c r="M472" s="6" t="n">
        <v>18</v>
      </c>
      <c r="N472" s="6" t="n">
        <v>17974.4</v>
      </c>
    </row>
    <row r="473" customFormat="false" ht="15" hidden="false" customHeight="false" outlineLevel="0" collapsed="false">
      <c r="A473" s="6" t="s">
        <v>29</v>
      </c>
      <c r="B473" s="6" t="s">
        <v>24</v>
      </c>
      <c r="C473" s="6" t="s">
        <v>51</v>
      </c>
      <c r="D473" s="6" t="s">
        <v>113</v>
      </c>
      <c r="E473" s="6" t="s">
        <v>58</v>
      </c>
      <c r="F473" s="6" t="s">
        <v>58</v>
      </c>
      <c r="G473" s="6" t="n">
        <v>20</v>
      </c>
      <c r="H473" s="6" t="n">
        <v>2260300</v>
      </c>
      <c r="I473" s="6" t="n">
        <v>821300</v>
      </c>
      <c r="J473" s="6" t="n">
        <v>12029200</v>
      </c>
      <c r="K473" s="6" t="n">
        <v>9768900</v>
      </c>
      <c r="L473" s="6" t="n">
        <v>20</v>
      </c>
      <c r="M473" s="6" t="n">
        <v>9</v>
      </c>
      <c r="N473" s="6" t="n">
        <v>9102.5</v>
      </c>
    </row>
    <row r="474" customFormat="false" ht="15" hidden="false" customHeight="false" outlineLevel="0" collapsed="false">
      <c r="A474" s="6" t="s">
        <v>29</v>
      </c>
      <c r="B474" s="6" t="s">
        <v>24</v>
      </c>
      <c r="C474" s="6" t="s">
        <v>51</v>
      </c>
      <c r="D474" s="6" t="s">
        <v>113</v>
      </c>
      <c r="E474" s="6" t="s">
        <v>58</v>
      </c>
      <c r="F474" s="6" t="s">
        <v>60</v>
      </c>
      <c r="G474" s="6" t="n">
        <v>46</v>
      </c>
      <c r="H474" s="6" t="n">
        <v>3800400</v>
      </c>
      <c r="I474" s="6" t="n">
        <v>1628200</v>
      </c>
      <c r="J474" s="6" t="n">
        <v>32130000</v>
      </c>
      <c r="K474" s="6" t="n">
        <v>28329500</v>
      </c>
      <c r="L474" s="6" t="n">
        <v>46</v>
      </c>
      <c r="M474" s="6" t="n">
        <v>34</v>
      </c>
      <c r="N474" s="6" t="n">
        <v>35767.2</v>
      </c>
    </row>
    <row r="475" customFormat="false" ht="15" hidden="false" customHeight="false" outlineLevel="0" collapsed="false">
      <c r="A475" s="6" t="s">
        <v>29</v>
      </c>
      <c r="B475" s="6" t="s">
        <v>24</v>
      </c>
      <c r="C475" s="6" t="s">
        <v>51</v>
      </c>
      <c r="D475" s="6" t="s">
        <v>113</v>
      </c>
      <c r="E475" s="6" t="s">
        <v>60</v>
      </c>
      <c r="F475" s="6" t="s">
        <v>58</v>
      </c>
      <c r="G475" s="6" t="n">
        <v>17</v>
      </c>
      <c r="H475" s="6" t="n">
        <v>2140300</v>
      </c>
      <c r="I475" s="6" t="n">
        <v>996400</v>
      </c>
      <c r="J475" s="6" t="n">
        <v>10590900</v>
      </c>
      <c r="K475" s="6" t="n">
        <v>8450800</v>
      </c>
      <c r="L475" s="6" t="n">
        <v>17</v>
      </c>
      <c r="M475" s="6" t="n">
        <v>7</v>
      </c>
      <c r="N475" s="6" t="n">
        <v>6969.1</v>
      </c>
    </row>
    <row r="476" customFormat="false" ht="15" hidden="false" customHeight="false" outlineLevel="0" collapsed="false">
      <c r="A476" s="6" t="s">
        <v>29</v>
      </c>
      <c r="B476" s="6" t="s">
        <v>24</v>
      </c>
      <c r="C476" s="6" t="s">
        <v>51</v>
      </c>
      <c r="D476" s="6" t="s">
        <v>113</v>
      </c>
      <c r="E476" s="6" t="s">
        <v>60</v>
      </c>
      <c r="F476" s="6" t="s">
        <v>60</v>
      </c>
      <c r="G476" s="6" t="n">
        <v>23</v>
      </c>
      <c r="H476" s="6" t="n">
        <v>1820000</v>
      </c>
      <c r="I476" s="6" t="n">
        <v>855800</v>
      </c>
      <c r="J476" s="6" t="n">
        <v>16268200</v>
      </c>
      <c r="K476" s="6" t="n">
        <v>14448300</v>
      </c>
      <c r="L476" s="6" t="n">
        <v>23</v>
      </c>
      <c r="M476" s="6" t="n">
        <v>15</v>
      </c>
      <c r="N476" s="6" t="n">
        <v>18905.3</v>
      </c>
    </row>
    <row r="477" customFormat="false" ht="15" hidden="false" customHeight="false" outlineLevel="0" collapsed="false">
      <c r="A477" s="6" t="s">
        <v>29</v>
      </c>
      <c r="B477" s="6" t="s">
        <v>24</v>
      </c>
      <c r="C477" s="6" t="s">
        <v>51</v>
      </c>
      <c r="D477" s="6" t="s">
        <v>114</v>
      </c>
      <c r="E477" s="6" t="s">
        <v>58</v>
      </c>
      <c r="F477" s="6" t="s">
        <v>58</v>
      </c>
      <c r="G477" s="6" t="n">
        <v>10</v>
      </c>
      <c r="H477" s="6" t="n">
        <v>1155700</v>
      </c>
      <c r="I477" s="6" t="n">
        <v>276500</v>
      </c>
      <c r="J477" s="6" t="n">
        <v>5515800</v>
      </c>
      <c r="K477" s="6" t="n">
        <v>4360100</v>
      </c>
      <c r="L477" s="6" t="n">
        <v>10</v>
      </c>
      <c r="M477" s="6" t="n">
        <v>5</v>
      </c>
      <c r="N477" s="6" t="n">
        <v>3986.9</v>
      </c>
    </row>
    <row r="478" customFormat="false" ht="15" hidden="false" customHeight="false" outlineLevel="0" collapsed="false">
      <c r="A478" s="6" t="s">
        <v>29</v>
      </c>
      <c r="B478" s="6" t="s">
        <v>24</v>
      </c>
      <c r="C478" s="6" t="s">
        <v>51</v>
      </c>
      <c r="D478" s="6" t="s">
        <v>114</v>
      </c>
      <c r="E478" s="6" t="s">
        <v>58</v>
      </c>
      <c r="F478" s="6" t="s">
        <v>60</v>
      </c>
      <c r="G478" s="6" t="n">
        <v>29</v>
      </c>
      <c r="H478" s="6" t="n">
        <v>2382600</v>
      </c>
      <c r="I478" s="6" t="n">
        <v>1141300</v>
      </c>
      <c r="J478" s="6" t="n">
        <v>21267700</v>
      </c>
      <c r="K478" s="6" t="n">
        <v>18885300</v>
      </c>
      <c r="L478" s="6" t="n">
        <v>29</v>
      </c>
      <c r="M478" s="6" t="n">
        <v>25</v>
      </c>
      <c r="N478" s="6" t="n">
        <v>24267</v>
      </c>
    </row>
    <row r="479" customFormat="false" ht="15" hidden="false" customHeight="false" outlineLevel="0" collapsed="false">
      <c r="A479" s="6" t="s">
        <v>29</v>
      </c>
      <c r="B479" s="6" t="s">
        <v>24</v>
      </c>
      <c r="C479" s="6" t="s">
        <v>51</v>
      </c>
      <c r="D479" s="6" t="s">
        <v>114</v>
      </c>
      <c r="E479" s="6" t="s">
        <v>60</v>
      </c>
      <c r="F479" s="6" t="s">
        <v>58</v>
      </c>
      <c r="G479" s="6" t="n">
        <v>8</v>
      </c>
      <c r="H479" s="6" t="n">
        <v>947400</v>
      </c>
      <c r="I479" s="6" t="n">
        <v>560700</v>
      </c>
      <c r="J479" s="6" t="n">
        <v>5690300</v>
      </c>
      <c r="K479" s="6" t="n">
        <v>4742800</v>
      </c>
      <c r="L479" s="6" t="n">
        <v>8</v>
      </c>
      <c r="M479" s="6" t="n">
        <v>6</v>
      </c>
      <c r="N479" s="6" t="n">
        <v>4439.5</v>
      </c>
    </row>
    <row r="480" customFormat="false" ht="15" hidden="false" customHeight="false" outlineLevel="0" collapsed="false">
      <c r="A480" s="6" t="s">
        <v>29</v>
      </c>
      <c r="B480" s="6" t="s">
        <v>24</v>
      </c>
      <c r="C480" s="6" t="s">
        <v>51</v>
      </c>
      <c r="D480" s="6" t="s">
        <v>114</v>
      </c>
      <c r="E480" s="6" t="s">
        <v>60</v>
      </c>
      <c r="F480" s="6" t="s">
        <v>60</v>
      </c>
      <c r="G480" s="6" t="n">
        <v>19</v>
      </c>
      <c r="H480" s="6" t="n">
        <v>1624400</v>
      </c>
      <c r="I480" s="6" t="n">
        <v>925000</v>
      </c>
      <c r="J480" s="6" t="n">
        <v>14490700</v>
      </c>
      <c r="K480" s="6" t="n">
        <v>12866400</v>
      </c>
      <c r="L480" s="6" t="n">
        <v>19</v>
      </c>
      <c r="M480" s="6" t="n">
        <v>15</v>
      </c>
      <c r="N480" s="6" t="n">
        <v>15312.8</v>
      </c>
    </row>
    <row r="481" customFormat="false" ht="15" hidden="false" customHeight="false" outlineLevel="0" collapsed="false">
      <c r="A481" s="6" t="s">
        <v>28</v>
      </c>
      <c r="B481" s="6" t="s">
        <v>24</v>
      </c>
      <c r="C481" s="6" t="s">
        <v>54</v>
      </c>
      <c r="D481" s="6" t="s">
        <v>111</v>
      </c>
      <c r="E481" s="6" t="s">
        <v>58</v>
      </c>
      <c r="F481" s="6" t="s">
        <v>58</v>
      </c>
      <c r="G481" s="6" t="n">
        <v>9</v>
      </c>
      <c r="H481" s="6" t="n">
        <v>1235800</v>
      </c>
      <c r="I481" s="6" t="n">
        <v>378700</v>
      </c>
      <c r="J481" s="6" t="n">
        <v>3283400</v>
      </c>
      <c r="K481" s="6" t="n">
        <v>2047600</v>
      </c>
      <c r="L481" s="6" t="n">
        <v>8</v>
      </c>
      <c r="M481" s="6" t="n">
        <v>2</v>
      </c>
      <c r="N481" s="6" t="n">
        <v>1611.8</v>
      </c>
    </row>
    <row r="482" customFormat="false" ht="15" hidden="false" customHeight="false" outlineLevel="0" collapsed="false">
      <c r="A482" s="6" t="s">
        <v>28</v>
      </c>
      <c r="B482" s="6" t="s">
        <v>24</v>
      </c>
      <c r="C482" s="6" t="s">
        <v>54</v>
      </c>
      <c r="D482" s="6" t="s">
        <v>111</v>
      </c>
      <c r="E482" s="6" t="s">
        <v>58</v>
      </c>
      <c r="F482" s="6" t="s">
        <v>60</v>
      </c>
      <c r="G482" s="6" t="n">
        <v>15</v>
      </c>
      <c r="H482" s="6" t="n">
        <v>1498300</v>
      </c>
      <c r="I482" s="6" t="n">
        <v>575800</v>
      </c>
      <c r="J482" s="6" t="n">
        <v>4841600</v>
      </c>
      <c r="K482" s="6" t="n">
        <v>3343100</v>
      </c>
      <c r="L482" s="6" t="n">
        <v>15</v>
      </c>
      <c r="M482" s="6" t="n">
        <v>0</v>
      </c>
      <c r="N482" s="6" t="n">
        <v>3556.8</v>
      </c>
    </row>
    <row r="483" customFormat="false" ht="15" hidden="false" customHeight="false" outlineLevel="0" collapsed="false">
      <c r="A483" s="6" t="s">
        <v>28</v>
      </c>
      <c r="B483" s="6" t="s">
        <v>24</v>
      </c>
      <c r="C483" s="6" t="s">
        <v>54</v>
      </c>
      <c r="D483" s="6" t="s">
        <v>111</v>
      </c>
      <c r="E483" s="6" t="s">
        <v>60</v>
      </c>
      <c r="F483" s="6" t="s">
        <v>58</v>
      </c>
      <c r="G483" s="6" t="n">
        <v>5</v>
      </c>
      <c r="H483" s="6" t="n">
        <v>884300</v>
      </c>
      <c r="I483" s="6" t="n">
        <v>468600</v>
      </c>
      <c r="J483" s="6" t="n">
        <v>2486500</v>
      </c>
      <c r="K483" s="6" t="n">
        <v>1602200</v>
      </c>
      <c r="L483" s="6" t="n">
        <v>5</v>
      </c>
      <c r="M483" s="6" t="n">
        <v>2</v>
      </c>
      <c r="N483" s="6" t="n">
        <v>907.7</v>
      </c>
    </row>
    <row r="484" customFormat="false" ht="15" hidden="false" customHeight="false" outlineLevel="0" collapsed="false">
      <c r="A484" s="6" t="s">
        <v>28</v>
      </c>
      <c r="B484" s="6" t="s">
        <v>24</v>
      </c>
      <c r="C484" s="6" t="s">
        <v>54</v>
      </c>
      <c r="D484" s="6" t="s">
        <v>111</v>
      </c>
      <c r="E484" s="6" t="s">
        <v>60</v>
      </c>
      <c r="F484" s="6" t="s">
        <v>60</v>
      </c>
      <c r="G484" s="6" t="n">
        <v>11</v>
      </c>
      <c r="H484" s="6" t="n">
        <v>1166200</v>
      </c>
      <c r="I484" s="6" t="n">
        <v>232000</v>
      </c>
      <c r="J484" s="6" t="n">
        <v>5976000</v>
      </c>
      <c r="K484" s="6" t="n">
        <v>4809500</v>
      </c>
      <c r="L484" s="6" t="n">
        <v>11</v>
      </c>
      <c r="M484" s="6" t="n">
        <v>4</v>
      </c>
      <c r="N484" s="6" t="n">
        <v>4920</v>
      </c>
    </row>
    <row r="485" customFormat="false" ht="15" hidden="false" customHeight="false" outlineLevel="0" collapsed="false">
      <c r="A485" s="6" t="s">
        <v>28</v>
      </c>
      <c r="B485" s="6" t="s">
        <v>24</v>
      </c>
      <c r="C485" s="6" t="s">
        <v>54</v>
      </c>
      <c r="D485" s="6" t="s">
        <v>112</v>
      </c>
      <c r="E485" s="6" t="s">
        <v>58</v>
      </c>
      <c r="F485" s="6" t="s">
        <v>58</v>
      </c>
      <c r="G485" s="6" t="n">
        <v>8</v>
      </c>
      <c r="H485" s="6" t="n">
        <v>1284300</v>
      </c>
      <c r="I485" s="6" t="n">
        <v>729000</v>
      </c>
      <c r="J485" s="6" t="n">
        <v>3136600</v>
      </c>
      <c r="K485" s="6" t="n">
        <v>1852400</v>
      </c>
      <c r="L485" s="6" t="n">
        <v>8</v>
      </c>
      <c r="M485" s="6" t="n">
        <v>1</v>
      </c>
      <c r="N485" s="6" t="n">
        <v>1257.2</v>
      </c>
    </row>
    <row r="486" customFormat="false" ht="15" hidden="false" customHeight="false" outlineLevel="0" collapsed="false">
      <c r="A486" s="6" t="s">
        <v>28</v>
      </c>
      <c r="B486" s="6" t="s">
        <v>24</v>
      </c>
      <c r="C486" s="6" t="s">
        <v>54</v>
      </c>
      <c r="D486" s="6" t="s">
        <v>112</v>
      </c>
      <c r="E486" s="6" t="s">
        <v>58</v>
      </c>
      <c r="F486" s="6" t="s">
        <v>60</v>
      </c>
      <c r="G486" s="6" t="n">
        <v>18</v>
      </c>
      <c r="H486" s="6" t="n">
        <v>1837200</v>
      </c>
      <c r="I486" s="6" t="n">
        <v>873500</v>
      </c>
      <c r="J486" s="6" t="n">
        <v>5485200</v>
      </c>
      <c r="K486" s="6" t="n">
        <v>3647700</v>
      </c>
      <c r="L486" s="6" t="n">
        <v>18</v>
      </c>
      <c r="M486" s="6" t="n">
        <v>0</v>
      </c>
      <c r="N486" s="6" t="n">
        <v>3882.2</v>
      </c>
    </row>
    <row r="487" customFormat="false" ht="15" hidden="false" customHeight="false" outlineLevel="0" collapsed="false">
      <c r="A487" s="6" t="s">
        <v>28</v>
      </c>
      <c r="B487" s="6" t="s">
        <v>24</v>
      </c>
      <c r="C487" s="6" t="s">
        <v>54</v>
      </c>
      <c r="D487" s="6" t="s">
        <v>112</v>
      </c>
      <c r="E487" s="6" t="s">
        <v>60</v>
      </c>
      <c r="F487" s="6" t="s">
        <v>58</v>
      </c>
      <c r="G487" s="6" t="n">
        <v>9</v>
      </c>
      <c r="H487" s="6" t="n">
        <v>1384400</v>
      </c>
      <c r="I487" s="6" t="n">
        <v>795200</v>
      </c>
      <c r="J487" s="6" t="n">
        <v>2458400</v>
      </c>
      <c r="K487" s="6" t="n">
        <v>1074100</v>
      </c>
      <c r="L487" s="6" t="n">
        <v>7</v>
      </c>
      <c r="M487" s="6" t="n">
        <v>0</v>
      </c>
      <c r="N487" s="6" t="n">
        <v>801.7</v>
      </c>
    </row>
    <row r="488" customFormat="false" ht="15" hidden="false" customHeight="false" outlineLevel="0" collapsed="false">
      <c r="A488" s="6" t="s">
        <v>28</v>
      </c>
      <c r="B488" s="6" t="s">
        <v>24</v>
      </c>
      <c r="C488" s="6" t="s">
        <v>54</v>
      </c>
      <c r="D488" s="6" t="s">
        <v>112</v>
      </c>
      <c r="E488" s="6" t="s">
        <v>60</v>
      </c>
      <c r="F488" s="6" t="s">
        <v>60</v>
      </c>
      <c r="G488" s="6" t="n">
        <v>12</v>
      </c>
      <c r="H488" s="6" t="n">
        <v>1267900</v>
      </c>
      <c r="I488" s="6" t="n">
        <v>574500</v>
      </c>
      <c r="J488" s="6" t="n">
        <v>5085800</v>
      </c>
      <c r="K488" s="6" t="n">
        <v>3818000</v>
      </c>
      <c r="L488" s="6" t="n">
        <v>12</v>
      </c>
      <c r="M488" s="6" t="n">
        <v>3</v>
      </c>
      <c r="N488" s="6" t="n">
        <v>3691.5</v>
      </c>
    </row>
    <row r="489" customFormat="false" ht="15" hidden="false" customHeight="false" outlineLevel="0" collapsed="false">
      <c r="A489" s="6" t="s">
        <v>28</v>
      </c>
      <c r="B489" s="6" t="s">
        <v>24</v>
      </c>
      <c r="C489" s="6" t="s">
        <v>54</v>
      </c>
      <c r="D489" s="6" t="s">
        <v>113</v>
      </c>
      <c r="E489" s="6" t="s">
        <v>58</v>
      </c>
      <c r="F489" s="6" t="s">
        <v>58</v>
      </c>
      <c r="G489" s="6" t="n">
        <v>3</v>
      </c>
      <c r="H489" s="6" t="n">
        <v>526600</v>
      </c>
      <c r="I489" s="6" t="n">
        <v>278900</v>
      </c>
      <c r="J489" s="6" t="n">
        <v>1314000</v>
      </c>
      <c r="K489" s="6" t="n">
        <v>787300</v>
      </c>
      <c r="L489" s="6" t="n">
        <v>3</v>
      </c>
      <c r="M489" s="6" t="n">
        <v>0</v>
      </c>
      <c r="N489" s="6" t="n">
        <v>481.6</v>
      </c>
    </row>
    <row r="490" customFormat="false" ht="15" hidden="false" customHeight="false" outlineLevel="0" collapsed="false">
      <c r="A490" s="6" t="s">
        <v>28</v>
      </c>
      <c r="B490" s="6" t="s">
        <v>24</v>
      </c>
      <c r="C490" s="6" t="s">
        <v>54</v>
      </c>
      <c r="D490" s="6" t="s">
        <v>113</v>
      </c>
      <c r="E490" s="6" t="s">
        <v>58</v>
      </c>
      <c r="F490" s="6" t="s">
        <v>60</v>
      </c>
      <c r="G490" s="6" t="n">
        <v>26</v>
      </c>
      <c r="H490" s="6" t="n">
        <v>2755300</v>
      </c>
      <c r="I490" s="6" t="n">
        <v>1329500</v>
      </c>
      <c r="J490" s="6" t="n">
        <v>10056500</v>
      </c>
      <c r="K490" s="6" t="n">
        <v>7301500</v>
      </c>
      <c r="L490" s="6" t="n">
        <v>26</v>
      </c>
      <c r="M490" s="6" t="n">
        <v>4</v>
      </c>
      <c r="N490" s="6" t="n">
        <v>7094.9</v>
      </c>
    </row>
    <row r="491" customFormat="false" ht="15" hidden="false" customHeight="false" outlineLevel="0" collapsed="false">
      <c r="A491" s="6" t="s">
        <v>28</v>
      </c>
      <c r="B491" s="6" t="s">
        <v>24</v>
      </c>
      <c r="C491" s="6" t="s">
        <v>54</v>
      </c>
      <c r="D491" s="6" t="s">
        <v>113</v>
      </c>
      <c r="E491" s="6" t="s">
        <v>60</v>
      </c>
      <c r="F491" s="6" t="s">
        <v>58</v>
      </c>
      <c r="G491" s="6" t="n">
        <v>4</v>
      </c>
      <c r="H491" s="6" t="n">
        <v>651300</v>
      </c>
      <c r="I491" s="6" t="n">
        <v>86700</v>
      </c>
      <c r="J491" s="6" t="n">
        <v>1962700</v>
      </c>
      <c r="K491" s="6" t="n">
        <v>1311500</v>
      </c>
      <c r="L491" s="6" t="n">
        <v>4</v>
      </c>
      <c r="M491" s="6" t="n">
        <v>1</v>
      </c>
      <c r="N491" s="6" t="n">
        <v>821.7</v>
      </c>
    </row>
    <row r="492" customFormat="false" ht="15" hidden="false" customHeight="false" outlineLevel="0" collapsed="false">
      <c r="A492" s="6" t="s">
        <v>28</v>
      </c>
      <c r="B492" s="6" t="s">
        <v>24</v>
      </c>
      <c r="C492" s="6" t="s">
        <v>54</v>
      </c>
      <c r="D492" s="6" t="s">
        <v>113</v>
      </c>
      <c r="E492" s="6" t="s">
        <v>60</v>
      </c>
      <c r="F492" s="6" t="s">
        <v>60</v>
      </c>
      <c r="G492" s="6" t="n">
        <v>13</v>
      </c>
      <c r="H492" s="6" t="n">
        <v>1447500</v>
      </c>
      <c r="I492" s="6" t="n">
        <v>807400</v>
      </c>
      <c r="J492" s="6" t="n">
        <v>5314900</v>
      </c>
      <c r="K492" s="6" t="n">
        <v>3867400</v>
      </c>
      <c r="L492" s="6" t="n">
        <v>13</v>
      </c>
      <c r="M492" s="6" t="n">
        <v>3</v>
      </c>
      <c r="N492" s="6" t="n">
        <v>3615.3</v>
      </c>
    </row>
    <row r="493" customFormat="false" ht="15" hidden="false" customHeight="false" outlineLevel="0" collapsed="false">
      <c r="A493" s="6" t="s">
        <v>28</v>
      </c>
      <c r="B493" s="6" t="s">
        <v>24</v>
      </c>
      <c r="C493" s="6" t="s">
        <v>54</v>
      </c>
      <c r="D493" s="6" t="s">
        <v>114</v>
      </c>
      <c r="E493" s="6" t="s">
        <v>58</v>
      </c>
      <c r="F493" s="6" t="s">
        <v>58</v>
      </c>
      <c r="G493" s="6" t="n">
        <v>10</v>
      </c>
      <c r="H493" s="6" t="n">
        <v>1421300</v>
      </c>
      <c r="I493" s="6" t="n">
        <v>469000</v>
      </c>
      <c r="J493" s="6" t="n">
        <v>2763800</v>
      </c>
      <c r="K493" s="6" t="n">
        <v>1342500</v>
      </c>
      <c r="L493" s="6" t="n">
        <v>9</v>
      </c>
      <c r="M493" s="6" t="n">
        <v>0</v>
      </c>
      <c r="N493" s="6" t="n">
        <v>1071.4</v>
      </c>
    </row>
    <row r="494" customFormat="false" ht="15" hidden="false" customHeight="false" outlineLevel="0" collapsed="false">
      <c r="A494" s="6" t="s">
        <v>28</v>
      </c>
      <c r="B494" s="6" t="s">
        <v>24</v>
      </c>
      <c r="C494" s="6" t="s">
        <v>54</v>
      </c>
      <c r="D494" s="6" t="s">
        <v>114</v>
      </c>
      <c r="E494" s="6" t="s">
        <v>58</v>
      </c>
      <c r="F494" s="6" t="s">
        <v>60</v>
      </c>
      <c r="G494" s="6" t="n">
        <v>8</v>
      </c>
      <c r="H494" s="6" t="n">
        <v>842600</v>
      </c>
      <c r="I494" s="6" t="n">
        <v>404800</v>
      </c>
      <c r="J494" s="6" t="n">
        <v>2572900</v>
      </c>
      <c r="K494" s="6" t="n">
        <v>1730400</v>
      </c>
      <c r="L494" s="6" t="n">
        <v>8</v>
      </c>
      <c r="M494" s="6" t="n">
        <v>1</v>
      </c>
      <c r="N494" s="6" t="n">
        <v>1686.5</v>
      </c>
    </row>
    <row r="495" customFormat="false" ht="15" hidden="false" customHeight="false" outlineLevel="0" collapsed="false">
      <c r="A495" s="6" t="s">
        <v>28</v>
      </c>
      <c r="B495" s="6" t="s">
        <v>24</v>
      </c>
      <c r="C495" s="6" t="s">
        <v>54</v>
      </c>
      <c r="D495" s="6" t="s">
        <v>114</v>
      </c>
      <c r="E495" s="6" t="s">
        <v>60</v>
      </c>
      <c r="F495" s="6" t="s">
        <v>58</v>
      </c>
      <c r="G495" s="6" t="n">
        <v>3</v>
      </c>
      <c r="H495" s="6" t="n">
        <v>447500</v>
      </c>
      <c r="I495" s="6" t="n">
        <v>198700</v>
      </c>
      <c r="J495" s="6" t="n">
        <v>1106800</v>
      </c>
      <c r="K495" s="6" t="n">
        <v>659300</v>
      </c>
      <c r="L495" s="6" t="n">
        <v>3</v>
      </c>
      <c r="M495" s="6" t="n">
        <v>0</v>
      </c>
      <c r="N495" s="6" t="n">
        <v>490.5</v>
      </c>
    </row>
    <row r="496" customFormat="false" ht="15" hidden="false" customHeight="false" outlineLevel="0" collapsed="false">
      <c r="A496" s="6" t="s">
        <v>28</v>
      </c>
      <c r="B496" s="6" t="s">
        <v>24</v>
      </c>
      <c r="C496" s="6" t="s">
        <v>54</v>
      </c>
      <c r="D496" s="6" t="s">
        <v>114</v>
      </c>
      <c r="E496" s="6" t="s">
        <v>60</v>
      </c>
      <c r="F496" s="6" t="s">
        <v>60</v>
      </c>
      <c r="G496" s="6" t="n">
        <v>10</v>
      </c>
      <c r="H496" s="6" t="n">
        <v>1142600</v>
      </c>
      <c r="I496" s="6" t="n">
        <v>276000</v>
      </c>
      <c r="J496" s="6" t="n">
        <v>3570300</v>
      </c>
      <c r="K496" s="6" t="n">
        <v>2427900</v>
      </c>
      <c r="L496" s="6" t="n">
        <v>10</v>
      </c>
      <c r="M496" s="6" t="n">
        <v>0</v>
      </c>
      <c r="N496" s="6" t="n">
        <v>2244.9</v>
      </c>
    </row>
    <row r="497" customFormat="false" ht="15" hidden="false" customHeight="false" outlineLevel="0" collapsed="false">
      <c r="A497" s="6" t="s">
        <v>28</v>
      </c>
      <c r="B497" s="6" t="s">
        <v>24</v>
      </c>
      <c r="C497" s="6" t="s">
        <v>50</v>
      </c>
      <c r="D497" s="6" t="s">
        <v>111</v>
      </c>
      <c r="E497" s="6" t="s">
        <v>58</v>
      </c>
      <c r="F497" s="6" t="s">
        <v>58</v>
      </c>
      <c r="G497" s="6" t="n">
        <v>4</v>
      </c>
      <c r="H497" s="6" t="n">
        <v>801200</v>
      </c>
      <c r="I497" s="6" t="n">
        <v>485300</v>
      </c>
      <c r="J497" s="6" t="n">
        <v>3799900</v>
      </c>
      <c r="K497" s="6" t="n">
        <v>2998700</v>
      </c>
      <c r="L497" s="6" t="n">
        <v>4</v>
      </c>
      <c r="M497" s="6" t="n">
        <v>4</v>
      </c>
      <c r="N497" s="6" t="n">
        <v>1525.7</v>
      </c>
    </row>
    <row r="498" customFormat="false" ht="15" hidden="false" customHeight="false" outlineLevel="0" collapsed="false">
      <c r="A498" s="6" t="s">
        <v>28</v>
      </c>
      <c r="B498" s="6" t="s">
        <v>24</v>
      </c>
      <c r="C498" s="6" t="s">
        <v>50</v>
      </c>
      <c r="D498" s="6" t="s">
        <v>111</v>
      </c>
      <c r="E498" s="6" t="s">
        <v>58</v>
      </c>
      <c r="F498" s="6" t="s">
        <v>60</v>
      </c>
      <c r="G498" s="6" t="n">
        <v>4</v>
      </c>
      <c r="H498" s="6" t="n">
        <v>545300</v>
      </c>
      <c r="I498" s="6" t="n">
        <v>178700</v>
      </c>
      <c r="J498" s="6" t="n">
        <v>4069500</v>
      </c>
      <c r="K498" s="6" t="n">
        <v>3524200</v>
      </c>
      <c r="L498" s="6" t="n">
        <v>4</v>
      </c>
      <c r="M498" s="6" t="n">
        <v>3</v>
      </c>
      <c r="N498" s="6" t="n">
        <v>2631.8</v>
      </c>
    </row>
    <row r="499" customFormat="false" ht="15" hidden="false" customHeight="false" outlineLevel="0" collapsed="false">
      <c r="A499" s="6" t="s">
        <v>28</v>
      </c>
      <c r="B499" s="6" t="s">
        <v>24</v>
      </c>
      <c r="C499" s="6" t="s">
        <v>50</v>
      </c>
      <c r="D499" s="6" t="s">
        <v>111</v>
      </c>
      <c r="E499" s="6" t="s">
        <v>60</v>
      </c>
      <c r="F499" s="6" t="s">
        <v>58</v>
      </c>
      <c r="G499" s="6" t="n">
        <v>4</v>
      </c>
      <c r="H499" s="6" t="n">
        <v>919300</v>
      </c>
      <c r="I499" s="6" t="n">
        <v>171500</v>
      </c>
      <c r="J499" s="6" t="n">
        <v>4043600</v>
      </c>
      <c r="K499" s="6" t="n">
        <v>3124400</v>
      </c>
      <c r="L499" s="6" t="n">
        <v>4</v>
      </c>
      <c r="M499" s="6" t="n">
        <v>3</v>
      </c>
      <c r="N499" s="6" t="n">
        <v>1468</v>
      </c>
    </row>
    <row r="500" customFormat="false" ht="15" hidden="false" customHeight="false" outlineLevel="0" collapsed="false">
      <c r="A500" s="6" t="s">
        <v>28</v>
      </c>
      <c r="B500" s="6" t="s">
        <v>24</v>
      </c>
      <c r="C500" s="6" t="s">
        <v>50</v>
      </c>
      <c r="D500" s="6" t="s">
        <v>111</v>
      </c>
      <c r="E500" s="6" t="s">
        <v>60</v>
      </c>
      <c r="F500" s="6" t="s">
        <v>60</v>
      </c>
      <c r="G500" s="6" t="n">
        <v>3</v>
      </c>
      <c r="H500" s="6" t="n">
        <v>451900</v>
      </c>
      <c r="I500" s="6" t="n">
        <v>241700</v>
      </c>
      <c r="J500" s="6" t="n">
        <v>2692200</v>
      </c>
      <c r="K500" s="6" t="n">
        <v>2240400</v>
      </c>
      <c r="L500" s="6" t="n">
        <v>3</v>
      </c>
      <c r="M500" s="6" t="n">
        <v>3</v>
      </c>
      <c r="N500" s="6" t="n">
        <v>1545.7</v>
      </c>
    </row>
    <row r="501" customFormat="false" ht="15" hidden="false" customHeight="false" outlineLevel="0" collapsed="false">
      <c r="A501" s="6" t="s">
        <v>28</v>
      </c>
      <c r="B501" s="6" t="s">
        <v>24</v>
      </c>
      <c r="C501" s="6" t="s">
        <v>50</v>
      </c>
      <c r="D501" s="6" t="s">
        <v>112</v>
      </c>
      <c r="E501" s="6" t="s">
        <v>58</v>
      </c>
      <c r="F501" s="6" t="s">
        <v>58</v>
      </c>
      <c r="G501" s="6" t="n">
        <v>2</v>
      </c>
      <c r="H501" s="6" t="n">
        <v>358900</v>
      </c>
      <c r="I501" s="6" t="n">
        <v>148300</v>
      </c>
      <c r="J501" s="6" t="n">
        <v>959500</v>
      </c>
      <c r="K501" s="6" t="n">
        <v>600600</v>
      </c>
      <c r="L501" s="6" t="n">
        <v>2</v>
      </c>
      <c r="M501" s="6" t="n">
        <v>0</v>
      </c>
      <c r="N501" s="6" t="n">
        <v>343</v>
      </c>
    </row>
    <row r="502" customFormat="false" ht="15" hidden="false" customHeight="false" outlineLevel="0" collapsed="false">
      <c r="A502" s="6" t="s">
        <v>28</v>
      </c>
      <c r="B502" s="6" t="s">
        <v>24</v>
      </c>
      <c r="C502" s="6" t="s">
        <v>50</v>
      </c>
      <c r="D502" s="6" t="s">
        <v>112</v>
      </c>
      <c r="E502" s="6" t="s">
        <v>58</v>
      </c>
      <c r="F502" s="6" t="s">
        <v>60</v>
      </c>
      <c r="G502" s="6" t="n">
        <v>13</v>
      </c>
      <c r="H502" s="6" t="n">
        <v>1990600</v>
      </c>
      <c r="I502" s="6" t="n">
        <v>1029800</v>
      </c>
      <c r="J502" s="6" t="n">
        <v>12443200</v>
      </c>
      <c r="K502" s="6" t="n">
        <v>10452600</v>
      </c>
      <c r="L502" s="6" t="n">
        <v>13</v>
      </c>
      <c r="M502" s="6" t="n">
        <v>13</v>
      </c>
      <c r="N502" s="6" t="n">
        <v>7313.4</v>
      </c>
    </row>
    <row r="503" customFormat="false" ht="15" hidden="false" customHeight="false" outlineLevel="0" collapsed="false">
      <c r="A503" s="6" t="s">
        <v>28</v>
      </c>
      <c r="B503" s="6" t="s">
        <v>24</v>
      </c>
      <c r="C503" s="6" t="s">
        <v>50</v>
      </c>
      <c r="D503" s="6" t="s">
        <v>112</v>
      </c>
      <c r="E503" s="6" t="s">
        <v>60</v>
      </c>
      <c r="F503" s="6" t="s">
        <v>58</v>
      </c>
      <c r="G503" s="6" t="n">
        <v>2</v>
      </c>
      <c r="H503" s="6" t="n">
        <v>476100</v>
      </c>
      <c r="I503" s="6" t="n">
        <v>279400</v>
      </c>
      <c r="J503" s="6" t="n">
        <v>2513400</v>
      </c>
      <c r="K503" s="6" t="n">
        <v>2037400</v>
      </c>
      <c r="L503" s="6" t="n">
        <v>2</v>
      </c>
      <c r="M503" s="6" t="n">
        <v>2</v>
      </c>
      <c r="N503" s="6" t="n">
        <v>872.5</v>
      </c>
    </row>
    <row r="504" customFormat="false" ht="15" hidden="false" customHeight="false" outlineLevel="0" collapsed="false">
      <c r="A504" s="6" t="s">
        <v>28</v>
      </c>
      <c r="B504" s="6" t="s">
        <v>24</v>
      </c>
      <c r="C504" s="6" t="s">
        <v>50</v>
      </c>
      <c r="D504" s="6" t="s">
        <v>112</v>
      </c>
      <c r="E504" s="6" t="s">
        <v>60</v>
      </c>
      <c r="F504" s="6" t="s">
        <v>60</v>
      </c>
      <c r="G504" s="6" t="n">
        <v>4</v>
      </c>
      <c r="H504" s="6" t="n">
        <v>621800</v>
      </c>
      <c r="I504" s="6" t="n">
        <v>487000</v>
      </c>
      <c r="J504" s="6" t="n">
        <v>4115400</v>
      </c>
      <c r="K504" s="6" t="n">
        <v>3493600</v>
      </c>
      <c r="L504" s="6" t="n">
        <v>4</v>
      </c>
      <c r="M504" s="6" t="n">
        <v>4</v>
      </c>
      <c r="N504" s="6" t="n">
        <v>2360.7</v>
      </c>
    </row>
    <row r="505" customFormat="false" ht="15" hidden="false" customHeight="false" outlineLevel="0" collapsed="false">
      <c r="A505" s="6" t="s">
        <v>28</v>
      </c>
      <c r="B505" s="6" t="s">
        <v>24</v>
      </c>
      <c r="C505" s="6" t="s">
        <v>50</v>
      </c>
      <c r="D505" s="6" t="s">
        <v>113</v>
      </c>
      <c r="E505" s="6" t="s">
        <v>58</v>
      </c>
      <c r="F505" s="6" t="s">
        <v>58</v>
      </c>
      <c r="G505" s="6" t="n">
        <v>5</v>
      </c>
      <c r="H505" s="6" t="n">
        <v>957600</v>
      </c>
      <c r="I505" s="6" t="n">
        <v>466200</v>
      </c>
      <c r="J505" s="6" t="n">
        <v>4338400</v>
      </c>
      <c r="K505" s="6" t="n">
        <v>3380900</v>
      </c>
      <c r="L505" s="6" t="n">
        <v>5</v>
      </c>
      <c r="M505" s="6" t="n">
        <v>4</v>
      </c>
      <c r="N505" s="6" t="n">
        <v>1918.9</v>
      </c>
    </row>
    <row r="506" customFormat="false" ht="15" hidden="false" customHeight="false" outlineLevel="0" collapsed="false">
      <c r="A506" s="6" t="s">
        <v>28</v>
      </c>
      <c r="B506" s="6" t="s">
        <v>24</v>
      </c>
      <c r="C506" s="6" t="s">
        <v>50</v>
      </c>
      <c r="D506" s="6" t="s">
        <v>113</v>
      </c>
      <c r="E506" s="6" t="s">
        <v>58</v>
      </c>
      <c r="F506" s="6" t="s">
        <v>60</v>
      </c>
      <c r="G506" s="6" t="n">
        <v>11</v>
      </c>
      <c r="H506" s="6" t="n">
        <v>1637100</v>
      </c>
      <c r="I506" s="6" t="n">
        <v>446600</v>
      </c>
      <c r="J506" s="6" t="n">
        <v>8482500</v>
      </c>
      <c r="K506" s="6" t="n">
        <v>6845200</v>
      </c>
      <c r="L506" s="6" t="n">
        <v>11</v>
      </c>
      <c r="M506" s="6" t="n">
        <v>8</v>
      </c>
      <c r="N506" s="6" t="n">
        <v>4832</v>
      </c>
    </row>
    <row r="507" customFormat="false" ht="15" hidden="false" customHeight="false" outlineLevel="0" collapsed="false">
      <c r="A507" s="6" t="s">
        <v>28</v>
      </c>
      <c r="B507" s="6" t="s">
        <v>24</v>
      </c>
      <c r="C507" s="6" t="s">
        <v>50</v>
      </c>
      <c r="D507" s="6" t="s">
        <v>113</v>
      </c>
      <c r="E507" s="6" t="s">
        <v>60</v>
      </c>
      <c r="F507" s="6" t="s">
        <v>58</v>
      </c>
      <c r="G507" s="6" t="n">
        <v>3</v>
      </c>
      <c r="H507" s="6" t="n">
        <v>507200</v>
      </c>
      <c r="I507" s="6" t="n">
        <v>152600</v>
      </c>
      <c r="J507" s="6" t="n">
        <v>3116700</v>
      </c>
      <c r="K507" s="6" t="n">
        <v>2609500</v>
      </c>
      <c r="L507" s="6" t="n">
        <v>3</v>
      </c>
      <c r="M507" s="6" t="n">
        <v>2</v>
      </c>
      <c r="N507" s="6" t="n">
        <v>1790.6</v>
      </c>
    </row>
    <row r="508" customFormat="false" ht="15" hidden="false" customHeight="false" outlineLevel="0" collapsed="false">
      <c r="A508" s="6" t="s">
        <v>28</v>
      </c>
      <c r="B508" s="6" t="s">
        <v>24</v>
      </c>
      <c r="C508" s="6" t="s">
        <v>50</v>
      </c>
      <c r="D508" s="6" t="s">
        <v>113</v>
      </c>
      <c r="E508" s="6" t="s">
        <v>60</v>
      </c>
      <c r="F508" s="6" t="s">
        <v>60</v>
      </c>
      <c r="G508" s="6" t="n">
        <v>12</v>
      </c>
      <c r="H508" s="6" t="n">
        <v>1674300</v>
      </c>
      <c r="I508" s="6" t="n">
        <v>893500</v>
      </c>
      <c r="J508" s="6" t="n">
        <v>10822800</v>
      </c>
      <c r="K508" s="6" t="n">
        <v>9148400</v>
      </c>
      <c r="L508" s="6" t="n">
        <v>12</v>
      </c>
      <c r="M508" s="6" t="n">
        <v>10</v>
      </c>
      <c r="N508" s="6" t="n">
        <v>6920</v>
      </c>
    </row>
    <row r="509" customFormat="false" ht="15" hidden="false" customHeight="false" outlineLevel="0" collapsed="false">
      <c r="A509" s="6" t="s">
        <v>28</v>
      </c>
      <c r="B509" s="6" t="s">
        <v>24</v>
      </c>
      <c r="C509" s="6" t="s">
        <v>50</v>
      </c>
      <c r="D509" s="6" t="s">
        <v>114</v>
      </c>
      <c r="E509" s="6" t="s">
        <v>58</v>
      </c>
      <c r="F509" s="6" t="s">
        <v>58</v>
      </c>
      <c r="G509" s="6" t="n">
        <v>4</v>
      </c>
      <c r="H509" s="6" t="n">
        <v>737500</v>
      </c>
      <c r="I509" s="6" t="n">
        <v>384600</v>
      </c>
      <c r="J509" s="6" t="n">
        <v>3335500</v>
      </c>
      <c r="K509" s="6" t="n">
        <v>2598100</v>
      </c>
      <c r="L509" s="6" t="n">
        <v>4</v>
      </c>
      <c r="M509" s="6" t="n">
        <v>3</v>
      </c>
      <c r="N509" s="6" t="n">
        <v>1415.8</v>
      </c>
    </row>
    <row r="510" customFormat="false" ht="15" hidden="false" customHeight="false" outlineLevel="0" collapsed="false">
      <c r="A510" s="6" t="s">
        <v>28</v>
      </c>
      <c r="B510" s="6" t="s">
        <v>24</v>
      </c>
      <c r="C510" s="6" t="s">
        <v>50</v>
      </c>
      <c r="D510" s="6" t="s">
        <v>114</v>
      </c>
      <c r="E510" s="6" t="s">
        <v>58</v>
      </c>
      <c r="F510" s="6" t="s">
        <v>60</v>
      </c>
      <c r="G510" s="6" t="n">
        <v>8</v>
      </c>
      <c r="H510" s="6" t="n">
        <v>1297500</v>
      </c>
      <c r="I510" s="6" t="n">
        <v>458500</v>
      </c>
      <c r="J510" s="6" t="n">
        <v>6341700</v>
      </c>
      <c r="K510" s="6" t="n">
        <v>5044100</v>
      </c>
      <c r="L510" s="6" t="n">
        <v>8</v>
      </c>
      <c r="M510" s="6" t="n">
        <v>6</v>
      </c>
      <c r="N510" s="6" t="n">
        <v>3085</v>
      </c>
    </row>
    <row r="511" customFormat="false" ht="15" hidden="false" customHeight="false" outlineLevel="0" collapsed="false">
      <c r="A511" s="6" t="s">
        <v>28</v>
      </c>
      <c r="B511" s="6" t="s">
        <v>24</v>
      </c>
      <c r="C511" s="6" t="s">
        <v>50</v>
      </c>
      <c r="D511" s="6" t="s">
        <v>114</v>
      </c>
      <c r="E511" s="6" t="s">
        <v>60</v>
      </c>
      <c r="F511" s="6" t="s">
        <v>58</v>
      </c>
      <c r="G511" s="6" t="n">
        <v>1</v>
      </c>
      <c r="H511" s="6" t="n">
        <v>201200</v>
      </c>
      <c r="I511" s="6" t="n">
        <v>0</v>
      </c>
      <c r="J511" s="6" t="n">
        <v>556400</v>
      </c>
      <c r="K511" s="6" t="n">
        <v>355200</v>
      </c>
      <c r="L511" s="6" t="n">
        <v>1</v>
      </c>
      <c r="M511" s="6" t="n">
        <v>0</v>
      </c>
      <c r="N511" s="6" t="n">
        <v>176.5</v>
      </c>
    </row>
    <row r="512" customFormat="false" ht="15" hidden="false" customHeight="false" outlineLevel="0" collapsed="false">
      <c r="A512" s="6" t="s">
        <v>28</v>
      </c>
      <c r="B512" s="6" t="s">
        <v>24</v>
      </c>
      <c r="C512" s="6" t="s">
        <v>50</v>
      </c>
      <c r="D512" s="6" t="s">
        <v>114</v>
      </c>
      <c r="E512" s="6" t="s">
        <v>60</v>
      </c>
      <c r="F512" s="6" t="s">
        <v>60</v>
      </c>
      <c r="G512" s="6" t="n">
        <v>4</v>
      </c>
      <c r="H512" s="6" t="n">
        <v>518700</v>
      </c>
      <c r="I512" s="6" t="n">
        <v>244600</v>
      </c>
      <c r="J512" s="6" t="n">
        <v>3809600</v>
      </c>
      <c r="K512" s="6" t="n">
        <v>3290900</v>
      </c>
      <c r="L512" s="6" t="n">
        <v>4</v>
      </c>
      <c r="M512" s="6" t="n">
        <v>3</v>
      </c>
      <c r="N512" s="6" t="n">
        <v>2791.9</v>
      </c>
    </row>
    <row r="513" customFormat="false" ht="15" hidden="false" customHeight="false" outlineLevel="0" collapsed="false">
      <c r="A513" s="6" t="s">
        <v>28</v>
      </c>
      <c r="B513" s="6" t="s">
        <v>24</v>
      </c>
      <c r="C513" s="6" t="s">
        <v>52</v>
      </c>
      <c r="D513" s="6" t="s">
        <v>111</v>
      </c>
      <c r="E513" s="6" t="s">
        <v>58</v>
      </c>
      <c r="F513" s="6" t="s">
        <v>58</v>
      </c>
      <c r="G513" s="6" t="n">
        <v>17</v>
      </c>
      <c r="H513" s="6" t="n">
        <v>1730000</v>
      </c>
      <c r="I513" s="6" t="n">
        <v>612200</v>
      </c>
      <c r="J513" s="6" t="n">
        <v>8836300</v>
      </c>
      <c r="K513" s="6" t="n">
        <v>7106600</v>
      </c>
      <c r="L513" s="6" t="n">
        <v>17</v>
      </c>
      <c r="M513" s="6" t="n">
        <v>9</v>
      </c>
      <c r="N513" s="6" t="n">
        <v>7157.7</v>
      </c>
    </row>
    <row r="514" customFormat="false" ht="15" hidden="false" customHeight="false" outlineLevel="0" collapsed="false">
      <c r="A514" s="6" t="s">
        <v>28</v>
      </c>
      <c r="B514" s="6" t="s">
        <v>24</v>
      </c>
      <c r="C514" s="6" t="s">
        <v>52</v>
      </c>
      <c r="D514" s="6" t="s">
        <v>111</v>
      </c>
      <c r="E514" s="6" t="s">
        <v>58</v>
      </c>
      <c r="F514" s="6" t="s">
        <v>60</v>
      </c>
      <c r="G514" s="6" t="n">
        <v>41</v>
      </c>
      <c r="H514" s="6" t="n">
        <v>3194700</v>
      </c>
      <c r="I514" s="6" t="n">
        <v>982900</v>
      </c>
      <c r="J514" s="6" t="n">
        <v>24127800</v>
      </c>
      <c r="K514" s="6" t="n">
        <v>20933100</v>
      </c>
      <c r="L514" s="6" t="n">
        <v>41</v>
      </c>
      <c r="M514" s="6" t="n">
        <v>19</v>
      </c>
      <c r="N514" s="6" t="n">
        <v>27118.6</v>
      </c>
    </row>
    <row r="515" customFormat="false" ht="15" hidden="false" customHeight="false" outlineLevel="0" collapsed="false">
      <c r="A515" s="6" t="s">
        <v>28</v>
      </c>
      <c r="B515" s="6" t="s">
        <v>24</v>
      </c>
      <c r="C515" s="6" t="s">
        <v>52</v>
      </c>
      <c r="D515" s="6" t="s">
        <v>111</v>
      </c>
      <c r="E515" s="6" t="s">
        <v>60</v>
      </c>
      <c r="F515" s="6" t="s">
        <v>58</v>
      </c>
      <c r="G515" s="6" t="n">
        <v>17</v>
      </c>
      <c r="H515" s="6" t="n">
        <v>1796900</v>
      </c>
      <c r="I515" s="6" t="n">
        <v>633300</v>
      </c>
      <c r="J515" s="6" t="n">
        <v>10127500</v>
      </c>
      <c r="K515" s="6" t="n">
        <v>8330300</v>
      </c>
      <c r="L515" s="6" t="n">
        <v>17</v>
      </c>
      <c r="M515" s="6" t="n">
        <v>8</v>
      </c>
      <c r="N515" s="6" t="n">
        <v>8282.9</v>
      </c>
    </row>
    <row r="516" customFormat="false" ht="15" hidden="false" customHeight="false" outlineLevel="0" collapsed="false">
      <c r="A516" s="6" t="s">
        <v>28</v>
      </c>
      <c r="B516" s="6" t="s">
        <v>24</v>
      </c>
      <c r="C516" s="6" t="s">
        <v>52</v>
      </c>
      <c r="D516" s="6" t="s">
        <v>111</v>
      </c>
      <c r="E516" s="6" t="s">
        <v>60</v>
      </c>
      <c r="F516" s="6" t="s">
        <v>60</v>
      </c>
      <c r="G516" s="6" t="n">
        <v>41</v>
      </c>
      <c r="H516" s="6" t="n">
        <v>3023300</v>
      </c>
      <c r="I516" s="6" t="n">
        <v>1307900</v>
      </c>
      <c r="J516" s="6" t="n">
        <v>25405500</v>
      </c>
      <c r="K516" s="6" t="n">
        <v>22382500</v>
      </c>
      <c r="L516" s="6" t="n">
        <v>41</v>
      </c>
      <c r="M516" s="6" t="n">
        <v>29</v>
      </c>
      <c r="N516" s="6" t="n">
        <v>31805.7</v>
      </c>
    </row>
    <row r="517" customFormat="false" ht="15" hidden="false" customHeight="false" outlineLevel="0" collapsed="false">
      <c r="A517" s="6" t="s">
        <v>28</v>
      </c>
      <c r="B517" s="6" t="s">
        <v>24</v>
      </c>
      <c r="C517" s="6" t="s">
        <v>52</v>
      </c>
      <c r="D517" s="6" t="s">
        <v>112</v>
      </c>
      <c r="E517" s="6" t="s">
        <v>58</v>
      </c>
      <c r="F517" s="6" t="s">
        <v>58</v>
      </c>
      <c r="G517" s="6" t="n">
        <v>24</v>
      </c>
      <c r="H517" s="6" t="n">
        <v>2449200</v>
      </c>
      <c r="I517" s="6" t="n">
        <v>1259800</v>
      </c>
      <c r="J517" s="6" t="n">
        <v>13192200</v>
      </c>
      <c r="K517" s="6" t="n">
        <v>10742900</v>
      </c>
      <c r="L517" s="6" t="n">
        <v>24</v>
      </c>
      <c r="M517" s="6" t="n">
        <v>12</v>
      </c>
      <c r="N517" s="6" t="n">
        <v>10911.8</v>
      </c>
    </row>
    <row r="518" customFormat="false" ht="15" hidden="false" customHeight="false" outlineLevel="0" collapsed="false">
      <c r="A518" s="6" t="s">
        <v>28</v>
      </c>
      <c r="B518" s="6" t="s">
        <v>24</v>
      </c>
      <c r="C518" s="6" t="s">
        <v>52</v>
      </c>
      <c r="D518" s="6" t="s">
        <v>112</v>
      </c>
      <c r="E518" s="6" t="s">
        <v>58</v>
      </c>
      <c r="F518" s="6" t="s">
        <v>60</v>
      </c>
      <c r="G518" s="6" t="n">
        <v>53</v>
      </c>
      <c r="H518" s="6" t="n">
        <v>4181100</v>
      </c>
      <c r="I518" s="6" t="n">
        <v>1774800</v>
      </c>
      <c r="J518" s="6" t="n">
        <v>31448800</v>
      </c>
      <c r="K518" s="6" t="n">
        <v>27267200</v>
      </c>
      <c r="L518" s="6" t="n">
        <v>53</v>
      </c>
      <c r="M518" s="6" t="n">
        <v>33</v>
      </c>
      <c r="N518" s="6" t="n">
        <v>36580.8</v>
      </c>
    </row>
    <row r="519" customFormat="false" ht="15" hidden="false" customHeight="false" outlineLevel="0" collapsed="false">
      <c r="A519" s="6" t="s">
        <v>28</v>
      </c>
      <c r="B519" s="6" t="s">
        <v>24</v>
      </c>
      <c r="C519" s="6" t="s">
        <v>52</v>
      </c>
      <c r="D519" s="6" t="s">
        <v>112</v>
      </c>
      <c r="E519" s="6" t="s">
        <v>60</v>
      </c>
      <c r="F519" s="6" t="s">
        <v>58</v>
      </c>
      <c r="G519" s="6" t="n">
        <v>34</v>
      </c>
      <c r="H519" s="6" t="n">
        <v>3507000</v>
      </c>
      <c r="I519" s="6" t="n">
        <v>1607600</v>
      </c>
      <c r="J519" s="6" t="n">
        <v>21181000</v>
      </c>
      <c r="K519" s="6" t="n">
        <v>17674200</v>
      </c>
      <c r="L519" s="6" t="n">
        <v>34</v>
      </c>
      <c r="M519" s="6" t="n">
        <v>20</v>
      </c>
      <c r="N519" s="6" t="n">
        <v>17898.8</v>
      </c>
    </row>
    <row r="520" customFormat="false" ht="15" hidden="false" customHeight="false" outlineLevel="0" collapsed="false">
      <c r="A520" s="6" t="s">
        <v>28</v>
      </c>
      <c r="B520" s="6" t="s">
        <v>24</v>
      </c>
      <c r="C520" s="6" t="s">
        <v>52</v>
      </c>
      <c r="D520" s="6" t="s">
        <v>112</v>
      </c>
      <c r="E520" s="6" t="s">
        <v>60</v>
      </c>
      <c r="F520" s="6" t="s">
        <v>60</v>
      </c>
      <c r="G520" s="6" t="n">
        <v>36</v>
      </c>
      <c r="H520" s="6" t="n">
        <v>2678500</v>
      </c>
      <c r="I520" s="6" t="n">
        <v>1721800</v>
      </c>
      <c r="J520" s="6" t="n">
        <v>26384300</v>
      </c>
      <c r="K520" s="6" t="n">
        <v>23705700</v>
      </c>
      <c r="L520" s="6" t="n">
        <v>36</v>
      </c>
      <c r="M520" s="6" t="n">
        <v>32</v>
      </c>
      <c r="N520" s="6" t="n">
        <v>32895.6</v>
      </c>
    </row>
    <row r="521" customFormat="false" ht="15" hidden="false" customHeight="false" outlineLevel="0" collapsed="false">
      <c r="A521" s="6" t="s">
        <v>28</v>
      </c>
      <c r="B521" s="6" t="s">
        <v>24</v>
      </c>
      <c r="C521" s="6" t="s">
        <v>52</v>
      </c>
      <c r="D521" s="6" t="s">
        <v>113</v>
      </c>
      <c r="E521" s="6" t="s">
        <v>58</v>
      </c>
      <c r="F521" s="6" t="s">
        <v>58</v>
      </c>
      <c r="G521" s="6" t="n">
        <v>33</v>
      </c>
      <c r="H521" s="6" t="n">
        <v>3571900</v>
      </c>
      <c r="I521" s="6" t="n">
        <v>1262300</v>
      </c>
      <c r="J521" s="6" t="n">
        <v>16277000</v>
      </c>
      <c r="K521" s="6" t="n">
        <v>12705000</v>
      </c>
      <c r="L521" s="6" t="n">
        <v>33</v>
      </c>
      <c r="M521" s="6" t="n">
        <v>8</v>
      </c>
      <c r="N521" s="6" t="n">
        <v>12540.7</v>
      </c>
    </row>
    <row r="522" customFormat="false" ht="15" hidden="false" customHeight="false" outlineLevel="0" collapsed="false">
      <c r="A522" s="6" t="s">
        <v>28</v>
      </c>
      <c r="B522" s="6" t="s">
        <v>24</v>
      </c>
      <c r="C522" s="6" t="s">
        <v>52</v>
      </c>
      <c r="D522" s="6" t="s">
        <v>113</v>
      </c>
      <c r="E522" s="6" t="s">
        <v>58</v>
      </c>
      <c r="F522" s="6" t="s">
        <v>60</v>
      </c>
      <c r="G522" s="6" t="n">
        <v>65</v>
      </c>
      <c r="H522" s="6" t="n">
        <v>4750400</v>
      </c>
      <c r="I522" s="6" t="n">
        <v>2054400</v>
      </c>
      <c r="J522" s="6" t="n">
        <v>39459900</v>
      </c>
      <c r="K522" s="6" t="n">
        <v>34709300</v>
      </c>
      <c r="L522" s="6" t="n">
        <v>65</v>
      </c>
      <c r="M522" s="6" t="n">
        <v>39</v>
      </c>
      <c r="N522" s="6" t="n">
        <v>49670.2</v>
      </c>
    </row>
    <row r="523" customFormat="false" ht="15" hidden="false" customHeight="false" outlineLevel="0" collapsed="false">
      <c r="A523" s="6" t="s">
        <v>28</v>
      </c>
      <c r="B523" s="6" t="s">
        <v>24</v>
      </c>
      <c r="C523" s="6" t="s">
        <v>52</v>
      </c>
      <c r="D523" s="6" t="s">
        <v>113</v>
      </c>
      <c r="E523" s="6" t="s">
        <v>60</v>
      </c>
      <c r="F523" s="6" t="s">
        <v>58</v>
      </c>
      <c r="G523" s="6" t="n">
        <v>25</v>
      </c>
      <c r="H523" s="6" t="n">
        <v>2417600</v>
      </c>
      <c r="I523" s="6" t="n">
        <v>1060500</v>
      </c>
      <c r="J523" s="6" t="n">
        <v>14861000</v>
      </c>
      <c r="K523" s="6" t="n">
        <v>12443300</v>
      </c>
      <c r="L523" s="6" t="n">
        <v>25</v>
      </c>
      <c r="M523" s="6" t="n">
        <v>14</v>
      </c>
      <c r="N523" s="6" t="n">
        <v>13623.6</v>
      </c>
    </row>
    <row r="524" customFormat="false" ht="15" hidden="false" customHeight="false" outlineLevel="0" collapsed="false">
      <c r="A524" s="6" t="s">
        <v>28</v>
      </c>
      <c r="B524" s="6" t="s">
        <v>24</v>
      </c>
      <c r="C524" s="6" t="s">
        <v>52</v>
      </c>
      <c r="D524" s="6" t="s">
        <v>113</v>
      </c>
      <c r="E524" s="6" t="s">
        <v>60</v>
      </c>
      <c r="F524" s="6" t="s">
        <v>60</v>
      </c>
      <c r="G524" s="6" t="n">
        <v>52</v>
      </c>
      <c r="H524" s="6" t="n">
        <v>3827200</v>
      </c>
      <c r="I524" s="6" t="n">
        <v>1738500</v>
      </c>
      <c r="J524" s="6" t="n">
        <v>35684300</v>
      </c>
      <c r="K524" s="6" t="n">
        <v>31856600</v>
      </c>
      <c r="L524" s="6" t="n">
        <v>52</v>
      </c>
      <c r="M524" s="6" t="n">
        <v>40</v>
      </c>
      <c r="N524" s="6" t="n">
        <v>44471.7</v>
      </c>
    </row>
    <row r="525" customFormat="false" ht="15" hidden="false" customHeight="false" outlineLevel="0" collapsed="false">
      <c r="A525" s="6" t="s">
        <v>28</v>
      </c>
      <c r="B525" s="6" t="s">
        <v>24</v>
      </c>
      <c r="C525" s="6" t="s">
        <v>52</v>
      </c>
      <c r="D525" s="6" t="s">
        <v>114</v>
      </c>
      <c r="E525" s="6" t="s">
        <v>58</v>
      </c>
      <c r="F525" s="6" t="s">
        <v>58</v>
      </c>
      <c r="G525" s="6" t="n">
        <v>16</v>
      </c>
      <c r="H525" s="6" t="n">
        <v>1819000</v>
      </c>
      <c r="I525" s="6" t="n">
        <v>929700</v>
      </c>
      <c r="J525" s="6" t="n">
        <v>7984300</v>
      </c>
      <c r="K525" s="6" t="n">
        <v>6165100</v>
      </c>
      <c r="L525" s="6" t="n">
        <v>16</v>
      </c>
      <c r="M525" s="6" t="n">
        <v>8</v>
      </c>
      <c r="N525" s="6" t="n">
        <v>5534</v>
      </c>
    </row>
    <row r="526" customFormat="false" ht="15" hidden="false" customHeight="false" outlineLevel="0" collapsed="false">
      <c r="A526" s="6" t="s">
        <v>28</v>
      </c>
      <c r="B526" s="6" t="s">
        <v>24</v>
      </c>
      <c r="C526" s="6" t="s">
        <v>52</v>
      </c>
      <c r="D526" s="6" t="s">
        <v>114</v>
      </c>
      <c r="E526" s="6" t="s">
        <v>58</v>
      </c>
      <c r="F526" s="6" t="s">
        <v>60</v>
      </c>
      <c r="G526" s="6" t="n">
        <v>43</v>
      </c>
      <c r="H526" s="6" t="n">
        <v>3322100</v>
      </c>
      <c r="I526" s="6" t="n">
        <v>1109800</v>
      </c>
      <c r="J526" s="6" t="n">
        <v>25106300</v>
      </c>
      <c r="K526" s="6" t="n">
        <v>21784200</v>
      </c>
      <c r="L526" s="6" t="n">
        <v>43</v>
      </c>
      <c r="M526" s="6" t="n">
        <v>21</v>
      </c>
      <c r="N526" s="6" t="n">
        <v>29626.9</v>
      </c>
    </row>
    <row r="527" customFormat="false" ht="15" hidden="false" customHeight="false" outlineLevel="0" collapsed="false">
      <c r="A527" s="6" t="s">
        <v>28</v>
      </c>
      <c r="B527" s="6" t="s">
        <v>24</v>
      </c>
      <c r="C527" s="6" t="s">
        <v>52</v>
      </c>
      <c r="D527" s="6" t="s">
        <v>114</v>
      </c>
      <c r="E527" s="6" t="s">
        <v>60</v>
      </c>
      <c r="F527" s="6" t="s">
        <v>58</v>
      </c>
      <c r="G527" s="6" t="n">
        <v>11</v>
      </c>
      <c r="H527" s="6" t="n">
        <v>1093900</v>
      </c>
      <c r="I527" s="6" t="n">
        <v>330700</v>
      </c>
      <c r="J527" s="6" t="n">
        <v>7515300</v>
      </c>
      <c r="K527" s="6" t="n">
        <v>6421500</v>
      </c>
      <c r="L527" s="6" t="n">
        <v>11</v>
      </c>
      <c r="M527" s="6" t="n">
        <v>7</v>
      </c>
      <c r="N527" s="6" t="n">
        <v>7158.6</v>
      </c>
    </row>
    <row r="528" customFormat="false" ht="15" hidden="false" customHeight="false" outlineLevel="0" collapsed="false">
      <c r="A528" s="6" t="s">
        <v>28</v>
      </c>
      <c r="B528" s="6" t="s">
        <v>24</v>
      </c>
      <c r="C528" s="6" t="s">
        <v>52</v>
      </c>
      <c r="D528" s="6" t="s">
        <v>114</v>
      </c>
      <c r="E528" s="6" t="s">
        <v>60</v>
      </c>
      <c r="F528" s="6" t="s">
        <v>60</v>
      </c>
      <c r="G528" s="6" t="n">
        <v>41</v>
      </c>
      <c r="H528" s="6" t="n">
        <v>3087900</v>
      </c>
      <c r="I528" s="6" t="n">
        <v>1365300</v>
      </c>
      <c r="J528" s="6" t="n">
        <v>28821200</v>
      </c>
      <c r="K528" s="6" t="n">
        <v>25732700</v>
      </c>
      <c r="L528" s="6" t="n">
        <v>41</v>
      </c>
      <c r="M528" s="6" t="n">
        <v>28</v>
      </c>
      <c r="N528" s="6" t="n">
        <v>35566.3</v>
      </c>
    </row>
    <row r="529" customFormat="false" ht="15" hidden="false" customHeight="false" outlineLevel="0" collapsed="false">
      <c r="A529" s="6" t="s">
        <v>28</v>
      </c>
      <c r="B529" s="6" t="s">
        <v>24</v>
      </c>
      <c r="C529" s="6" t="s">
        <v>53</v>
      </c>
      <c r="D529" s="6" t="s">
        <v>111</v>
      </c>
      <c r="E529" s="6" t="s">
        <v>58</v>
      </c>
      <c r="F529" s="6" t="s">
        <v>58</v>
      </c>
      <c r="G529" s="6" t="n">
        <v>15</v>
      </c>
      <c r="H529" s="6" t="n">
        <v>1197500</v>
      </c>
      <c r="I529" s="6" t="n">
        <v>558100</v>
      </c>
      <c r="J529" s="6" t="n">
        <v>6009400</v>
      </c>
      <c r="K529" s="6" t="n">
        <v>4812000</v>
      </c>
      <c r="L529" s="6" t="n">
        <v>15</v>
      </c>
      <c r="M529" s="6" t="n">
        <v>3</v>
      </c>
      <c r="N529" s="6" t="n">
        <v>6224.1</v>
      </c>
    </row>
    <row r="530" customFormat="false" ht="15" hidden="false" customHeight="false" outlineLevel="0" collapsed="false">
      <c r="A530" s="6" t="s">
        <v>28</v>
      </c>
      <c r="B530" s="6" t="s">
        <v>24</v>
      </c>
      <c r="C530" s="6" t="s">
        <v>53</v>
      </c>
      <c r="D530" s="6" t="s">
        <v>111</v>
      </c>
      <c r="E530" s="6" t="s">
        <v>58</v>
      </c>
      <c r="F530" s="6" t="s">
        <v>60</v>
      </c>
      <c r="G530" s="6" t="n">
        <v>39</v>
      </c>
      <c r="H530" s="6" t="n">
        <v>2388300</v>
      </c>
      <c r="I530" s="6" t="n">
        <v>1038700</v>
      </c>
      <c r="J530" s="6" t="n">
        <v>22348500</v>
      </c>
      <c r="K530" s="6" t="n">
        <v>19960100</v>
      </c>
      <c r="L530" s="6" t="n">
        <v>39</v>
      </c>
      <c r="M530" s="6" t="n">
        <v>21</v>
      </c>
      <c r="N530" s="6" t="n">
        <v>33709.5</v>
      </c>
    </row>
    <row r="531" customFormat="false" ht="15" hidden="false" customHeight="false" outlineLevel="0" collapsed="false">
      <c r="A531" s="6" t="s">
        <v>28</v>
      </c>
      <c r="B531" s="6" t="s">
        <v>24</v>
      </c>
      <c r="C531" s="6" t="s">
        <v>53</v>
      </c>
      <c r="D531" s="6" t="s">
        <v>111</v>
      </c>
      <c r="E531" s="6" t="s">
        <v>60</v>
      </c>
      <c r="F531" s="6" t="s">
        <v>58</v>
      </c>
      <c r="G531" s="6" t="n">
        <v>15</v>
      </c>
      <c r="H531" s="6" t="n">
        <v>1320000</v>
      </c>
      <c r="I531" s="6" t="n">
        <v>400600</v>
      </c>
      <c r="J531" s="6" t="n">
        <v>8406000</v>
      </c>
      <c r="K531" s="6" t="n">
        <v>7085900</v>
      </c>
      <c r="L531" s="6" t="n">
        <v>15</v>
      </c>
      <c r="M531" s="6" t="n">
        <v>8</v>
      </c>
      <c r="N531" s="6" t="n">
        <v>8331.9</v>
      </c>
    </row>
    <row r="532" customFormat="false" ht="15" hidden="false" customHeight="false" outlineLevel="0" collapsed="false">
      <c r="A532" s="6" t="s">
        <v>28</v>
      </c>
      <c r="B532" s="6" t="s">
        <v>24</v>
      </c>
      <c r="C532" s="6" t="s">
        <v>53</v>
      </c>
      <c r="D532" s="6" t="s">
        <v>111</v>
      </c>
      <c r="E532" s="6" t="s">
        <v>60</v>
      </c>
      <c r="F532" s="6" t="s">
        <v>60</v>
      </c>
      <c r="G532" s="6" t="n">
        <v>50</v>
      </c>
      <c r="H532" s="6" t="n">
        <v>2962900</v>
      </c>
      <c r="I532" s="6" t="n">
        <v>1224000</v>
      </c>
      <c r="J532" s="6" t="n">
        <v>29489700</v>
      </c>
      <c r="K532" s="6" t="n">
        <v>26527400</v>
      </c>
      <c r="L532" s="6" t="n">
        <v>50</v>
      </c>
      <c r="M532" s="6" t="n">
        <v>34</v>
      </c>
      <c r="N532" s="6" t="n">
        <v>46491.8</v>
      </c>
    </row>
    <row r="533" customFormat="false" ht="15" hidden="false" customHeight="false" outlineLevel="0" collapsed="false">
      <c r="A533" s="6" t="s">
        <v>28</v>
      </c>
      <c r="B533" s="6" t="s">
        <v>24</v>
      </c>
      <c r="C533" s="6" t="s">
        <v>53</v>
      </c>
      <c r="D533" s="6" t="s">
        <v>112</v>
      </c>
      <c r="E533" s="6" t="s">
        <v>58</v>
      </c>
      <c r="F533" s="6" t="s">
        <v>58</v>
      </c>
      <c r="G533" s="6" t="n">
        <v>21</v>
      </c>
      <c r="H533" s="6" t="n">
        <v>1755200</v>
      </c>
      <c r="I533" s="6" t="n">
        <v>459500</v>
      </c>
      <c r="J533" s="6" t="n">
        <v>9407800</v>
      </c>
      <c r="K533" s="6" t="n">
        <v>7652500</v>
      </c>
      <c r="L533" s="6" t="n">
        <v>21</v>
      </c>
      <c r="M533" s="6" t="n">
        <v>6</v>
      </c>
      <c r="N533" s="6" t="n">
        <v>9615.1</v>
      </c>
    </row>
    <row r="534" customFormat="false" ht="15" hidden="false" customHeight="false" outlineLevel="0" collapsed="false">
      <c r="A534" s="6" t="s">
        <v>28</v>
      </c>
      <c r="B534" s="6" t="s">
        <v>24</v>
      </c>
      <c r="C534" s="6" t="s">
        <v>53</v>
      </c>
      <c r="D534" s="6" t="s">
        <v>112</v>
      </c>
      <c r="E534" s="6" t="s">
        <v>58</v>
      </c>
      <c r="F534" s="6" t="s">
        <v>60</v>
      </c>
      <c r="G534" s="6" t="n">
        <v>35</v>
      </c>
      <c r="H534" s="6" t="n">
        <v>2023500</v>
      </c>
      <c r="I534" s="6" t="n">
        <v>954700</v>
      </c>
      <c r="J534" s="6" t="n">
        <v>17007300</v>
      </c>
      <c r="K534" s="6" t="n">
        <v>14983900</v>
      </c>
      <c r="L534" s="6" t="n">
        <v>35</v>
      </c>
      <c r="M534" s="6" t="n">
        <v>14</v>
      </c>
      <c r="N534" s="6" t="n">
        <v>26687.3</v>
      </c>
    </row>
    <row r="535" customFormat="false" ht="15" hidden="false" customHeight="false" outlineLevel="0" collapsed="false">
      <c r="A535" s="6" t="s">
        <v>28</v>
      </c>
      <c r="B535" s="6" t="s">
        <v>24</v>
      </c>
      <c r="C535" s="6" t="s">
        <v>53</v>
      </c>
      <c r="D535" s="6" t="s">
        <v>112</v>
      </c>
      <c r="E535" s="6" t="s">
        <v>60</v>
      </c>
      <c r="F535" s="6" t="s">
        <v>58</v>
      </c>
      <c r="G535" s="6" t="n">
        <v>18</v>
      </c>
      <c r="H535" s="6" t="n">
        <v>1528200</v>
      </c>
      <c r="I535" s="6" t="n">
        <v>766800</v>
      </c>
      <c r="J535" s="6" t="n">
        <v>9176200</v>
      </c>
      <c r="K535" s="6" t="n">
        <v>7648100</v>
      </c>
      <c r="L535" s="6" t="n">
        <v>18</v>
      </c>
      <c r="M535" s="6" t="n">
        <v>7</v>
      </c>
      <c r="N535" s="6" t="n">
        <v>9286.5</v>
      </c>
    </row>
    <row r="536" customFormat="false" ht="15" hidden="false" customHeight="false" outlineLevel="0" collapsed="false">
      <c r="A536" s="6" t="s">
        <v>28</v>
      </c>
      <c r="B536" s="6" t="s">
        <v>24</v>
      </c>
      <c r="C536" s="6" t="s">
        <v>53</v>
      </c>
      <c r="D536" s="6" t="s">
        <v>112</v>
      </c>
      <c r="E536" s="6" t="s">
        <v>60</v>
      </c>
      <c r="F536" s="6" t="s">
        <v>60</v>
      </c>
      <c r="G536" s="6" t="n">
        <v>40</v>
      </c>
      <c r="H536" s="6" t="n">
        <v>2252000</v>
      </c>
      <c r="I536" s="6" t="n">
        <v>1246800</v>
      </c>
      <c r="J536" s="6" t="n">
        <v>23419200</v>
      </c>
      <c r="K536" s="6" t="n">
        <v>21167100</v>
      </c>
      <c r="L536" s="6" t="n">
        <v>40</v>
      </c>
      <c r="M536" s="6" t="n">
        <v>28</v>
      </c>
      <c r="N536" s="6" t="n">
        <v>39809.2</v>
      </c>
    </row>
    <row r="537" customFormat="false" ht="15" hidden="false" customHeight="false" outlineLevel="0" collapsed="false">
      <c r="A537" s="6" t="s">
        <v>28</v>
      </c>
      <c r="B537" s="6" t="s">
        <v>24</v>
      </c>
      <c r="C537" s="6" t="s">
        <v>53</v>
      </c>
      <c r="D537" s="6" t="s">
        <v>113</v>
      </c>
      <c r="E537" s="6" t="s">
        <v>58</v>
      </c>
      <c r="F537" s="6" t="s">
        <v>58</v>
      </c>
      <c r="G537" s="6" t="n">
        <v>24</v>
      </c>
      <c r="H537" s="6" t="n">
        <v>1990500</v>
      </c>
      <c r="I537" s="6" t="n">
        <v>1142500</v>
      </c>
      <c r="J537" s="6" t="n">
        <v>12616100</v>
      </c>
      <c r="K537" s="6" t="n">
        <v>10625200</v>
      </c>
      <c r="L537" s="6" t="n">
        <v>24</v>
      </c>
      <c r="M537" s="6" t="n">
        <v>12</v>
      </c>
      <c r="N537" s="6" t="n">
        <v>13879.7</v>
      </c>
    </row>
    <row r="538" customFormat="false" ht="15" hidden="false" customHeight="false" outlineLevel="0" collapsed="false">
      <c r="A538" s="6" t="s">
        <v>28</v>
      </c>
      <c r="B538" s="6" t="s">
        <v>24</v>
      </c>
      <c r="C538" s="6" t="s">
        <v>53</v>
      </c>
      <c r="D538" s="6" t="s">
        <v>113</v>
      </c>
      <c r="E538" s="6" t="s">
        <v>58</v>
      </c>
      <c r="F538" s="6" t="s">
        <v>60</v>
      </c>
      <c r="G538" s="6" t="n">
        <v>35</v>
      </c>
      <c r="H538" s="6" t="n">
        <v>2020300</v>
      </c>
      <c r="I538" s="6" t="n">
        <v>967500</v>
      </c>
      <c r="J538" s="6" t="n">
        <v>18031500</v>
      </c>
      <c r="K538" s="6" t="n">
        <v>16011100</v>
      </c>
      <c r="L538" s="6" t="n">
        <v>35</v>
      </c>
      <c r="M538" s="6" t="n">
        <v>19</v>
      </c>
      <c r="N538" s="6" t="n">
        <v>29216.9</v>
      </c>
    </row>
    <row r="539" customFormat="false" ht="15" hidden="false" customHeight="false" outlineLevel="0" collapsed="false">
      <c r="A539" s="6" t="s">
        <v>28</v>
      </c>
      <c r="B539" s="6" t="s">
        <v>24</v>
      </c>
      <c r="C539" s="6" t="s">
        <v>53</v>
      </c>
      <c r="D539" s="6" t="s">
        <v>113</v>
      </c>
      <c r="E539" s="6" t="s">
        <v>60</v>
      </c>
      <c r="F539" s="6" t="s">
        <v>58</v>
      </c>
      <c r="G539" s="6" t="n">
        <v>24</v>
      </c>
      <c r="H539" s="6" t="n">
        <v>1986000</v>
      </c>
      <c r="I539" s="6" t="n">
        <v>781700</v>
      </c>
      <c r="J539" s="6" t="n">
        <v>11633700</v>
      </c>
      <c r="K539" s="6" t="n">
        <v>9647500</v>
      </c>
      <c r="L539" s="6" t="n">
        <v>24</v>
      </c>
      <c r="M539" s="6" t="n">
        <v>11</v>
      </c>
      <c r="N539" s="6" t="n">
        <v>12171.8</v>
      </c>
    </row>
    <row r="540" customFormat="false" ht="15" hidden="false" customHeight="false" outlineLevel="0" collapsed="false">
      <c r="A540" s="6" t="s">
        <v>28</v>
      </c>
      <c r="B540" s="6" t="s">
        <v>24</v>
      </c>
      <c r="C540" s="6" t="s">
        <v>53</v>
      </c>
      <c r="D540" s="6" t="s">
        <v>113</v>
      </c>
      <c r="E540" s="6" t="s">
        <v>60</v>
      </c>
      <c r="F540" s="6" t="s">
        <v>60</v>
      </c>
      <c r="G540" s="6" t="n">
        <v>58</v>
      </c>
      <c r="H540" s="6" t="n">
        <v>3421500</v>
      </c>
      <c r="I540" s="6" t="n">
        <v>1059400</v>
      </c>
      <c r="J540" s="6" t="n">
        <v>34181400</v>
      </c>
      <c r="K540" s="6" t="n">
        <v>30759500</v>
      </c>
      <c r="L540" s="6" t="n">
        <v>58</v>
      </c>
      <c r="M540" s="6" t="n">
        <v>31</v>
      </c>
      <c r="N540" s="6" t="n">
        <v>53651.9</v>
      </c>
    </row>
    <row r="541" customFormat="false" ht="15" hidden="false" customHeight="false" outlineLevel="0" collapsed="false">
      <c r="A541" s="6" t="s">
        <v>28</v>
      </c>
      <c r="B541" s="6" t="s">
        <v>24</v>
      </c>
      <c r="C541" s="6" t="s">
        <v>53</v>
      </c>
      <c r="D541" s="6" t="s">
        <v>114</v>
      </c>
      <c r="E541" s="6" t="s">
        <v>58</v>
      </c>
      <c r="F541" s="6" t="s">
        <v>58</v>
      </c>
      <c r="G541" s="6" t="n">
        <v>14</v>
      </c>
      <c r="H541" s="6" t="n">
        <v>1238500</v>
      </c>
      <c r="I541" s="6" t="n">
        <v>535600</v>
      </c>
      <c r="J541" s="6" t="n">
        <v>6483800</v>
      </c>
      <c r="K541" s="6" t="n">
        <v>5245400</v>
      </c>
      <c r="L541" s="6" t="n">
        <v>14</v>
      </c>
      <c r="M541" s="6" t="n">
        <v>4</v>
      </c>
      <c r="N541" s="6" t="n">
        <v>6163.5</v>
      </c>
    </row>
    <row r="542" customFormat="false" ht="15" hidden="false" customHeight="false" outlineLevel="0" collapsed="false">
      <c r="A542" s="6" t="s">
        <v>28</v>
      </c>
      <c r="B542" s="6" t="s">
        <v>24</v>
      </c>
      <c r="C542" s="6" t="s">
        <v>53</v>
      </c>
      <c r="D542" s="6" t="s">
        <v>114</v>
      </c>
      <c r="E542" s="6" t="s">
        <v>58</v>
      </c>
      <c r="F542" s="6" t="s">
        <v>60</v>
      </c>
      <c r="G542" s="6" t="n">
        <v>27</v>
      </c>
      <c r="H542" s="6" t="n">
        <v>1693200</v>
      </c>
      <c r="I542" s="6" t="n">
        <v>677300</v>
      </c>
      <c r="J542" s="6" t="n">
        <v>14166400</v>
      </c>
      <c r="K542" s="6" t="n">
        <v>12472900</v>
      </c>
      <c r="L542" s="6" t="n">
        <v>27</v>
      </c>
      <c r="M542" s="6" t="n">
        <v>16</v>
      </c>
      <c r="N542" s="6" t="n">
        <v>20093.5</v>
      </c>
    </row>
    <row r="543" customFormat="false" ht="15" hidden="false" customHeight="false" outlineLevel="0" collapsed="false">
      <c r="A543" s="6" t="s">
        <v>28</v>
      </c>
      <c r="B543" s="6" t="s">
        <v>24</v>
      </c>
      <c r="C543" s="6" t="s">
        <v>53</v>
      </c>
      <c r="D543" s="6" t="s">
        <v>114</v>
      </c>
      <c r="E543" s="6" t="s">
        <v>60</v>
      </c>
      <c r="F543" s="6" t="s">
        <v>58</v>
      </c>
      <c r="G543" s="6" t="n">
        <v>18</v>
      </c>
      <c r="H543" s="6" t="n">
        <v>1516100</v>
      </c>
      <c r="I543" s="6" t="n">
        <v>737300</v>
      </c>
      <c r="J543" s="6" t="n">
        <v>9374700</v>
      </c>
      <c r="K543" s="6" t="n">
        <v>7858800</v>
      </c>
      <c r="L543" s="6" t="n">
        <v>18</v>
      </c>
      <c r="M543" s="6" t="n">
        <v>7</v>
      </c>
      <c r="N543" s="6" t="n">
        <v>9938.3</v>
      </c>
    </row>
    <row r="544" customFormat="false" ht="15" hidden="false" customHeight="false" outlineLevel="0" collapsed="false">
      <c r="A544" s="6" t="s">
        <v>28</v>
      </c>
      <c r="B544" s="6" t="s">
        <v>24</v>
      </c>
      <c r="C544" s="6" t="s">
        <v>53</v>
      </c>
      <c r="D544" s="6" t="s">
        <v>114</v>
      </c>
      <c r="E544" s="6" t="s">
        <v>60</v>
      </c>
      <c r="F544" s="6" t="s">
        <v>60</v>
      </c>
      <c r="G544" s="6" t="n">
        <v>47</v>
      </c>
      <c r="H544" s="6" t="n">
        <v>2586700</v>
      </c>
      <c r="I544" s="6" t="n">
        <v>1146300</v>
      </c>
      <c r="J544" s="6" t="n">
        <v>24631100</v>
      </c>
      <c r="K544" s="6" t="n">
        <v>22045500</v>
      </c>
      <c r="L544" s="6" t="n">
        <v>47</v>
      </c>
      <c r="M544" s="6" t="n">
        <v>25</v>
      </c>
      <c r="N544" s="6" t="n">
        <v>41502.8</v>
      </c>
    </row>
    <row r="545" customFormat="false" ht="15" hidden="false" customHeight="false" outlineLevel="0" collapsed="false">
      <c r="A545" s="6" t="s">
        <v>28</v>
      </c>
      <c r="B545" s="6" t="s">
        <v>24</v>
      </c>
      <c r="C545" s="6" t="s">
        <v>51</v>
      </c>
      <c r="D545" s="6" t="s">
        <v>111</v>
      </c>
      <c r="E545" s="6" t="s">
        <v>58</v>
      </c>
      <c r="F545" s="6" t="s">
        <v>58</v>
      </c>
      <c r="G545" s="6" t="n">
        <v>7</v>
      </c>
      <c r="H545" s="6" t="n">
        <v>827400</v>
      </c>
      <c r="I545" s="6" t="n">
        <v>352900</v>
      </c>
      <c r="J545" s="6" t="n">
        <v>5009100</v>
      </c>
      <c r="K545" s="6" t="n">
        <v>4181700</v>
      </c>
      <c r="L545" s="6" t="n">
        <v>7</v>
      </c>
      <c r="M545" s="6" t="n">
        <v>4</v>
      </c>
      <c r="N545" s="6" t="n">
        <v>3740.1</v>
      </c>
    </row>
    <row r="546" customFormat="false" ht="15" hidden="false" customHeight="false" outlineLevel="0" collapsed="false">
      <c r="A546" s="6" t="s">
        <v>28</v>
      </c>
      <c r="B546" s="6" t="s">
        <v>24</v>
      </c>
      <c r="C546" s="6" t="s">
        <v>51</v>
      </c>
      <c r="D546" s="6" t="s">
        <v>111</v>
      </c>
      <c r="E546" s="6" t="s">
        <v>58</v>
      </c>
      <c r="F546" s="6" t="s">
        <v>60</v>
      </c>
      <c r="G546" s="6" t="n">
        <v>25</v>
      </c>
      <c r="H546" s="6" t="n">
        <v>2130600</v>
      </c>
      <c r="I546" s="6" t="n">
        <v>724400</v>
      </c>
      <c r="J546" s="6" t="n">
        <v>19226400</v>
      </c>
      <c r="K546" s="6" t="n">
        <v>17095700</v>
      </c>
      <c r="L546" s="6" t="n">
        <v>25</v>
      </c>
      <c r="M546" s="6" t="n">
        <v>18</v>
      </c>
      <c r="N546" s="6" t="n">
        <v>19994.1</v>
      </c>
    </row>
    <row r="547" customFormat="false" ht="15" hidden="false" customHeight="false" outlineLevel="0" collapsed="false">
      <c r="A547" s="6" t="s">
        <v>28</v>
      </c>
      <c r="B547" s="6" t="s">
        <v>24</v>
      </c>
      <c r="C547" s="6" t="s">
        <v>51</v>
      </c>
      <c r="D547" s="6" t="s">
        <v>111</v>
      </c>
      <c r="E547" s="6" t="s">
        <v>60</v>
      </c>
      <c r="F547" s="6" t="s">
        <v>58</v>
      </c>
      <c r="G547" s="6" t="n">
        <v>15</v>
      </c>
      <c r="H547" s="6" t="n">
        <v>1839200</v>
      </c>
      <c r="I547" s="6" t="n">
        <v>388000</v>
      </c>
      <c r="J547" s="6" t="n">
        <v>11848600</v>
      </c>
      <c r="K547" s="6" t="n">
        <v>10009400</v>
      </c>
      <c r="L547" s="6" t="n">
        <v>15</v>
      </c>
      <c r="M547" s="6" t="n">
        <v>10</v>
      </c>
      <c r="N547" s="6" t="n">
        <v>8083.5</v>
      </c>
    </row>
    <row r="548" customFormat="false" ht="15" hidden="false" customHeight="false" outlineLevel="0" collapsed="false">
      <c r="A548" s="6" t="s">
        <v>28</v>
      </c>
      <c r="B548" s="6" t="s">
        <v>24</v>
      </c>
      <c r="C548" s="6" t="s">
        <v>51</v>
      </c>
      <c r="D548" s="6" t="s">
        <v>111</v>
      </c>
      <c r="E548" s="6" t="s">
        <v>60</v>
      </c>
      <c r="F548" s="6" t="s">
        <v>60</v>
      </c>
      <c r="G548" s="6" t="n">
        <v>22</v>
      </c>
      <c r="H548" s="6" t="n">
        <v>1843000</v>
      </c>
      <c r="I548" s="6" t="n">
        <v>885800</v>
      </c>
      <c r="J548" s="6" t="n">
        <v>18184600</v>
      </c>
      <c r="K548" s="6" t="n">
        <v>16341500</v>
      </c>
      <c r="L548" s="6" t="n">
        <v>22</v>
      </c>
      <c r="M548" s="6" t="n">
        <v>18</v>
      </c>
      <c r="N548" s="6" t="n">
        <v>20587.8</v>
      </c>
    </row>
    <row r="549" customFormat="false" ht="15" hidden="false" customHeight="false" outlineLevel="0" collapsed="false">
      <c r="A549" s="6" t="s">
        <v>28</v>
      </c>
      <c r="B549" s="6" t="s">
        <v>24</v>
      </c>
      <c r="C549" s="6" t="s">
        <v>51</v>
      </c>
      <c r="D549" s="6" t="s">
        <v>112</v>
      </c>
      <c r="E549" s="6" t="s">
        <v>58</v>
      </c>
      <c r="F549" s="6" t="s">
        <v>58</v>
      </c>
      <c r="G549" s="6" t="n">
        <v>10</v>
      </c>
      <c r="H549" s="6" t="n">
        <v>1205100</v>
      </c>
      <c r="I549" s="6" t="n">
        <v>606400</v>
      </c>
      <c r="J549" s="6" t="n">
        <v>7117900</v>
      </c>
      <c r="K549" s="6" t="n">
        <v>5912600</v>
      </c>
      <c r="L549" s="6" t="n">
        <v>10</v>
      </c>
      <c r="M549" s="6" t="n">
        <v>6</v>
      </c>
      <c r="N549" s="6" t="n">
        <v>5211.9</v>
      </c>
    </row>
    <row r="550" customFormat="false" ht="15" hidden="false" customHeight="false" outlineLevel="0" collapsed="false">
      <c r="A550" s="6" t="s">
        <v>28</v>
      </c>
      <c r="B550" s="6" t="s">
        <v>24</v>
      </c>
      <c r="C550" s="6" t="s">
        <v>51</v>
      </c>
      <c r="D550" s="6" t="s">
        <v>112</v>
      </c>
      <c r="E550" s="6" t="s">
        <v>58</v>
      </c>
      <c r="F550" s="6" t="s">
        <v>60</v>
      </c>
      <c r="G550" s="6" t="n">
        <v>18</v>
      </c>
      <c r="H550" s="6" t="n">
        <v>1390100</v>
      </c>
      <c r="I550" s="6" t="n">
        <v>626100</v>
      </c>
      <c r="J550" s="6" t="n">
        <v>13677500</v>
      </c>
      <c r="K550" s="6" t="n">
        <v>12287600</v>
      </c>
      <c r="L550" s="6" t="n">
        <v>18</v>
      </c>
      <c r="M550" s="6" t="n">
        <v>17</v>
      </c>
      <c r="N550" s="6" t="n">
        <v>15974.5</v>
      </c>
    </row>
    <row r="551" customFormat="false" ht="15" hidden="false" customHeight="false" outlineLevel="0" collapsed="false">
      <c r="A551" s="6" t="s">
        <v>28</v>
      </c>
      <c r="B551" s="6" t="s">
        <v>24</v>
      </c>
      <c r="C551" s="6" t="s">
        <v>51</v>
      </c>
      <c r="D551" s="6" t="s">
        <v>112</v>
      </c>
      <c r="E551" s="6" t="s">
        <v>60</v>
      </c>
      <c r="F551" s="6" t="s">
        <v>58</v>
      </c>
      <c r="G551" s="6" t="n">
        <v>21</v>
      </c>
      <c r="H551" s="6" t="n">
        <v>2418400</v>
      </c>
      <c r="I551" s="6" t="n">
        <v>1133900</v>
      </c>
      <c r="J551" s="6" t="n">
        <v>17984700</v>
      </c>
      <c r="K551" s="6" t="n">
        <v>15566200</v>
      </c>
      <c r="L551" s="6" t="n">
        <v>21</v>
      </c>
      <c r="M551" s="6" t="n">
        <v>20</v>
      </c>
      <c r="N551" s="6" t="n">
        <v>14885.7</v>
      </c>
    </row>
    <row r="552" customFormat="false" ht="15" hidden="false" customHeight="false" outlineLevel="0" collapsed="false">
      <c r="A552" s="6" t="s">
        <v>28</v>
      </c>
      <c r="B552" s="6" t="s">
        <v>24</v>
      </c>
      <c r="C552" s="6" t="s">
        <v>51</v>
      </c>
      <c r="D552" s="6" t="s">
        <v>112</v>
      </c>
      <c r="E552" s="6" t="s">
        <v>60</v>
      </c>
      <c r="F552" s="6" t="s">
        <v>60</v>
      </c>
      <c r="G552" s="6" t="n">
        <v>23</v>
      </c>
      <c r="H552" s="6" t="n">
        <v>1886100</v>
      </c>
      <c r="I552" s="6" t="n">
        <v>748700</v>
      </c>
      <c r="J552" s="6" t="n">
        <v>15648000</v>
      </c>
      <c r="K552" s="6" t="n">
        <v>13761900</v>
      </c>
      <c r="L552" s="6" t="n">
        <v>23</v>
      </c>
      <c r="M552" s="6" t="n">
        <v>15</v>
      </c>
      <c r="N552" s="6" t="n">
        <v>17015.9</v>
      </c>
    </row>
    <row r="553" customFormat="false" ht="15" hidden="false" customHeight="false" outlineLevel="0" collapsed="false">
      <c r="A553" s="6" t="s">
        <v>28</v>
      </c>
      <c r="B553" s="6" t="s">
        <v>24</v>
      </c>
      <c r="C553" s="6" t="s">
        <v>51</v>
      </c>
      <c r="D553" s="6" t="s">
        <v>113</v>
      </c>
      <c r="E553" s="6" t="s">
        <v>58</v>
      </c>
      <c r="F553" s="6" t="s">
        <v>58</v>
      </c>
      <c r="G553" s="6" t="n">
        <v>13</v>
      </c>
      <c r="H553" s="6" t="n">
        <v>1467000</v>
      </c>
      <c r="I553" s="6" t="n">
        <v>532100</v>
      </c>
      <c r="J553" s="6" t="n">
        <v>9091700</v>
      </c>
      <c r="K553" s="6" t="n">
        <v>7624700</v>
      </c>
      <c r="L553" s="6" t="n">
        <v>13</v>
      </c>
      <c r="M553" s="6" t="n">
        <v>8</v>
      </c>
      <c r="N553" s="6" t="n">
        <v>7723.3</v>
      </c>
    </row>
    <row r="554" customFormat="false" ht="15" hidden="false" customHeight="false" outlineLevel="0" collapsed="false">
      <c r="A554" s="6" t="s">
        <v>28</v>
      </c>
      <c r="B554" s="6" t="s">
        <v>24</v>
      </c>
      <c r="C554" s="6" t="s">
        <v>51</v>
      </c>
      <c r="D554" s="6" t="s">
        <v>113</v>
      </c>
      <c r="E554" s="6" t="s">
        <v>58</v>
      </c>
      <c r="F554" s="6" t="s">
        <v>60</v>
      </c>
      <c r="G554" s="6" t="n">
        <v>40</v>
      </c>
      <c r="H554" s="6" t="n">
        <v>3360100</v>
      </c>
      <c r="I554" s="6" t="n">
        <v>1281500</v>
      </c>
      <c r="J554" s="6" t="n">
        <v>25613300</v>
      </c>
      <c r="K554" s="6" t="n">
        <v>22253200</v>
      </c>
      <c r="L554" s="6" t="n">
        <v>40</v>
      </c>
      <c r="M554" s="6" t="n">
        <v>26</v>
      </c>
      <c r="N554" s="6" t="n">
        <v>27929.9</v>
      </c>
    </row>
    <row r="555" customFormat="false" ht="15" hidden="false" customHeight="false" outlineLevel="0" collapsed="false">
      <c r="A555" s="6" t="s">
        <v>28</v>
      </c>
      <c r="B555" s="6" t="s">
        <v>24</v>
      </c>
      <c r="C555" s="6" t="s">
        <v>51</v>
      </c>
      <c r="D555" s="6" t="s">
        <v>113</v>
      </c>
      <c r="E555" s="6" t="s">
        <v>60</v>
      </c>
      <c r="F555" s="6" t="s">
        <v>58</v>
      </c>
      <c r="G555" s="6" t="n">
        <v>18</v>
      </c>
      <c r="H555" s="6" t="n">
        <v>2101300</v>
      </c>
      <c r="I555" s="6" t="n">
        <v>707900</v>
      </c>
      <c r="J555" s="6" t="n">
        <v>14065000</v>
      </c>
      <c r="K555" s="6" t="n">
        <v>11963500</v>
      </c>
      <c r="L555" s="6" t="n">
        <v>18</v>
      </c>
      <c r="M555" s="6" t="n">
        <v>13</v>
      </c>
      <c r="N555" s="6" t="n">
        <v>10904.6</v>
      </c>
    </row>
    <row r="556" customFormat="false" ht="15" hidden="false" customHeight="false" outlineLevel="0" collapsed="false">
      <c r="A556" s="6" t="s">
        <v>28</v>
      </c>
      <c r="B556" s="6" t="s">
        <v>24</v>
      </c>
      <c r="C556" s="6" t="s">
        <v>51</v>
      </c>
      <c r="D556" s="6" t="s">
        <v>113</v>
      </c>
      <c r="E556" s="6" t="s">
        <v>60</v>
      </c>
      <c r="F556" s="6" t="s">
        <v>60</v>
      </c>
      <c r="G556" s="6" t="n">
        <v>40</v>
      </c>
      <c r="H556" s="6" t="n">
        <v>3320000</v>
      </c>
      <c r="I556" s="6" t="n">
        <v>1703500</v>
      </c>
      <c r="J556" s="6" t="n">
        <v>27496500</v>
      </c>
      <c r="K556" s="6" t="n">
        <v>24176700</v>
      </c>
      <c r="L556" s="6" t="n">
        <v>40</v>
      </c>
      <c r="M556" s="6" t="n">
        <v>29</v>
      </c>
      <c r="N556" s="6" t="n">
        <v>29694.9</v>
      </c>
    </row>
    <row r="557" customFormat="false" ht="15" hidden="false" customHeight="false" outlineLevel="0" collapsed="false">
      <c r="A557" s="6" t="s">
        <v>28</v>
      </c>
      <c r="B557" s="6" t="s">
        <v>24</v>
      </c>
      <c r="C557" s="6" t="s">
        <v>51</v>
      </c>
      <c r="D557" s="6" t="s">
        <v>114</v>
      </c>
      <c r="E557" s="6" t="s">
        <v>58</v>
      </c>
      <c r="F557" s="6" t="s">
        <v>58</v>
      </c>
      <c r="G557" s="6" t="n">
        <v>13</v>
      </c>
      <c r="H557" s="6" t="n">
        <v>1606600</v>
      </c>
      <c r="I557" s="6" t="n">
        <v>575300</v>
      </c>
      <c r="J557" s="6" t="n">
        <v>8872400</v>
      </c>
      <c r="K557" s="6" t="n">
        <v>7265900</v>
      </c>
      <c r="L557" s="6" t="n">
        <v>13</v>
      </c>
      <c r="M557" s="6" t="n">
        <v>7</v>
      </c>
      <c r="N557" s="6" t="n">
        <v>5996.7</v>
      </c>
    </row>
    <row r="558" customFormat="false" ht="15" hidden="false" customHeight="false" outlineLevel="0" collapsed="false">
      <c r="A558" s="6" t="s">
        <v>28</v>
      </c>
      <c r="B558" s="6" t="s">
        <v>24</v>
      </c>
      <c r="C558" s="6" t="s">
        <v>51</v>
      </c>
      <c r="D558" s="6" t="s">
        <v>114</v>
      </c>
      <c r="E558" s="6" t="s">
        <v>58</v>
      </c>
      <c r="F558" s="6" t="s">
        <v>60</v>
      </c>
      <c r="G558" s="6" t="n">
        <v>26</v>
      </c>
      <c r="H558" s="6" t="n">
        <v>2062400</v>
      </c>
      <c r="I558" s="6" t="n">
        <v>814400</v>
      </c>
      <c r="J558" s="6" t="n">
        <v>18989600</v>
      </c>
      <c r="K558" s="6" t="n">
        <v>16927700</v>
      </c>
      <c r="L558" s="6" t="n">
        <v>26</v>
      </c>
      <c r="M558" s="6" t="n">
        <v>18</v>
      </c>
      <c r="N558" s="6" t="n">
        <v>22340.1</v>
      </c>
    </row>
    <row r="559" customFormat="false" ht="15" hidden="false" customHeight="false" outlineLevel="0" collapsed="false">
      <c r="A559" s="6" t="s">
        <v>28</v>
      </c>
      <c r="B559" s="6" t="s">
        <v>24</v>
      </c>
      <c r="C559" s="6" t="s">
        <v>51</v>
      </c>
      <c r="D559" s="6" t="s">
        <v>114</v>
      </c>
      <c r="E559" s="6" t="s">
        <v>60</v>
      </c>
      <c r="F559" s="6" t="s">
        <v>58</v>
      </c>
      <c r="G559" s="6" t="n">
        <v>22</v>
      </c>
      <c r="H559" s="6" t="n">
        <v>2445300</v>
      </c>
      <c r="I559" s="6" t="n">
        <v>1025600</v>
      </c>
      <c r="J559" s="6" t="n">
        <v>16294400</v>
      </c>
      <c r="K559" s="6" t="n">
        <v>13849200</v>
      </c>
      <c r="L559" s="6" t="n">
        <v>22</v>
      </c>
      <c r="M559" s="6" t="n">
        <v>15</v>
      </c>
      <c r="N559" s="6" t="n">
        <v>13322.6</v>
      </c>
    </row>
    <row r="560" customFormat="false" ht="15" hidden="false" customHeight="false" outlineLevel="0" collapsed="false">
      <c r="A560" s="6" t="s">
        <v>28</v>
      </c>
      <c r="B560" s="6" t="s">
        <v>24</v>
      </c>
      <c r="C560" s="6" t="s">
        <v>51</v>
      </c>
      <c r="D560" s="6" t="s">
        <v>114</v>
      </c>
      <c r="E560" s="6" t="s">
        <v>60</v>
      </c>
      <c r="F560" s="6" t="s">
        <v>60</v>
      </c>
      <c r="G560" s="6" t="n">
        <v>38</v>
      </c>
      <c r="H560" s="6" t="n">
        <v>3164200</v>
      </c>
      <c r="I560" s="6" t="n">
        <v>1557200</v>
      </c>
      <c r="J560" s="6" t="n">
        <v>28537800</v>
      </c>
      <c r="K560" s="6" t="n">
        <v>25373800</v>
      </c>
      <c r="L560" s="6" t="n">
        <v>38</v>
      </c>
      <c r="M560" s="6" t="n">
        <v>31</v>
      </c>
      <c r="N560" s="6" t="n">
        <v>31122.6</v>
      </c>
    </row>
    <row r="561" customFormat="false" ht="15" hidden="false" customHeight="false" outlineLevel="0" collapsed="false">
      <c r="A561" s="6" t="s">
        <v>39</v>
      </c>
      <c r="B561" s="6" t="s">
        <v>38</v>
      </c>
      <c r="C561" s="6" t="s">
        <v>54</v>
      </c>
      <c r="D561" s="6" t="s">
        <v>111</v>
      </c>
      <c r="E561" s="6" t="s">
        <v>58</v>
      </c>
      <c r="F561" s="6" t="s">
        <v>58</v>
      </c>
      <c r="G561" s="6" t="n">
        <v>7</v>
      </c>
      <c r="H561" s="6" t="n">
        <v>1112500</v>
      </c>
      <c r="I561" s="6" t="n">
        <v>708000</v>
      </c>
      <c r="J561" s="6" t="n">
        <v>514600</v>
      </c>
      <c r="K561" s="6" t="n">
        <v>-598200</v>
      </c>
      <c r="L561" s="6" t="n">
        <v>0</v>
      </c>
      <c r="M561" s="6" t="n">
        <v>0</v>
      </c>
      <c r="N561" s="6" t="n">
        <v>-367.7</v>
      </c>
    </row>
    <row r="562" customFormat="false" ht="15" hidden="false" customHeight="false" outlineLevel="0" collapsed="false">
      <c r="A562" s="6" t="s">
        <v>39</v>
      </c>
      <c r="B562" s="6" t="s">
        <v>38</v>
      </c>
      <c r="C562" s="6" t="s">
        <v>54</v>
      </c>
      <c r="D562" s="6" t="s">
        <v>111</v>
      </c>
      <c r="E562" s="6" t="s">
        <v>58</v>
      </c>
      <c r="F562" s="6" t="s">
        <v>60</v>
      </c>
      <c r="G562" s="6" t="n">
        <v>15</v>
      </c>
      <c r="H562" s="6" t="n">
        <v>1569900</v>
      </c>
      <c r="I562" s="6" t="n">
        <v>667300</v>
      </c>
      <c r="J562" s="6" t="n">
        <v>1169800</v>
      </c>
      <c r="K562" s="6" t="n">
        <v>-400200</v>
      </c>
      <c r="L562" s="6" t="n">
        <v>4</v>
      </c>
      <c r="M562" s="6" t="n">
        <v>0</v>
      </c>
      <c r="N562" s="6" t="n">
        <v>-352.6</v>
      </c>
    </row>
    <row r="563" customFormat="false" ht="15" hidden="false" customHeight="false" outlineLevel="0" collapsed="false">
      <c r="A563" s="6" t="s">
        <v>39</v>
      </c>
      <c r="B563" s="6" t="s">
        <v>38</v>
      </c>
      <c r="C563" s="6" t="s">
        <v>54</v>
      </c>
      <c r="D563" s="6" t="s">
        <v>111</v>
      </c>
      <c r="E563" s="6" t="s">
        <v>60</v>
      </c>
      <c r="F563" s="6" t="s">
        <v>58</v>
      </c>
      <c r="G563" s="6" t="n">
        <v>2</v>
      </c>
      <c r="H563" s="6" t="n">
        <v>359900</v>
      </c>
      <c r="I563" s="6" t="n">
        <v>0</v>
      </c>
      <c r="J563" s="6" t="n">
        <v>160200</v>
      </c>
      <c r="K563" s="6" t="n">
        <v>-199700</v>
      </c>
      <c r="L563" s="6" t="n">
        <v>0</v>
      </c>
      <c r="M563" s="6" t="n">
        <v>0</v>
      </c>
      <c r="N563" s="6" t="n">
        <v>-109.6</v>
      </c>
    </row>
    <row r="564" customFormat="false" ht="15" hidden="false" customHeight="false" outlineLevel="0" collapsed="false">
      <c r="A564" s="6" t="s">
        <v>39</v>
      </c>
      <c r="B564" s="6" t="s">
        <v>38</v>
      </c>
      <c r="C564" s="6" t="s">
        <v>54</v>
      </c>
      <c r="D564" s="6" t="s">
        <v>111</v>
      </c>
      <c r="E564" s="6" t="s">
        <v>60</v>
      </c>
      <c r="F564" s="6" t="s">
        <v>60</v>
      </c>
      <c r="G564" s="6" t="n">
        <v>5</v>
      </c>
      <c r="H564" s="6" t="n">
        <v>533700</v>
      </c>
      <c r="I564" s="6" t="n">
        <v>108900</v>
      </c>
      <c r="J564" s="6" t="n">
        <v>382000</v>
      </c>
      <c r="K564" s="6" t="n">
        <v>-151700</v>
      </c>
      <c r="L564" s="6" t="n">
        <v>0</v>
      </c>
      <c r="M564" s="6" t="n">
        <v>0</v>
      </c>
      <c r="N564" s="6" t="n">
        <v>-143.5</v>
      </c>
    </row>
    <row r="565" customFormat="false" ht="15" hidden="false" customHeight="false" outlineLevel="0" collapsed="false">
      <c r="A565" s="6" t="s">
        <v>39</v>
      </c>
      <c r="B565" s="6" t="s">
        <v>38</v>
      </c>
      <c r="C565" s="6" t="s">
        <v>54</v>
      </c>
      <c r="D565" s="6" t="s">
        <v>112</v>
      </c>
      <c r="E565" s="6" t="s">
        <v>58</v>
      </c>
      <c r="F565" s="6" t="s">
        <v>58</v>
      </c>
      <c r="G565" s="6" t="n">
        <v>14</v>
      </c>
      <c r="H565" s="6" t="n">
        <v>1838500</v>
      </c>
      <c r="I565" s="6" t="n">
        <v>528100</v>
      </c>
      <c r="J565" s="6" t="n">
        <v>1049400</v>
      </c>
      <c r="K565" s="6" t="n">
        <v>-788900</v>
      </c>
      <c r="L565" s="6" t="n">
        <v>1</v>
      </c>
      <c r="M565" s="6" t="n">
        <v>0</v>
      </c>
      <c r="N565" s="6" t="n">
        <v>-583.3</v>
      </c>
    </row>
    <row r="566" customFormat="false" ht="15" hidden="false" customHeight="false" outlineLevel="0" collapsed="false">
      <c r="A566" s="6" t="s">
        <v>39</v>
      </c>
      <c r="B566" s="6" t="s">
        <v>38</v>
      </c>
      <c r="C566" s="6" t="s">
        <v>54</v>
      </c>
      <c r="D566" s="6" t="s">
        <v>112</v>
      </c>
      <c r="E566" s="6" t="s">
        <v>58</v>
      </c>
      <c r="F566" s="6" t="s">
        <v>60</v>
      </c>
      <c r="G566" s="6" t="n">
        <v>13</v>
      </c>
      <c r="H566" s="6" t="n">
        <v>1244300</v>
      </c>
      <c r="I566" s="6" t="n">
        <v>536000</v>
      </c>
      <c r="J566" s="6" t="n">
        <v>1031300</v>
      </c>
      <c r="K566" s="6" t="n">
        <v>-212500</v>
      </c>
      <c r="L566" s="6" t="n">
        <v>3</v>
      </c>
      <c r="M566" s="6" t="n">
        <v>0</v>
      </c>
      <c r="N566" s="6" t="n">
        <v>-200.1</v>
      </c>
    </row>
    <row r="567" customFormat="false" ht="15" hidden="false" customHeight="false" outlineLevel="0" collapsed="false">
      <c r="A567" s="6" t="s">
        <v>39</v>
      </c>
      <c r="B567" s="6" t="s">
        <v>38</v>
      </c>
      <c r="C567" s="6" t="s">
        <v>54</v>
      </c>
      <c r="D567" s="6" t="s">
        <v>112</v>
      </c>
      <c r="E567" s="6" t="s">
        <v>60</v>
      </c>
      <c r="F567" s="6" t="s">
        <v>58</v>
      </c>
      <c r="G567" s="6" t="n">
        <v>2</v>
      </c>
      <c r="H567" s="6" t="n">
        <v>329100</v>
      </c>
      <c r="I567" s="6" t="n">
        <v>112300</v>
      </c>
      <c r="J567" s="6" t="n">
        <v>205100</v>
      </c>
      <c r="K567" s="6" t="n">
        <v>-124000</v>
      </c>
      <c r="L567" s="6" t="n">
        <v>0</v>
      </c>
      <c r="M567" s="6" t="n">
        <v>0</v>
      </c>
      <c r="N567" s="6" t="n">
        <v>-75.8</v>
      </c>
    </row>
    <row r="568" customFormat="false" ht="15" hidden="false" customHeight="false" outlineLevel="0" collapsed="false">
      <c r="A568" s="6" t="s">
        <v>39</v>
      </c>
      <c r="B568" s="6" t="s">
        <v>38</v>
      </c>
      <c r="C568" s="6" t="s">
        <v>54</v>
      </c>
      <c r="D568" s="6" t="s">
        <v>112</v>
      </c>
      <c r="E568" s="6" t="s">
        <v>60</v>
      </c>
      <c r="F568" s="6" t="s">
        <v>60</v>
      </c>
      <c r="G568" s="6" t="n">
        <v>6</v>
      </c>
      <c r="H568" s="6" t="n">
        <v>690500</v>
      </c>
      <c r="I568" s="6" t="n">
        <v>140600</v>
      </c>
      <c r="J568" s="6" t="n">
        <v>444400</v>
      </c>
      <c r="K568" s="6" t="n">
        <v>-246300</v>
      </c>
      <c r="L568" s="6" t="n">
        <v>0</v>
      </c>
      <c r="M568" s="6" t="n">
        <v>0</v>
      </c>
      <c r="N568" s="6" t="n">
        <v>-203</v>
      </c>
    </row>
    <row r="569" customFormat="false" ht="15" hidden="false" customHeight="false" outlineLevel="0" collapsed="false">
      <c r="A569" s="6" t="s">
        <v>39</v>
      </c>
      <c r="B569" s="6" t="s">
        <v>38</v>
      </c>
      <c r="C569" s="6" t="s">
        <v>54</v>
      </c>
      <c r="D569" s="6" t="s">
        <v>113</v>
      </c>
      <c r="E569" s="6" t="s">
        <v>58</v>
      </c>
      <c r="F569" s="6" t="s">
        <v>58</v>
      </c>
      <c r="G569" s="6" t="n">
        <v>15</v>
      </c>
      <c r="H569" s="6" t="n">
        <v>2279600</v>
      </c>
      <c r="I569" s="6" t="n">
        <v>741800</v>
      </c>
      <c r="J569" s="6" t="n">
        <v>1112100</v>
      </c>
      <c r="K569" s="6" t="n">
        <v>-1167500</v>
      </c>
      <c r="L569" s="6" t="n">
        <v>1</v>
      </c>
      <c r="M569" s="6" t="n">
        <v>0</v>
      </c>
      <c r="N569" s="6" t="n">
        <v>-735.3</v>
      </c>
    </row>
    <row r="570" customFormat="false" ht="15" hidden="false" customHeight="false" outlineLevel="0" collapsed="false">
      <c r="A570" s="6" t="s">
        <v>39</v>
      </c>
      <c r="B570" s="6" t="s">
        <v>38</v>
      </c>
      <c r="C570" s="6" t="s">
        <v>54</v>
      </c>
      <c r="D570" s="6" t="s">
        <v>113</v>
      </c>
      <c r="E570" s="6" t="s">
        <v>58</v>
      </c>
      <c r="F570" s="6" t="s">
        <v>60</v>
      </c>
      <c r="G570" s="6" t="n">
        <v>23</v>
      </c>
      <c r="H570" s="6" t="n">
        <v>2568000</v>
      </c>
      <c r="I570" s="6" t="n">
        <v>1213200</v>
      </c>
      <c r="J570" s="6" t="n">
        <v>1789600</v>
      </c>
      <c r="K570" s="6" t="n">
        <v>-778200</v>
      </c>
      <c r="L570" s="6" t="n">
        <v>3</v>
      </c>
      <c r="M570" s="6" t="n">
        <v>0</v>
      </c>
      <c r="N570" s="6" t="n">
        <v>-689.5</v>
      </c>
    </row>
    <row r="571" customFormat="false" ht="15" hidden="false" customHeight="false" outlineLevel="0" collapsed="false">
      <c r="A571" s="6" t="s">
        <v>39</v>
      </c>
      <c r="B571" s="6" t="s">
        <v>38</v>
      </c>
      <c r="C571" s="6" t="s">
        <v>54</v>
      </c>
      <c r="D571" s="6" t="s">
        <v>113</v>
      </c>
      <c r="E571" s="6" t="s">
        <v>60</v>
      </c>
      <c r="F571" s="6" t="s">
        <v>58</v>
      </c>
      <c r="G571" s="6" t="n">
        <v>4</v>
      </c>
      <c r="H571" s="6" t="n">
        <v>568200</v>
      </c>
      <c r="I571" s="6" t="n">
        <v>472500</v>
      </c>
      <c r="J571" s="6" t="n">
        <v>311300</v>
      </c>
      <c r="K571" s="6" t="n">
        <v>-257000</v>
      </c>
      <c r="L571" s="6" t="n">
        <v>0</v>
      </c>
      <c r="M571" s="6" t="n">
        <v>0</v>
      </c>
      <c r="N571" s="6" t="n">
        <v>-181.5</v>
      </c>
    </row>
    <row r="572" customFormat="false" ht="15" hidden="false" customHeight="false" outlineLevel="0" collapsed="false">
      <c r="A572" s="6" t="s">
        <v>39</v>
      </c>
      <c r="B572" s="6" t="s">
        <v>38</v>
      </c>
      <c r="C572" s="6" t="s">
        <v>54</v>
      </c>
      <c r="D572" s="6" t="s">
        <v>113</v>
      </c>
      <c r="E572" s="6" t="s">
        <v>60</v>
      </c>
      <c r="F572" s="6" t="s">
        <v>60</v>
      </c>
      <c r="G572" s="6" t="n">
        <v>17</v>
      </c>
      <c r="H572" s="6" t="n">
        <v>1824400</v>
      </c>
      <c r="I572" s="6" t="n">
        <v>945200</v>
      </c>
      <c r="J572" s="6" t="n">
        <v>1868500</v>
      </c>
      <c r="K572" s="6" t="n">
        <v>44200</v>
      </c>
      <c r="L572" s="6" t="n">
        <v>8</v>
      </c>
      <c r="M572" s="6" t="n">
        <v>0</v>
      </c>
      <c r="N572" s="6" t="n">
        <v>88.9</v>
      </c>
    </row>
    <row r="573" customFormat="false" ht="15" hidden="false" customHeight="false" outlineLevel="0" collapsed="false">
      <c r="A573" s="6" t="s">
        <v>39</v>
      </c>
      <c r="B573" s="6" t="s">
        <v>38</v>
      </c>
      <c r="C573" s="6" t="s">
        <v>54</v>
      </c>
      <c r="D573" s="6" t="s">
        <v>114</v>
      </c>
      <c r="E573" s="6" t="s">
        <v>58</v>
      </c>
      <c r="F573" s="6" t="s">
        <v>58</v>
      </c>
      <c r="G573" s="6" t="n">
        <v>8</v>
      </c>
      <c r="H573" s="6" t="n">
        <v>1227800</v>
      </c>
      <c r="I573" s="6" t="n">
        <v>250900</v>
      </c>
      <c r="J573" s="6" t="n">
        <v>632500</v>
      </c>
      <c r="K573" s="6" t="n">
        <v>-595300</v>
      </c>
      <c r="L573" s="6" t="n">
        <v>1</v>
      </c>
      <c r="M573" s="6" t="n">
        <v>0</v>
      </c>
      <c r="N573" s="6" t="n">
        <v>-365</v>
      </c>
    </row>
    <row r="574" customFormat="false" ht="15" hidden="false" customHeight="false" outlineLevel="0" collapsed="false">
      <c r="A574" s="6" t="s">
        <v>39</v>
      </c>
      <c r="B574" s="6" t="s">
        <v>38</v>
      </c>
      <c r="C574" s="6" t="s">
        <v>54</v>
      </c>
      <c r="D574" s="6" t="s">
        <v>114</v>
      </c>
      <c r="E574" s="6" t="s">
        <v>58</v>
      </c>
      <c r="F574" s="6" t="s">
        <v>60</v>
      </c>
      <c r="G574" s="6" t="n">
        <v>8</v>
      </c>
      <c r="H574" s="6" t="n">
        <v>907000</v>
      </c>
      <c r="I574" s="6" t="n">
        <v>115900</v>
      </c>
      <c r="J574" s="6" t="n">
        <v>640200</v>
      </c>
      <c r="K574" s="6" t="n">
        <v>-266900</v>
      </c>
      <c r="L574" s="6" t="n">
        <v>2</v>
      </c>
      <c r="M574" s="6" t="n">
        <v>0</v>
      </c>
      <c r="N574" s="6" t="n">
        <v>-238.6</v>
      </c>
    </row>
    <row r="575" customFormat="false" ht="15" hidden="false" customHeight="false" outlineLevel="0" collapsed="false">
      <c r="A575" s="6" t="s">
        <v>39</v>
      </c>
      <c r="B575" s="6" t="s">
        <v>38</v>
      </c>
      <c r="C575" s="6" t="s">
        <v>54</v>
      </c>
      <c r="D575" s="6" t="s">
        <v>114</v>
      </c>
      <c r="E575" s="6" t="s">
        <v>60</v>
      </c>
      <c r="F575" s="6" t="s">
        <v>60</v>
      </c>
      <c r="G575" s="6" t="n">
        <v>7</v>
      </c>
      <c r="H575" s="6" t="n">
        <v>803900</v>
      </c>
      <c r="I575" s="6" t="n">
        <v>397500</v>
      </c>
      <c r="J575" s="6" t="n">
        <v>551200</v>
      </c>
      <c r="K575" s="6" t="n">
        <v>-252700</v>
      </c>
      <c r="L575" s="6" t="n">
        <v>1</v>
      </c>
      <c r="M575" s="6" t="n">
        <v>0</v>
      </c>
      <c r="N575" s="6" t="n">
        <v>-197.7</v>
      </c>
    </row>
    <row r="576" customFormat="false" ht="15" hidden="false" customHeight="false" outlineLevel="0" collapsed="false">
      <c r="A576" s="6" t="s">
        <v>39</v>
      </c>
      <c r="B576" s="6" t="s">
        <v>38</v>
      </c>
      <c r="C576" s="6" t="s">
        <v>50</v>
      </c>
      <c r="D576" s="6" t="s">
        <v>111</v>
      </c>
      <c r="E576" s="6" t="s">
        <v>58</v>
      </c>
      <c r="F576" s="6" t="s">
        <v>58</v>
      </c>
      <c r="G576" s="6" t="n">
        <v>2</v>
      </c>
      <c r="H576" s="6" t="n">
        <v>419900</v>
      </c>
      <c r="I576" s="6" t="n">
        <v>335900</v>
      </c>
      <c r="J576" s="6" t="n">
        <v>391000</v>
      </c>
      <c r="K576" s="6" t="n">
        <v>-29000</v>
      </c>
      <c r="L576" s="6" t="n">
        <v>1</v>
      </c>
      <c r="M576" s="6" t="n">
        <v>0</v>
      </c>
      <c r="N576" s="6" t="n">
        <v>-14.5</v>
      </c>
    </row>
    <row r="577" customFormat="false" ht="15" hidden="false" customHeight="false" outlineLevel="0" collapsed="false">
      <c r="A577" s="6" t="s">
        <v>39</v>
      </c>
      <c r="B577" s="6" t="s">
        <v>38</v>
      </c>
      <c r="C577" s="6" t="s">
        <v>50</v>
      </c>
      <c r="D577" s="6" t="s">
        <v>111</v>
      </c>
      <c r="E577" s="6" t="s">
        <v>58</v>
      </c>
      <c r="F577" s="6" t="s">
        <v>60</v>
      </c>
      <c r="G577" s="6" t="n">
        <v>5</v>
      </c>
      <c r="H577" s="6" t="n">
        <v>734200</v>
      </c>
      <c r="I577" s="6" t="n">
        <v>440800</v>
      </c>
      <c r="J577" s="6" t="n">
        <v>965000</v>
      </c>
      <c r="K577" s="6" t="n">
        <v>230800</v>
      </c>
      <c r="L577" s="6" t="n">
        <v>4</v>
      </c>
      <c r="M577" s="6" t="n">
        <v>0</v>
      </c>
      <c r="N577" s="6" t="n">
        <v>144.8</v>
      </c>
    </row>
    <row r="578" customFormat="false" ht="15" hidden="false" customHeight="false" outlineLevel="0" collapsed="false">
      <c r="A578" s="6" t="s">
        <v>39</v>
      </c>
      <c r="B578" s="6" t="s">
        <v>38</v>
      </c>
      <c r="C578" s="6" t="s">
        <v>50</v>
      </c>
      <c r="D578" s="6" t="s">
        <v>111</v>
      </c>
      <c r="E578" s="6" t="s">
        <v>60</v>
      </c>
      <c r="F578" s="6" t="s">
        <v>58</v>
      </c>
      <c r="G578" s="6" t="n">
        <v>1</v>
      </c>
      <c r="H578" s="6" t="n">
        <v>195500</v>
      </c>
      <c r="I578" s="6" t="n">
        <v>169300</v>
      </c>
      <c r="J578" s="6" t="n">
        <v>111000</v>
      </c>
      <c r="K578" s="6" t="n">
        <v>-84600</v>
      </c>
      <c r="L578" s="6" t="n">
        <v>0</v>
      </c>
      <c r="M578" s="6" t="n">
        <v>0</v>
      </c>
      <c r="N578" s="6" t="n">
        <v>-43.2</v>
      </c>
    </row>
    <row r="579" customFormat="false" ht="15" hidden="false" customHeight="false" outlineLevel="0" collapsed="false">
      <c r="A579" s="6" t="s">
        <v>39</v>
      </c>
      <c r="B579" s="6" t="s">
        <v>38</v>
      </c>
      <c r="C579" s="6" t="s">
        <v>50</v>
      </c>
      <c r="D579" s="6" t="s">
        <v>111</v>
      </c>
      <c r="E579" s="6" t="s">
        <v>60</v>
      </c>
      <c r="F579" s="6" t="s">
        <v>60</v>
      </c>
      <c r="G579" s="6" t="n">
        <v>3</v>
      </c>
      <c r="H579" s="6" t="n">
        <v>425800</v>
      </c>
      <c r="I579" s="6" t="n">
        <v>219300</v>
      </c>
      <c r="J579" s="6" t="n">
        <v>687500</v>
      </c>
      <c r="K579" s="6" t="n">
        <v>261700</v>
      </c>
      <c r="L579" s="6" t="n">
        <v>3</v>
      </c>
      <c r="M579" s="6" t="n">
        <v>0</v>
      </c>
      <c r="N579" s="6" t="n">
        <v>184.3</v>
      </c>
    </row>
    <row r="580" customFormat="false" ht="15" hidden="false" customHeight="false" outlineLevel="0" collapsed="false">
      <c r="A580" s="6" t="s">
        <v>39</v>
      </c>
      <c r="B580" s="6" t="s">
        <v>38</v>
      </c>
      <c r="C580" s="6" t="s">
        <v>50</v>
      </c>
      <c r="D580" s="6" t="s">
        <v>112</v>
      </c>
      <c r="E580" s="6" t="s">
        <v>58</v>
      </c>
      <c r="F580" s="6" t="s">
        <v>58</v>
      </c>
      <c r="G580" s="6" t="n">
        <v>5</v>
      </c>
      <c r="H580" s="6" t="n">
        <v>888700</v>
      </c>
      <c r="I580" s="6" t="n">
        <v>288700</v>
      </c>
      <c r="J580" s="6" t="n">
        <v>866000</v>
      </c>
      <c r="K580" s="6" t="n">
        <v>-22600</v>
      </c>
      <c r="L580" s="6" t="n">
        <v>3</v>
      </c>
      <c r="M580" s="6" t="n">
        <v>0</v>
      </c>
      <c r="N580" s="6" t="n">
        <v>-1.3</v>
      </c>
    </row>
    <row r="581" customFormat="false" ht="15" hidden="false" customHeight="false" outlineLevel="0" collapsed="false">
      <c r="A581" s="6" t="s">
        <v>39</v>
      </c>
      <c r="B581" s="6" t="s">
        <v>38</v>
      </c>
      <c r="C581" s="6" t="s">
        <v>50</v>
      </c>
      <c r="D581" s="6" t="s">
        <v>112</v>
      </c>
      <c r="E581" s="6" t="s">
        <v>58</v>
      </c>
      <c r="F581" s="6" t="s">
        <v>60</v>
      </c>
      <c r="G581" s="6" t="n">
        <v>8</v>
      </c>
      <c r="H581" s="6" t="n">
        <v>1108400</v>
      </c>
      <c r="I581" s="6" t="n">
        <v>392600</v>
      </c>
      <c r="J581" s="6" t="n">
        <v>2139900</v>
      </c>
      <c r="K581" s="6" t="n">
        <v>1031700</v>
      </c>
      <c r="L581" s="6" t="n">
        <v>8</v>
      </c>
      <c r="M581" s="6" t="n">
        <v>0</v>
      </c>
      <c r="N581" s="6" t="n">
        <v>776.6</v>
      </c>
    </row>
    <row r="582" customFormat="false" ht="15" hidden="false" customHeight="false" outlineLevel="0" collapsed="false">
      <c r="A582" s="6" t="s">
        <v>39</v>
      </c>
      <c r="B582" s="6" t="s">
        <v>38</v>
      </c>
      <c r="C582" s="6" t="s">
        <v>50</v>
      </c>
      <c r="D582" s="6" t="s">
        <v>112</v>
      </c>
      <c r="E582" s="6" t="s">
        <v>60</v>
      </c>
      <c r="F582" s="6" t="s">
        <v>58</v>
      </c>
      <c r="G582" s="6" t="n">
        <v>2</v>
      </c>
      <c r="H582" s="6" t="n">
        <v>472800</v>
      </c>
      <c r="I582" s="6" t="n">
        <v>195100</v>
      </c>
      <c r="J582" s="6" t="n">
        <v>319900</v>
      </c>
      <c r="K582" s="6" t="n">
        <v>-152800</v>
      </c>
      <c r="L582" s="6" t="n">
        <v>0</v>
      </c>
      <c r="M582" s="6" t="n">
        <v>0</v>
      </c>
      <c r="N582" s="6" t="n">
        <v>-62.6</v>
      </c>
    </row>
    <row r="583" customFormat="false" ht="15" hidden="false" customHeight="false" outlineLevel="0" collapsed="false">
      <c r="A583" s="6" t="s">
        <v>39</v>
      </c>
      <c r="B583" s="6" t="s">
        <v>38</v>
      </c>
      <c r="C583" s="6" t="s">
        <v>50</v>
      </c>
      <c r="D583" s="6" t="s">
        <v>112</v>
      </c>
      <c r="E583" s="6" t="s">
        <v>60</v>
      </c>
      <c r="F583" s="6" t="s">
        <v>60</v>
      </c>
      <c r="G583" s="6" t="n">
        <v>2</v>
      </c>
      <c r="H583" s="6" t="n">
        <v>266800</v>
      </c>
      <c r="I583" s="6" t="n">
        <v>205300</v>
      </c>
      <c r="J583" s="6" t="n">
        <v>404700</v>
      </c>
      <c r="K583" s="6" t="n">
        <v>137900</v>
      </c>
      <c r="L583" s="6" t="n">
        <v>1</v>
      </c>
      <c r="M583" s="6" t="n">
        <v>0</v>
      </c>
      <c r="N583" s="6" t="n">
        <v>90.9</v>
      </c>
    </row>
    <row r="584" customFormat="false" ht="15" hidden="false" customHeight="false" outlineLevel="0" collapsed="false">
      <c r="A584" s="6" t="s">
        <v>39</v>
      </c>
      <c r="B584" s="6" t="s">
        <v>38</v>
      </c>
      <c r="C584" s="6" t="s">
        <v>50</v>
      </c>
      <c r="D584" s="6" t="s">
        <v>113</v>
      </c>
      <c r="E584" s="6" t="s">
        <v>58</v>
      </c>
      <c r="F584" s="6" t="s">
        <v>58</v>
      </c>
      <c r="G584" s="6" t="n">
        <v>5</v>
      </c>
      <c r="H584" s="6" t="n">
        <v>1084800</v>
      </c>
      <c r="I584" s="6" t="n">
        <v>146100</v>
      </c>
      <c r="J584" s="6" t="n">
        <v>928600</v>
      </c>
      <c r="K584" s="6" t="n">
        <v>-156200</v>
      </c>
      <c r="L584" s="6" t="n">
        <v>2</v>
      </c>
      <c r="M584" s="6" t="n">
        <v>0</v>
      </c>
      <c r="N584" s="6" t="n">
        <v>-80.1</v>
      </c>
    </row>
    <row r="585" customFormat="false" ht="15" hidden="false" customHeight="false" outlineLevel="0" collapsed="false">
      <c r="A585" s="6" t="s">
        <v>39</v>
      </c>
      <c r="B585" s="6" t="s">
        <v>38</v>
      </c>
      <c r="C585" s="6" t="s">
        <v>50</v>
      </c>
      <c r="D585" s="6" t="s">
        <v>113</v>
      </c>
      <c r="E585" s="6" t="s">
        <v>58</v>
      </c>
      <c r="F585" s="6" t="s">
        <v>60</v>
      </c>
      <c r="G585" s="6" t="n">
        <v>9</v>
      </c>
      <c r="H585" s="6" t="n">
        <v>1333000</v>
      </c>
      <c r="I585" s="6" t="n">
        <v>510800</v>
      </c>
      <c r="J585" s="6" t="n">
        <v>1667600</v>
      </c>
      <c r="K585" s="6" t="n">
        <v>334600</v>
      </c>
      <c r="L585" s="6" t="n">
        <v>7</v>
      </c>
      <c r="M585" s="6" t="n">
        <v>0</v>
      </c>
      <c r="N585" s="6" t="n">
        <v>233.9</v>
      </c>
    </row>
    <row r="586" customFormat="false" ht="15" hidden="false" customHeight="false" outlineLevel="0" collapsed="false">
      <c r="A586" s="6" t="s">
        <v>39</v>
      </c>
      <c r="B586" s="6" t="s">
        <v>38</v>
      </c>
      <c r="C586" s="6" t="s">
        <v>50</v>
      </c>
      <c r="D586" s="6" t="s">
        <v>113</v>
      </c>
      <c r="E586" s="6" t="s">
        <v>60</v>
      </c>
      <c r="F586" s="6" t="s">
        <v>58</v>
      </c>
      <c r="G586" s="6" t="n">
        <v>6</v>
      </c>
      <c r="H586" s="6" t="n">
        <v>1133000</v>
      </c>
      <c r="I586" s="6" t="n">
        <v>663500</v>
      </c>
      <c r="J586" s="6" t="n">
        <v>962600</v>
      </c>
      <c r="K586" s="6" t="n">
        <v>-170500</v>
      </c>
      <c r="L586" s="6" t="n">
        <v>1</v>
      </c>
      <c r="M586" s="6" t="n">
        <v>0</v>
      </c>
      <c r="N586" s="6" t="n">
        <v>-99</v>
      </c>
    </row>
    <row r="587" customFormat="false" ht="15" hidden="false" customHeight="false" outlineLevel="0" collapsed="false">
      <c r="A587" s="6" t="s">
        <v>39</v>
      </c>
      <c r="B587" s="6" t="s">
        <v>38</v>
      </c>
      <c r="C587" s="6" t="s">
        <v>50</v>
      </c>
      <c r="D587" s="6" t="s">
        <v>113</v>
      </c>
      <c r="E587" s="6" t="s">
        <v>60</v>
      </c>
      <c r="F587" s="6" t="s">
        <v>60</v>
      </c>
      <c r="G587" s="6" t="n">
        <v>10</v>
      </c>
      <c r="H587" s="6" t="n">
        <v>1444300</v>
      </c>
      <c r="I587" s="6" t="n">
        <v>443000</v>
      </c>
      <c r="J587" s="6" t="n">
        <v>1865600</v>
      </c>
      <c r="K587" s="6" t="n">
        <v>421300</v>
      </c>
      <c r="L587" s="6" t="n">
        <v>6</v>
      </c>
      <c r="M587" s="6" t="n">
        <v>0</v>
      </c>
      <c r="N587" s="6" t="n">
        <v>337.4</v>
      </c>
    </row>
    <row r="588" customFormat="false" ht="15" hidden="false" customHeight="false" outlineLevel="0" collapsed="false">
      <c r="A588" s="6" t="s">
        <v>39</v>
      </c>
      <c r="B588" s="6" t="s">
        <v>38</v>
      </c>
      <c r="C588" s="6" t="s">
        <v>50</v>
      </c>
      <c r="D588" s="6" t="s">
        <v>114</v>
      </c>
      <c r="E588" s="6" t="s">
        <v>58</v>
      </c>
      <c r="F588" s="6" t="s">
        <v>58</v>
      </c>
      <c r="G588" s="6" t="n">
        <v>3</v>
      </c>
      <c r="H588" s="6" t="n">
        <v>680800</v>
      </c>
      <c r="I588" s="6" t="n">
        <v>297600</v>
      </c>
      <c r="J588" s="6" t="n">
        <v>564600</v>
      </c>
      <c r="K588" s="6" t="n">
        <v>-116100</v>
      </c>
      <c r="L588" s="6" t="n">
        <v>1</v>
      </c>
      <c r="M588" s="6" t="n">
        <v>0</v>
      </c>
      <c r="N588" s="6" t="n">
        <v>-43</v>
      </c>
    </row>
    <row r="589" customFormat="false" ht="15" hidden="false" customHeight="false" outlineLevel="0" collapsed="false">
      <c r="A589" s="6" t="s">
        <v>39</v>
      </c>
      <c r="B589" s="6" t="s">
        <v>38</v>
      </c>
      <c r="C589" s="6" t="s">
        <v>50</v>
      </c>
      <c r="D589" s="6" t="s">
        <v>114</v>
      </c>
      <c r="E589" s="6" t="s">
        <v>58</v>
      </c>
      <c r="F589" s="6" t="s">
        <v>60</v>
      </c>
      <c r="G589" s="6" t="n">
        <v>10</v>
      </c>
      <c r="H589" s="6" t="n">
        <v>1521300</v>
      </c>
      <c r="I589" s="6" t="n">
        <v>885000</v>
      </c>
      <c r="J589" s="6" t="n">
        <v>1617400</v>
      </c>
      <c r="K589" s="6" t="n">
        <v>96200</v>
      </c>
      <c r="L589" s="6" t="n">
        <v>4</v>
      </c>
      <c r="M589" s="6" t="n">
        <v>0</v>
      </c>
      <c r="N589" s="6" t="n">
        <v>32.6</v>
      </c>
    </row>
    <row r="590" customFormat="false" ht="15" hidden="false" customHeight="false" outlineLevel="0" collapsed="false">
      <c r="A590" s="6" t="s">
        <v>39</v>
      </c>
      <c r="B590" s="6" t="s">
        <v>38</v>
      </c>
      <c r="C590" s="6" t="s">
        <v>50</v>
      </c>
      <c r="D590" s="6" t="s">
        <v>114</v>
      </c>
      <c r="E590" s="6" t="s">
        <v>60</v>
      </c>
      <c r="F590" s="6" t="s">
        <v>58</v>
      </c>
      <c r="G590" s="6" t="n">
        <v>1</v>
      </c>
      <c r="H590" s="6" t="n">
        <v>182000</v>
      </c>
      <c r="I590" s="6" t="n">
        <v>91600</v>
      </c>
      <c r="J590" s="6" t="n">
        <v>211500</v>
      </c>
      <c r="K590" s="6" t="n">
        <v>29500</v>
      </c>
      <c r="L590" s="6" t="n">
        <v>1</v>
      </c>
      <c r="M590" s="6" t="n">
        <v>0</v>
      </c>
      <c r="N590" s="6" t="n">
        <v>16.2</v>
      </c>
    </row>
    <row r="591" customFormat="false" ht="15" hidden="false" customHeight="false" outlineLevel="0" collapsed="false">
      <c r="A591" s="6" t="s">
        <v>39</v>
      </c>
      <c r="B591" s="6" t="s">
        <v>38</v>
      </c>
      <c r="C591" s="6" t="s">
        <v>50</v>
      </c>
      <c r="D591" s="6" t="s">
        <v>114</v>
      </c>
      <c r="E591" s="6" t="s">
        <v>60</v>
      </c>
      <c r="F591" s="6" t="s">
        <v>60</v>
      </c>
      <c r="G591" s="6" t="n">
        <v>3</v>
      </c>
      <c r="H591" s="6" t="n">
        <v>528400</v>
      </c>
      <c r="I591" s="6" t="n">
        <v>342800</v>
      </c>
      <c r="J591" s="6" t="n">
        <v>684400</v>
      </c>
      <c r="K591" s="6" t="n">
        <v>155800</v>
      </c>
      <c r="L591" s="6" t="n">
        <v>2</v>
      </c>
      <c r="M591" s="6" t="n">
        <v>0</v>
      </c>
      <c r="N591" s="6" t="n">
        <v>74.8</v>
      </c>
    </row>
    <row r="592" customFormat="false" ht="15" hidden="false" customHeight="false" outlineLevel="0" collapsed="false">
      <c r="A592" s="6" t="s">
        <v>39</v>
      </c>
      <c r="B592" s="6" t="s">
        <v>38</v>
      </c>
      <c r="C592" s="6" t="s">
        <v>52</v>
      </c>
      <c r="D592" s="6" t="s">
        <v>111</v>
      </c>
      <c r="E592" s="6" t="s">
        <v>58</v>
      </c>
      <c r="F592" s="6" t="s">
        <v>58</v>
      </c>
      <c r="G592" s="6" t="n">
        <v>16</v>
      </c>
      <c r="H592" s="6" t="n">
        <v>1725800</v>
      </c>
      <c r="I592" s="6" t="n">
        <v>987500</v>
      </c>
      <c r="J592" s="6" t="n">
        <v>2023300</v>
      </c>
      <c r="K592" s="6" t="n">
        <v>297300</v>
      </c>
      <c r="L592" s="6" t="n">
        <v>10</v>
      </c>
      <c r="M592" s="6" t="n">
        <v>0</v>
      </c>
      <c r="N592" s="6" t="n">
        <v>314</v>
      </c>
    </row>
    <row r="593" customFormat="false" ht="15" hidden="false" customHeight="false" outlineLevel="0" collapsed="false">
      <c r="A593" s="6" t="s">
        <v>39</v>
      </c>
      <c r="B593" s="6" t="s">
        <v>38</v>
      </c>
      <c r="C593" s="6" t="s">
        <v>52</v>
      </c>
      <c r="D593" s="6" t="s">
        <v>111</v>
      </c>
      <c r="E593" s="6" t="s">
        <v>58</v>
      </c>
      <c r="F593" s="6" t="s">
        <v>60</v>
      </c>
      <c r="G593" s="6" t="n">
        <v>36</v>
      </c>
      <c r="H593" s="6" t="n">
        <v>2835700</v>
      </c>
      <c r="I593" s="6" t="n">
        <v>1071000</v>
      </c>
      <c r="J593" s="6" t="n">
        <v>4516400</v>
      </c>
      <c r="K593" s="6" t="n">
        <v>1680000</v>
      </c>
      <c r="L593" s="6" t="n">
        <v>31</v>
      </c>
      <c r="M593" s="6" t="n">
        <v>0</v>
      </c>
      <c r="N593" s="6" t="n">
        <v>2383.9</v>
      </c>
    </row>
    <row r="594" customFormat="false" ht="15" hidden="false" customHeight="false" outlineLevel="0" collapsed="false">
      <c r="A594" s="6" t="s">
        <v>39</v>
      </c>
      <c r="B594" s="6" t="s">
        <v>38</v>
      </c>
      <c r="C594" s="6" t="s">
        <v>52</v>
      </c>
      <c r="D594" s="6" t="s">
        <v>111</v>
      </c>
      <c r="E594" s="6" t="s">
        <v>60</v>
      </c>
      <c r="F594" s="6" t="s">
        <v>58</v>
      </c>
      <c r="G594" s="6" t="n">
        <v>18</v>
      </c>
      <c r="H594" s="6" t="n">
        <v>1906400</v>
      </c>
      <c r="I594" s="6" t="n">
        <v>761000</v>
      </c>
      <c r="J594" s="6" t="n">
        <v>2269900</v>
      </c>
      <c r="K594" s="6" t="n">
        <v>363300</v>
      </c>
      <c r="L594" s="6" t="n">
        <v>12</v>
      </c>
      <c r="M594" s="6" t="n">
        <v>0</v>
      </c>
      <c r="N594" s="6" t="n">
        <v>430.8</v>
      </c>
    </row>
    <row r="595" customFormat="false" ht="15" hidden="false" customHeight="false" outlineLevel="0" collapsed="false">
      <c r="A595" s="6" t="s">
        <v>39</v>
      </c>
      <c r="B595" s="6" t="s">
        <v>38</v>
      </c>
      <c r="C595" s="6" t="s">
        <v>52</v>
      </c>
      <c r="D595" s="6" t="s">
        <v>111</v>
      </c>
      <c r="E595" s="6" t="s">
        <v>60</v>
      </c>
      <c r="F595" s="6" t="s">
        <v>60</v>
      </c>
      <c r="G595" s="6" t="n">
        <v>21</v>
      </c>
      <c r="H595" s="6" t="n">
        <v>1582900</v>
      </c>
      <c r="I595" s="6" t="n">
        <v>754600</v>
      </c>
      <c r="J595" s="6" t="n">
        <v>2712900</v>
      </c>
      <c r="K595" s="6" t="n">
        <v>1130300</v>
      </c>
      <c r="L595" s="6" t="n">
        <v>19</v>
      </c>
      <c r="M595" s="6" t="n">
        <v>0</v>
      </c>
      <c r="N595" s="6" t="n">
        <v>1594.8</v>
      </c>
    </row>
    <row r="596" customFormat="false" ht="15" hidden="false" customHeight="false" outlineLevel="0" collapsed="false">
      <c r="A596" s="6" t="s">
        <v>39</v>
      </c>
      <c r="B596" s="6" t="s">
        <v>38</v>
      </c>
      <c r="C596" s="6" t="s">
        <v>52</v>
      </c>
      <c r="D596" s="6" t="s">
        <v>112</v>
      </c>
      <c r="E596" s="6" t="s">
        <v>58</v>
      </c>
      <c r="F596" s="6" t="s">
        <v>58</v>
      </c>
      <c r="G596" s="6" t="n">
        <v>24</v>
      </c>
      <c r="H596" s="6" t="n">
        <v>2411400</v>
      </c>
      <c r="I596" s="6" t="n">
        <v>1391600</v>
      </c>
      <c r="J596" s="6" t="n">
        <v>2467000</v>
      </c>
      <c r="K596" s="6" t="n">
        <v>55300</v>
      </c>
      <c r="L596" s="6" t="n">
        <v>11</v>
      </c>
      <c r="M596" s="6" t="n">
        <v>0</v>
      </c>
      <c r="N596" s="6" t="n">
        <v>119</v>
      </c>
    </row>
    <row r="597" customFormat="false" ht="15" hidden="false" customHeight="false" outlineLevel="0" collapsed="false">
      <c r="A597" s="6" t="s">
        <v>39</v>
      </c>
      <c r="B597" s="6" t="s">
        <v>38</v>
      </c>
      <c r="C597" s="6" t="s">
        <v>52</v>
      </c>
      <c r="D597" s="6" t="s">
        <v>112</v>
      </c>
      <c r="E597" s="6" t="s">
        <v>58</v>
      </c>
      <c r="F597" s="6" t="s">
        <v>60</v>
      </c>
      <c r="G597" s="6" t="n">
        <v>50</v>
      </c>
      <c r="H597" s="6" t="n">
        <v>3669600</v>
      </c>
      <c r="I597" s="6" t="n">
        <v>1874400</v>
      </c>
      <c r="J597" s="6" t="n">
        <v>6536800</v>
      </c>
      <c r="K597" s="6" t="n">
        <v>2867400</v>
      </c>
      <c r="L597" s="6" t="n">
        <v>45</v>
      </c>
      <c r="M597" s="6" t="n">
        <v>0</v>
      </c>
      <c r="N597" s="6" t="n">
        <v>4084.3</v>
      </c>
    </row>
    <row r="598" customFormat="false" ht="15" hidden="false" customHeight="false" outlineLevel="0" collapsed="false">
      <c r="A598" s="6" t="s">
        <v>39</v>
      </c>
      <c r="B598" s="6" t="s">
        <v>38</v>
      </c>
      <c r="C598" s="6" t="s">
        <v>52</v>
      </c>
      <c r="D598" s="6" t="s">
        <v>112</v>
      </c>
      <c r="E598" s="6" t="s">
        <v>60</v>
      </c>
      <c r="F598" s="6" t="s">
        <v>58</v>
      </c>
      <c r="G598" s="6" t="n">
        <v>13</v>
      </c>
      <c r="H598" s="6" t="n">
        <v>1441100</v>
      </c>
      <c r="I598" s="6" t="n">
        <v>488500</v>
      </c>
      <c r="J598" s="6" t="n">
        <v>1867600</v>
      </c>
      <c r="K598" s="6" t="n">
        <v>426300</v>
      </c>
      <c r="L598" s="6" t="n">
        <v>8</v>
      </c>
      <c r="M598" s="6" t="n">
        <v>0</v>
      </c>
      <c r="N598" s="6" t="n">
        <v>433</v>
      </c>
    </row>
    <row r="599" customFormat="false" ht="15" hidden="false" customHeight="false" outlineLevel="0" collapsed="false">
      <c r="A599" s="6" t="s">
        <v>39</v>
      </c>
      <c r="B599" s="6" t="s">
        <v>38</v>
      </c>
      <c r="C599" s="6" t="s">
        <v>52</v>
      </c>
      <c r="D599" s="6" t="s">
        <v>112</v>
      </c>
      <c r="E599" s="6" t="s">
        <v>60</v>
      </c>
      <c r="F599" s="6" t="s">
        <v>60</v>
      </c>
      <c r="G599" s="6" t="n">
        <v>24</v>
      </c>
      <c r="H599" s="6" t="n">
        <v>1728100</v>
      </c>
      <c r="I599" s="6" t="n">
        <v>676900</v>
      </c>
      <c r="J599" s="6" t="n">
        <v>3832200</v>
      </c>
      <c r="K599" s="6" t="n">
        <v>2104100</v>
      </c>
      <c r="L599" s="6" t="n">
        <v>24</v>
      </c>
      <c r="M599" s="6" t="n">
        <v>0</v>
      </c>
      <c r="N599" s="6" t="n">
        <v>3150.3</v>
      </c>
    </row>
    <row r="600" customFormat="false" ht="15" hidden="false" customHeight="false" outlineLevel="0" collapsed="false">
      <c r="A600" s="6" t="s">
        <v>39</v>
      </c>
      <c r="B600" s="6" t="s">
        <v>38</v>
      </c>
      <c r="C600" s="6" t="s">
        <v>52</v>
      </c>
      <c r="D600" s="6" t="s">
        <v>113</v>
      </c>
      <c r="E600" s="6" t="s">
        <v>58</v>
      </c>
      <c r="F600" s="6" t="s">
        <v>58</v>
      </c>
      <c r="G600" s="6" t="n">
        <v>35</v>
      </c>
      <c r="H600" s="6" t="n">
        <v>3667100</v>
      </c>
      <c r="I600" s="6" t="n">
        <v>1420900</v>
      </c>
      <c r="J600" s="6" t="n">
        <v>4238100</v>
      </c>
      <c r="K600" s="6" t="n">
        <v>570600</v>
      </c>
      <c r="L600" s="6" t="n">
        <v>21</v>
      </c>
      <c r="M600" s="6" t="n">
        <v>0</v>
      </c>
      <c r="N600" s="6" t="n">
        <v>692.2</v>
      </c>
    </row>
    <row r="601" customFormat="false" ht="15" hidden="false" customHeight="false" outlineLevel="0" collapsed="false">
      <c r="A601" s="6" t="s">
        <v>39</v>
      </c>
      <c r="B601" s="6" t="s">
        <v>38</v>
      </c>
      <c r="C601" s="6" t="s">
        <v>52</v>
      </c>
      <c r="D601" s="6" t="s">
        <v>113</v>
      </c>
      <c r="E601" s="6" t="s">
        <v>58</v>
      </c>
      <c r="F601" s="6" t="s">
        <v>60</v>
      </c>
      <c r="G601" s="6" t="n">
        <v>57</v>
      </c>
      <c r="H601" s="6" t="n">
        <v>4208300</v>
      </c>
      <c r="I601" s="6" t="n">
        <v>1657200</v>
      </c>
      <c r="J601" s="6" t="n">
        <v>7722800</v>
      </c>
      <c r="K601" s="6" t="n">
        <v>3514500</v>
      </c>
      <c r="L601" s="6" t="n">
        <v>52</v>
      </c>
      <c r="M601" s="6" t="n">
        <v>0</v>
      </c>
      <c r="N601" s="6" t="n">
        <v>4957</v>
      </c>
    </row>
    <row r="602" customFormat="false" ht="15" hidden="false" customHeight="false" outlineLevel="0" collapsed="false">
      <c r="A602" s="6" t="s">
        <v>39</v>
      </c>
      <c r="B602" s="6" t="s">
        <v>38</v>
      </c>
      <c r="C602" s="6" t="s">
        <v>52</v>
      </c>
      <c r="D602" s="6" t="s">
        <v>113</v>
      </c>
      <c r="E602" s="6" t="s">
        <v>60</v>
      </c>
      <c r="F602" s="6" t="s">
        <v>58</v>
      </c>
      <c r="G602" s="6" t="n">
        <v>21</v>
      </c>
      <c r="H602" s="6" t="n">
        <v>2204800</v>
      </c>
      <c r="I602" s="6" t="n">
        <v>952200</v>
      </c>
      <c r="J602" s="6" t="n">
        <v>3118500</v>
      </c>
      <c r="K602" s="6" t="n">
        <v>913700</v>
      </c>
      <c r="L602" s="6" t="n">
        <v>15</v>
      </c>
      <c r="M602" s="6" t="n">
        <v>0</v>
      </c>
      <c r="N602" s="6" t="n">
        <v>1116.9</v>
      </c>
    </row>
    <row r="603" customFormat="false" ht="15" hidden="false" customHeight="false" outlineLevel="0" collapsed="false">
      <c r="A603" s="6" t="s">
        <v>39</v>
      </c>
      <c r="B603" s="6" t="s">
        <v>38</v>
      </c>
      <c r="C603" s="6" t="s">
        <v>52</v>
      </c>
      <c r="D603" s="6" t="s">
        <v>113</v>
      </c>
      <c r="E603" s="6" t="s">
        <v>60</v>
      </c>
      <c r="F603" s="6" t="s">
        <v>60</v>
      </c>
      <c r="G603" s="6" t="n">
        <v>44</v>
      </c>
      <c r="H603" s="6" t="n">
        <v>3260500</v>
      </c>
      <c r="I603" s="6" t="n">
        <v>1423000</v>
      </c>
      <c r="J603" s="6" t="n">
        <v>6585100</v>
      </c>
      <c r="K603" s="6" t="n">
        <v>3324600</v>
      </c>
      <c r="L603" s="6" t="n">
        <v>42</v>
      </c>
      <c r="M603" s="6" t="n">
        <v>0</v>
      </c>
      <c r="N603" s="6" t="n">
        <v>4776.6</v>
      </c>
    </row>
    <row r="604" customFormat="false" ht="15" hidden="false" customHeight="false" outlineLevel="0" collapsed="false">
      <c r="A604" s="6" t="s">
        <v>39</v>
      </c>
      <c r="B604" s="6" t="s">
        <v>38</v>
      </c>
      <c r="C604" s="6" t="s">
        <v>52</v>
      </c>
      <c r="D604" s="6" t="s">
        <v>114</v>
      </c>
      <c r="E604" s="6" t="s">
        <v>58</v>
      </c>
      <c r="F604" s="6" t="s">
        <v>58</v>
      </c>
      <c r="G604" s="6" t="n">
        <v>27</v>
      </c>
      <c r="H604" s="6" t="n">
        <v>2814100</v>
      </c>
      <c r="I604" s="6" t="n">
        <v>1529800</v>
      </c>
      <c r="J604" s="6" t="n">
        <v>2895100</v>
      </c>
      <c r="K604" s="6" t="n">
        <v>81100</v>
      </c>
      <c r="L604" s="6" t="n">
        <v>14</v>
      </c>
      <c r="M604" s="6" t="n">
        <v>0</v>
      </c>
      <c r="N604" s="6" t="n">
        <v>134</v>
      </c>
    </row>
    <row r="605" customFormat="false" ht="15" hidden="false" customHeight="false" outlineLevel="0" collapsed="false">
      <c r="A605" s="6" t="s">
        <v>39</v>
      </c>
      <c r="B605" s="6" t="s">
        <v>38</v>
      </c>
      <c r="C605" s="6" t="s">
        <v>52</v>
      </c>
      <c r="D605" s="6" t="s">
        <v>114</v>
      </c>
      <c r="E605" s="6" t="s">
        <v>58</v>
      </c>
      <c r="F605" s="6" t="s">
        <v>60</v>
      </c>
      <c r="G605" s="6" t="n">
        <v>39</v>
      </c>
      <c r="H605" s="6" t="n">
        <v>2884100</v>
      </c>
      <c r="I605" s="6" t="n">
        <v>1229600</v>
      </c>
      <c r="J605" s="6" t="n">
        <v>4949700</v>
      </c>
      <c r="K605" s="6" t="n">
        <v>2065400</v>
      </c>
      <c r="L605" s="6" t="n">
        <v>33</v>
      </c>
      <c r="M605" s="6" t="n">
        <v>0</v>
      </c>
      <c r="N605" s="6" t="n">
        <v>2978.7</v>
      </c>
    </row>
    <row r="606" customFormat="false" ht="15" hidden="false" customHeight="false" outlineLevel="0" collapsed="false">
      <c r="A606" s="6" t="s">
        <v>39</v>
      </c>
      <c r="B606" s="6" t="s">
        <v>38</v>
      </c>
      <c r="C606" s="6" t="s">
        <v>52</v>
      </c>
      <c r="D606" s="6" t="s">
        <v>114</v>
      </c>
      <c r="E606" s="6" t="s">
        <v>60</v>
      </c>
      <c r="F606" s="6" t="s">
        <v>58</v>
      </c>
      <c r="G606" s="6" t="n">
        <v>9</v>
      </c>
      <c r="H606" s="6" t="n">
        <v>946800</v>
      </c>
      <c r="I606" s="6" t="n">
        <v>466600</v>
      </c>
      <c r="J606" s="6" t="n">
        <v>1374500</v>
      </c>
      <c r="K606" s="6" t="n">
        <v>427900</v>
      </c>
      <c r="L606" s="6" t="n">
        <v>8</v>
      </c>
      <c r="M606" s="6" t="n">
        <v>0</v>
      </c>
      <c r="N606" s="6" t="n">
        <v>487.9</v>
      </c>
    </row>
    <row r="607" customFormat="false" ht="15" hidden="false" customHeight="false" outlineLevel="0" collapsed="false">
      <c r="A607" s="6" t="s">
        <v>39</v>
      </c>
      <c r="B607" s="6" t="s">
        <v>38</v>
      </c>
      <c r="C607" s="6" t="s">
        <v>52</v>
      </c>
      <c r="D607" s="6" t="s">
        <v>114</v>
      </c>
      <c r="E607" s="6" t="s">
        <v>60</v>
      </c>
      <c r="F607" s="6" t="s">
        <v>60</v>
      </c>
      <c r="G607" s="6" t="n">
        <v>23</v>
      </c>
      <c r="H607" s="6" t="n">
        <v>1656100</v>
      </c>
      <c r="I607" s="6" t="n">
        <v>486900</v>
      </c>
      <c r="J607" s="6" t="n">
        <v>3279100</v>
      </c>
      <c r="K607" s="6" t="n">
        <v>1623000</v>
      </c>
      <c r="L607" s="6" t="n">
        <v>23</v>
      </c>
      <c r="M607" s="6" t="n">
        <v>0</v>
      </c>
      <c r="N607" s="6" t="n">
        <v>2333.3</v>
      </c>
    </row>
    <row r="608" customFormat="false" ht="15" hidden="false" customHeight="false" outlineLevel="0" collapsed="false">
      <c r="A608" s="6" t="s">
        <v>39</v>
      </c>
      <c r="B608" s="6" t="s">
        <v>38</v>
      </c>
      <c r="C608" s="6" t="s">
        <v>53</v>
      </c>
      <c r="D608" s="6" t="s">
        <v>111</v>
      </c>
      <c r="E608" s="6" t="s">
        <v>58</v>
      </c>
      <c r="F608" s="6" t="s">
        <v>58</v>
      </c>
      <c r="G608" s="6" t="n">
        <v>19</v>
      </c>
      <c r="H608" s="6" t="n">
        <v>1527900</v>
      </c>
      <c r="I608" s="6" t="n">
        <v>407300</v>
      </c>
      <c r="J608" s="6" t="n">
        <v>2047200</v>
      </c>
      <c r="K608" s="6" t="n">
        <v>519300</v>
      </c>
      <c r="L608" s="6" t="n">
        <v>14</v>
      </c>
      <c r="M608" s="6" t="n">
        <v>0</v>
      </c>
      <c r="N608" s="6" t="n">
        <v>799.9</v>
      </c>
    </row>
    <row r="609" customFormat="false" ht="15" hidden="false" customHeight="false" outlineLevel="0" collapsed="false">
      <c r="A609" s="6" t="s">
        <v>39</v>
      </c>
      <c r="B609" s="6" t="s">
        <v>38</v>
      </c>
      <c r="C609" s="6" t="s">
        <v>53</v>
      </c>
      <c r="D609" s="6" t="s">
        <v>111</v>
      </c>
      <c r="E609" s="6" t="s">
        <v>58</v>
      </c>
      <c r="F609" s="6" t="s">
        <v>60</v>
      </c>
      <c r="G609" s="6" t="n">
        <v>54</v>
      </c>
      <c r="H609" s="6" t="n">
        <v>3130900</v>
      </c>
      <c r="I609" s="6" t="n">
        <v>1161700</v>
      </c>
      <c r="J609" s="6" t="n">
        <v>5741600</v>
      </c>
      <c r="K609" s="6" t="n">
        <v>2609900</v>
      </c>
      <c r="L609" s="6" t="n">
        <v>48</v>
      </c>
      <c r="M609" s="6" t="n">
        <v>0</v>
      </c>
      <c r="N609" s="6" t="n">
        <v>4867.9</v>
      </c>
    </row>
    <row r="610" customFormat="false" ht="15" hidden="false" customHeight="false" outlineLevel="0" collapsed="false">
      <c r="A610" s="6" t="s">
        <v>39</v>
      </c>
      <c r="B610" s="6" t="s">
        <v>38</v>
      </c>
      <c r="C610" s="6" t="s">
        <v>53</v>
      </c>
      <c r="D610" s="6" t="s">
        <v>111</v>
      </c>
      <c r="E610" s="6" t="s">
        <v>60</v>
      </c>
      <c r="F610" s="6" t="s">
        <v>58</v>
      </c>
      <c r="G610" s="6" t="n">
        <v>14</v>
      </c>
      <c r="H610" s="6" t="n">
        <v>1079300</v>
      </c>
      <c r="I610" s="6" t="n">
        <v>632200</v>
      </c>
      <c r="J610" s="6" t="n">
        <v>1295700</v>
      </c>
      <c r="K610" s="6" t="n">
        <v>216700</v>
      </c>
      <c r="L610" s="6" t="n">
        <v>9</v>
      </c>
      <c r="M610" s="6" t="n">
        <v>0</v>
      </c>
      <c r="N610" s="6" t="n">
        <v>308.2</v>
      </c>
    </row>
    <row r="611" customFormat="false" ht="15" hidden="false" customHeight="false" outlineLevel="0" collapsed="false">
      <c r="A611" s="6" t="s">
        <v>39</v>
      </c>
      <c r="B611" s="6" t="s">
        <v>38</v>
      </c>
      <c r="C611" s="6" t="s">
        <v>53</v>
      </c>
      <c r="D611" s="6" t="s">
        <v>111</v>
      </c>
      <c r="E611" s="6" t="s">
        <v>60</v>
      </c>
      <c r="F611" s="6" t="s">
        <v>60</v>
      </c>
      <c r="G611" s="6" t="n">
        <v>23</v>
      </c>
      <c r="H611" s="6" t="n">
        <v>1441300</v>
      </c>
      <c r="I611" s="6" t="n">
        <v>732400</v>
      </c>
      <c r="J611" s="6" t="n">
        <v>2629000</v>
      </c>
      <c r="K611" s="6" t="n">
        <v>1187700</v>
      </c>
      <c r="L611" s="6" t="n">
        <v>20</v>
      </c>
      <c r="M611" s="6" t="n">
        <v>0</v>
      </c>
      <c r="N611" s="6" t="n">
        <v>1951.5</v>
      </c>
    </row>
    <row r="612" customFormat="false" ht="15" hidden="false" customHeight="false" outlineLevel="0" collapsed="false">
      <c r="A612" s="6" t="s">
        <v>39</v>
      </c>
      <c r="B612" s="6" t="s">
        <v>38</v>
      </c>
      <c r="C612" s="6" t="s">
        <v>53</v>
      </c>
      <c r="D612" s="6" t="s">
        <v>112</v>
      </c>
      <c r="E612" s="6" t="s">
        <v>58</v>
      </c>
      <c r="F612" s="6" t="s">
        <v>58</v>
      </c>
      <c r="G612" s="6" t="n">
        <v>22</v>
      </c>
      <c r="H612" s="6" t="n">
        <v>1891400</v>
      </c>
      <c r="I612" s="6" t="n">
        <v>794700</v>
      </c>
      <c r="J612" s="6" t="n">
        <v>2338900</v>
      </c>
      <c r="K612" s="6" t="n">
        <v>447700</v>
      </c>
      <c r="L612" s="6" t="n">
        <v>13</v>
      </c>
      <c r="M612" s="6" t="n">
        <v>0</v>
      </c>
      <c r="N612" s="6" t="n">
        <v>734.4</v>
      </c>
    </row>
    <row r="613" customFormat="false" ht="15" hidden="false" customHeight="false" outlineLevel="0" collapsed="false">
      <c r="A613" s="6" t="s">
        <v>39</v>
      </c>
      <c r="B613" s="6" t="s">
        <v>38</v>
      </c>
      <c r="C613" s="6" t="s">
        <v>53</v>
      </c>
      <c r="D613" s="6" t="s">
        <v>112</v>
      </c>
      <c r="E613" s="6" t="s">
        <v>58</v>
      </c>
      <c r="F613" s="6" t="s">
        <v>60</v>
      </c>
      <c r="G613" s="6" t="n">
        <v>52</v>
      </c>
      <c r="H613" s="6" t="n">
        <v>3179300</v>
      </c>
      <c r="I613" s="6" t="n">
        <v>1686600</v>
      </c>
      <c r="J613" s="6" t="n">
        <v>5874700</v>
      </c>
      <c r="K613" s="6" t="n">
        <v>2695300</v>
      </c>
      <c r="L613" s="6" t="n">
        <v>50</v>
      </c>
      <c r="M613" s="6" t="n">
        <v>0</v>
      </c>
      <c r="N613" s="6" t="n">
        <v>4799.4</v>
      </c>
    </row>
    <row r="614" customFormat="false" ht="15" hidden="false" customHeight="false" outlineLevel="0" collapsed="false">
      <c r="A614" s="6" t="s">
        <v>39</v>
      </c>
      <c r="B614" s="6" t="s">
        <v>38</v>
      </c>
      <c r="C614" s="6" t="s">
        <v>53</v>
      </c>
      <c r="D614" s="6" t="s">
        <v>112</v>
      </c>
      <c r="E614" s="6" t="s">
        <v>60</v>
      </c>
      <c r="F614" s="6" t="s">
        <v>58</v>
      </c>
      <c r="G614" s="6" t="n">
        <v>10</v>
      </c>
      <c r="H614" s="6" t="n">
        <v>718200</v>
      </c>
      <c r="I614" s="6" t="n">
        <v>367300</v>
      </c>
      <c r="J614" s="6" t="n">
        <v>1106700</v>
      </c>
      <c r="K614" s="6" t="n">
        <v>388700</v>
      </c>
      <c r="L614" s="6" t="n">
        <v>7</v>
      </c>
      <c r="M614" s="6" t="n">
        <v>0</v>
      </c>
      <c r="N614" s="6" t="n">
        <v>636.3</v>
      </c>
    </row>
    <row r="615" customFormat="false" ht="15" hidden="false" customHeight="false" outlineLevel="0" collapsed="false">
      <c r="A615" s="6" t="s">
        <v>39</v>
      </c>
      <c r="B615" s="6" t="s">
        <v>38</v>
      </c>
      <c r="C615" s="6" t="s">
        <v>53</v>
      </c>
      <c r="D615" s="6" t="s">
        <v>112</v>
      </c>
      <c r="E615" s="6" t="s">
        <v>60</v>
      </c>
      <c r="F615" s="6" t="s">
        <v>60</v>
      </c>
      <c r="G615" s="6" t="n">
        <v>29</v>
      </c>
      <c r="H615" s="6" t="n">
        <v>1690600</v>
      </c>
      <c r="I615" s="6" t="n">
        <v>523400</v>
      </c>
      <c r="J615" s="6" t="n">
        <v>3564200</v>
      </c>
      <c r="K615" s="6" t="n">
        <v>1873500</v>
      </c>
      <c r="L615" s="6" t="n">
        <v>28</v>
      </c>
      <c r="M615" s="6" t="n">
        <v>0</v>
      </c>
      <c r="N615" s="6" t="n">
        <v>3409.3</v>
      </c>
    </row>
    <row r="616" customFormat="false" ht="15" hidden="false" customHeight="false" outlineLevel="0" collapsed="false">
      <c r="A616" s="6" t="s">
        <v>39</v>
      </c>
      <c r="B616" s="6" t="s">
        <v>38</v>
      </c>
      <c r="C616" s="6" t="s">
        <v>53</v>
      </c>
      <c r="D616" s="6" t="s">
        <v>113</v>
      </c>
      <c r="E616" s="6" t="s">
        <v>58</v>
      </c>
      <c r="F616" s="6" t="s">
        <v>58</v>
      </c>
      <c r="G616" s="6" t="n">
        <v>28</v>
      </c>
      <c r="H616" s="6" t="n">
        <v>2259300</v>
      </c>
      <c r="I616" s="6" t="n">
        <v>1145400</v>
      </c>
      <c r="J616" s="6" t="n">
        <v>2960600</v>
      </c>
      <c r="K616" s="6" t="n">
        <v>701300</v>
      </c>
      <c r="L616" s="6" t="n">
        <v>19</v>
      </c>
      <c r="M616" s="6" t="n">
        <v>0</v>
      </c>
      <c r="N616" s="6" t="n">
        <v>1064.8</v>
      </c>
    </row>
    <row r="617" customFormat="false" ht="15" hidden="false" customHeight="false" outlineLevel="0" collapsed="false">
      <c r="A617" s="6" t="s">
        <v>39</v>
      </c>
      <c r="B617" s="6" t="s">
        <v>38</v>
      </c>
      <c r="C617" s="6" t="s">
        <v>53</v>
      </c>
      <c r="D617" s="6" t="s">
        <v>113</v>
      </c>
      <c r="E617" s="6" t="s">
        <v>58</v>
      </c>
      <c r="F617" s="6" t="s">
        <v>60</v>
      </c>
      <c r="G617" s="6" t="n">
        <v>57</v>
      </c>
      <c r="H617" s="6" t="n">
        <v>3267200</v>
      </c>
      <c r="I617" s="6" t="n">
        <v>1469900</v>
      </c>
      <c r="J617" s="6" t="n">
        <v>6568300</v>
      </c>
      <c r="K617" s="6" t="n">
        <v>3301400</v>
      </c>
      <c r="L617" s="6" t="n">
        <v>55</v>
      </c>
      <c r="M617" s="6" t="n">
        <v>0</v>
      </c>
      <c r="N617" s="6" t="n">
        <v>5981.5</v>
      </c>
    </row>
    <row r="618" customFormat="false" ht="15" hidden="false" customHeight="false" outlineLevel="0" collapsed="false">
      <c r="A618" s="6" t="s">
        <v>39</v>
      </c>
      <c r="B618" s="6" t="s">
        <v>38</v>
      </c>
      <c r="C618" s="6" t="s">
        <v>53</v>
      </c>
      <c r="D618" s="6" t="s">
        <v>113</v>
      </c>
      <c r="E618" s="6" t="s">
        <v>60</v>
      </c>
      <c r="F618" s="6" t="s">
        <v>58</v>
      </c>
      <c r="G618" s="6" t="n">
        <v>15</v>
      </c>
      <c r="H618" s="6" t="n">
        <v>1232600</v>
      </c>
      <c r="I618" s="6" t="n">
        <v>536100</v>
      </c>
      <c r="J618" s="6" t="n">
        <v>1909600</v>
      </c>
      <c r="K618" s="6" t="n">
        <v>677100</v>
      </c>
      <c r="L618" s="6" t="n">
        <v>11</v>
      </c>
      <c r="M618" s="6" t="n">
        <v>0</v>
      </c>
      <c r="N618" s="6" t="n">
        <v>882</v>
      </c>
    </row>
    <row r="619" customFormat="false" ht="15" hidden="false" customHeight="false" outlineLevel="0" collapsed="false">
      <c r="A619" s="6" t="s">
        <v>39</v>
      </c>
      <c r="B619" s="6" t="s">
        <v>38</v>
      </c>
      <c r="C619" s="6" t="s">
        <v>53</v>
      </c>
      <c r="D619" s="6" t="s">
        <v>113</v>
      </c>
      <c r="E619" s="6" t="s">
        <v>60</v>
      </c>
      <c r="F619" s="6" t="s">
        <v>60</v>
      </c>
      <c r="G619" s="6" t="n">
        <v>25</v>
      </c>
      <c r="H619" s="6" t="n">
        <v>1497000</v>
      </c>
      <c r="I619" s="6" t="n">
        <v>899000</v>
      </c>
      <c r="J619" s="6" t="n">
        <v>3025200</v>
      </c>
      <c r="K619" s="6" t="n">
        <v>1528400</v>
      </c>
      <c r="L619" s="6" t="n">
        <v>18</v>
      </c>
      <c r="M619" s="6" t="n">
        <v>0</v>
      </c>
      <c r="N619" s="6" t="n">
        <v>2967.9</v>
      </c>
    </row>
    <row r="620" customFormat="false" ht="15" hidden="false" customHeight="false" outlineLevel="0" collapsed="false">
      <c r="A620" s="6" t="s">
        <v>39</v>
      </c>
      <c r="B620" s="6" t="s">
        <v>38</v>
      </c>
      <c r="C620" s="6" t="s">
        <v>53</v>
      </c>
      <c r="D620" s="6" t="s">
        <v>114</v>
      </c>
      <c r="E620" s="6" t="s">
        <v>58</v>
      </c>
      <c r="F620" s="6" t="s">
        <v>58</v>
      </c>
      <c r="G620" s="6" t="n">
        <v>15</v>
      </c>
      <c r="H620" s="6" t="n">
        <v>1187400</v>
      </c>
      <c r="I620" s="6" t="n">
        <v>521700</v>
      </c>
      <c r="J620" s="6" t="n">
        <v>1460000</v>
      </c>
      <c r="K620" s="6" t="n">
        <v>272500</v>
      </c>
      <c r="L620" s="6" t="n">
        <v>11</v>
      </c>
      <c r="M620" s="6" t="n">
        <v>0</v>
      </c>
      <c r="N620" s="6" t="n">
        <v>361</v>
      </c>
    </row>
    <row r="621" customFormat="false" ht="15" hidden="false" customHeight="false" outlineLevel="0" collapsed="false">
      <c r="A621" s="6" t="s">
        <v>39</v>
      </c>
      <c r="B621" s="6" t="s">
        <v>38</v>
      </c>
      <c r="C621" s="6" t="s">
        <v>53</v>
      </c>
      <c r="D621" s="6" t="s">
        <v>114</v>
      </c>
      <c r="E621" s="6" t="s">
        <v>58</v>
      </c>
      <c r="F621" s="6" t="s">
        <v>60</v>
      </c>
      <c r="G621" s="6" t="n">
        <v>43</v>
      </c>
      <c r="H621" s="6" t="n">
        <v>2528800</v>
      </c>
      <c r="I621" s="6" t="n">
        <v>1353000</v>
      </c>
      <c r="J621" s="6" t="n">
        <v>4816600</v>
      </c>
      <c r="K621" s="6" t="n">
        <v>2287600</v>
      </c>
      <c r="L621" s="6" t="n">
        <v>39</v>
      </c>
      <c r="M621" s="6" t="n">
        <v>0</v>
      </c>
      <c r="N621" s="6" t="n">
        <v>4210</v>
      </c>
    </row>
    <row r="622" customFormat="false" ht="15" hidden="false" customHeight="false" outlineLevel="0" collapsed="false">
      <c r="A622" s="6" t="s">
        <v>39</v>
      </c>
      <c r="B622" s="6" t="s">
        <v>38</v>
      </c>
      <c r="C622" s="6" t="s">
        <v>53</v>
      </c>
      <c r="D622" s="6" t="s">
        <v>114</v>
      </c>
      <c r="E622" s="6" t="s">
        <v>60</v>
      </c>
      <c r="F622" s="6" t="s">
        <v>58</v>
      </c>
      <c r="G622" s="6" t="n">
        <v>12</v>
      </c>
      <c r="H622" s="6" t="n">
        <v>984900</v>
      </c>
      <c r="I622" s="6" t="n">
        <v>463000</v>
      </c>
      <c r="J622" s="6" t="n">
        <v>1438100</v>
      </c>
      <c r="K622" s="6" t="n">
        <v>453300</v>
      </c>
      <c r="L622" s="6" t="n">
        <v>8</v>
      </c>
      <c r="M622" s="6" t="n">
        <v>0</v>
      </c>
      <c r="N622" s="6" t="n">
        <v>731.8</v>
      </c>
    </row>
    <row r="623" customFormat="false" ht="15" hidden="false" customHeight="false" outlineLevel="0" collapsed="false">
      <c r="A623" s="6" t="s">
        <v>39</v>
      </c>
      <c r="B623" s="6" t="s">
        <v>38</v>
      </c>
      <c r="C623" s="6" t="s">
        <v>53</v>
      </c>
      <c r="D623" s="6" t="s">
        <v>114</v>
      </c>
      <c r="E623" s="6" t="s">
        <v>60</v>
      </c>
      <c r="F623" s="6" t="s">
        <v>60</v>
      </c>
      <c r="G623" s="6" t="n">
        <v>23</v>
      </c>
      <c r="H623" s="6" t="n">
        <v>1237400</v>
      </c>
      <c r="I623" s="6" t="n">
        <v>588200</v>
      </c>
      <c r="J623" s="6" t="n">
        <v>3067500</v>
      </c>
      <c r="K623" s="6" t="n">
        <v>1829800</v>
      </c>
      <c r="L623" s="6" t="n">
        <v>22</v>
      </c>
      <c r="M623" s="6" t="n">
        <v>0</v>
      </c>
      <c r="N623" s="6" t="n">
        <v>3573.5</v>
      </c>
    </row>
    <row r="624" customFormat="false" ht="15" hidden="false" customHeight="false" outlineLevel="0" collapsed="false">
      <c r="A624" s="6" t="s">
        <v>39</v>
      </c>
      <c r="B624" s="6" t="s">
        <v>38</v>
      </c>
      <c r="C624" s="6" t="s">
        <v>51</v>
      </c>
      <c r="D624" s="6" t="s">
        <v>111</v>
      </c>
      <c r="E624" s="6" t="s">
        <v>58</v>
      </c>
      <c r="F624" s="6" t="s">
        <v>58</v>
      </c>
      <c r="G624" s="6" t="n">
        <v>12</v>
      </c>
      <c r="H624" s="6" t="n">
        <v>1314500</v>
      </c>
      <c r="I624" s="6" t="n">
        <v>779200</v>
      </c>
      <c r="J624" s="6" t="n">
        <v>1304900</v>
      </c>
      <c r="K624" s="6" t="n">
        <v>-9600</v>
      </c>
      <c r="L624" s="6" t="n">
        <v>5</v>
      </c>
      <c r="M624" s="6" t="n">
        <v>0</v>
      </c>
      <c r="N624" s="6" t="n">
        <v>41.4</v>
      </c>
    </row>
    <row r="625" customFormat="false" ht="15" hidden="false" customHeight="false" outlineLevel="0" collapsed="false">
      <c r="A625" s="6" t="s">
        <v>39</v>
      </c>
      <c r="B625" s="6" t="s">
        <v>38</v>
      </c>
      <c r="C625" s="6" t="s">
        <v>51</v>
      </c>
      <c r="D625" s="6" t="s">
        <v>111</v>
      </c>
      <c r="E625" s="6" t="s">
        <v>58</v>
      </c>
      <c r="F625" s="6" t="s">
        <v>60</v>
      </c>
      <c r="G625" s="6" t="n">
        <v>29</v>
      </c>
      <c r="H625" s="6" t="n">
        <v>2364100</v>
      </c>
      <c r="I625" s="6" t="n">
        <v>874800</v>
      </c>
      <c r="J625" s="6" t="n">
        <v>4167200</v>
      </c>
      <c r="K625" s="6" t="n">
        <v>1802900</v>
      </c>
      <c r="L625" s="6" t="n">
        <v>26</v>
      </c>
      <c r="M625" s="6" t="n">
        <v>0</v>
      </c>
      <c r="N625" s="6" t="n">
        <v>2341.4</v>
      </c>
    </row>
    <row r="626" customFormat="false" ht="15" hidden="false" customHeight="false" outlineLevel="0" collapsed="false">
      <c r="A626" s="6" t="s">
        <v>39</v>
      </c>
      <c r="B626" s="6" t="s">
        <v>38</v>
      </c>
      <c r="C626" s="6" t="s">
        <v>51</v>
      </c>
      <c r="D626" s="6" t="s">
        <v>111</v>
      </c>
      <c r="E626" s="6" t="s">
        <v>60</v>
      </c>
      <c r="F626" s="6" t="s">
        <v>58</v>
      </c>
      <c r="G626" s="6" t="n">
        <v>9</v>
      </c>
      <c r="H626" s="6" t="n">
        <v>1110400</v>
      </c>
      <c r="I626" s="6" t="n">
        <v>512500</v>
      </c>
      <c r="J626" s="6" t="n">
        <v>1646700</v>
      </c>
      <c r="K626" s="6" t="n">
        <v>536200</v>
      </c>
      <c r="L626" s="6" t="n">
        <v>6</v>
      </c>
      <c r="M626" s="6" t="n">
        <v>0</v>
      </c>
      <c r="N626" s="6" t="n">
        <v>512.1</v>
      </c>
    </row>
    <row r="627" customFormat="false" ht="15" hidden="false" customHeight="false" outlineLevel="0" collapsed="false">
      <c r="A627" s="6" t="s">
        <v>39</v>
      </c>
      <c r="B627" s="6" t="s">
        <v>38</v>
      </c>
      <c r="C627" s="6" t="s">
        <v>51</v>
      </c>
      <c r="D627" s="6" t="s">
        <v>111</v>
      </c>
      <c r="E627" s="6" t="s">
        <v>60</v>
      </c>
      <c r="F627" s="6" t="s">
        <v>60</v>
      </c>
      <c r="G627" s="6" t="n">
        <v>7</v>
      </c>
      <c r="H627" s="6" t="n">
        <v>610200</v>
      </c>
      <c r="I627" s="6" t="n">
        <v>371400</v>
      </c>
      <c r="J627" s="6" t="n">
        <v>944000</v>
      </c>
      <c r="K627" s="6" t="n">
        <v>333800</v>
      </c>
      <c r="L627" s="6" t="n">
        <v>7</v>
      </c>
      <c r="M627" s="6" t="n">
        <v>0</v>
      </c>
      <c r="N627" s="6" t="n">
        <v>433.2</v>
      </c>
    </row>
    <row r="628" customFormat="false" ht="15" hidden="false" customHeight="false" outlineLevel="0" collapsed="false">
      <c r="A628" s="6" t="s">
        <v>39</v>
      </c>
      <c r="B628" s="6" t="s">
        <v>38</v>
      </c>
      <c r="C628" s="6" t="s">
        <v>51</v>
      </c>
      <c r="D628" s="6" t="s">
        <v>112</v>
      </c>
      <c r="E628" s="6" t="s">
        <v>58</v>
      </c>
      <c r="F628" s="6" t="s">
        <v>58</v>
      </c>
      <c r="G628" s="6" t="n">
        <v>16</v>
      </c>
      <c r="H628" s="6" t="n">
        <v>1661400</v>
      </c>
      <c r="I628" s="6" t="n">
        <v>900500</v>
      </c>
      <c r="J628" s="6" t="n">
        <v>2143800</v>
      </c>
      <c r="K628" s="6" t="n">
        <v>482600</v>
      </c>
      <c r="L628" s="6" t="n">
        <v>11</v>
      </c>
      <c r="M628" s="6" t="n">
        <v>0</v>
      </c>
      <c r="N628" s="6" t="n">
        <v>511.5</v>
      </c>
    </row>
    <row r="629" customFormat="false" ht="15" hidden="false" customHeight="false" outlineLevel="0" collapsed="false">
      <c r="A629" s="6" t="s">
        <v>39</v>
      </c>
      <c r="B629" s="6" t="s">
        <v>38</v>
      </c>
      <c r="C629" s="6" t="s">
        <v>51</v>
      </c>
      <c r="D629" s="6" t="s">
        <v>112</v>
      </c>
      <c r="E629" s="6" t="s">
        <v>58</v>
      </c>
      <c r="F629" s="6" t="s">
        <v>60</v>
      </c>
      <c r="G629" s="6" t="n">
        <v>25</v>
      </c>
      <c r="H629" s="6" t="n">
        <v>2100100</v>
      </c>
      <c r="I629" s="6" t="n">
        <v>874200</v>
      </c>
      <c r="J629" s="6" t="n">
        <v>3836100</v>
      </c>
      <c r="K629" s="6" t="n">
        <v>1735900</v>
      </c>
      <c r="L629" s="6" t="n">
        <v>23</v>
      </c>
      <c r="M629" s="6" t="n">
        <v>0</v>
      </c>
      <c r="N629" s="6" t="n">
        <v>2092</v>
      </c>
    </row>
    <row r="630" customFormat="false" ht="15" hidden="false" customHeight="false" outlineLevel="0" collapsed="false">
      <c r="A630" s="6" t="s">
        <v>39</v>
      </c>
      <c r="B630" s="6" t="s">
        <v>38</v>
      </c>
      <c r="C630" s="6" t="s">
        <v>51</v>
      </c>
      <c r="D630" s="6" t="s">
        <v>112</v>
      </c>
      <c r="E630" s="6" t="s">
        <v>60</v>
      </c>
      <c r="F630" s="6" t="s">
        <v>58</v>
      </c>
      <c r="G630" s="6" t="n">
        <v>8</v>
      </c>
      <c r="H630" s="6" t="n">
        <v>936700</v>
      </c>
      <c r="I630" s="6" t="n">
        <v>524500</v>
      </c>
      <c r="J630" s="6" t="n">
        <v>982000</v>
      </c>
      <c r="K630" s="6" t="n">
        <v>45400</v>
      </c>
      <c r="L630" s="6" t="n">
        <v>5</v>
      </c>
      <c r="M630" s="6" t="n">
        <v>0</v>
      </c>
      <c r="N630" s="6" t="n">
        <v>84</v>
      </c>
    </row>
    <row r="631" customFormat="false" ht="15" hidden="false" customHeight="false" outlineLevel="0" collapsed="false">
      <c r="A631" s="6" t="s">
        <v>39</v>
      </c>
      <c r="B631" s="6" t="s">
        <v>38</v>
      </c>
      <c r="C631" s="6" t="s">
        <v>51</v>
      </c>
      <c r="D631" s="6" t="s">
        <v>112</v>
      </c>
      <c r="E631" s="6" t="s">
        <v>60</v>
      </c>
      <c r="F631" s="6" t="s">
        <v>60</v>
      </c>
      <c r="G631" s="6" t="n">
        <v>14</v>
      </c>
      <c r="H631" s="6" t="n">
        <v>1177500</v>
      </c>
      <c r="I631" s="6" t="n">
        <v>702300</v>
      </c>
      <c r="J631" s="6" t="n">
        <v>2496400</v>
      </c>
      <c r="K631" s="6" t="n">
        <v>1319200</v>
      </c>
      <c r="L631" s="6" t="n">
        <v>12</v>
      </c>
      <c r="M631" s="6" t="n">
        <v>0</v>
      </c>
      <c r="N631" s="6" t="n">
        <v>1737.2</v>
      </c>
    </row>
    <row r="632" customFormat="false" ht="15" hidden="false" customHeight="false" outlineLevel="0" collapsed="false">
      <c r="A632" s="6" t="s">
        <v>39</v>
      </c>
      <c r="B632" s="6" t="s">
        <v>38</v>
      </c>
      <c r="C632" s="6" t="s">
        <v>51</v>
      </c>
      <c r="D632" s="6" t="s">
        <v>113</v>
      </c>
      <c r="E632" s="6" t="s">
        <v>58</v>
      </c>
      <c r="F632" s="6" t="s">
        <v>58</v>
      </c>
      <c r="G632" s="6" t="n">
        <v>13</v>
      </c>
      <c r="H632" s="6" t="n">
        <v>1490600</v>
      </c>
      <c r="I632" s="6" t="n">
        <v>720800</v>
      </c>
      <c r="J632" s="6" t="n">
        <v>2012300</v>
      </c>
      <c r="K632" s="6" t="n">
        <v>521700</v>
      </c>
      <c r="L632" s="6" t="n">
        <v>7</v>
      </c>
      <c r="M632" s="6" t="n">
        <v>0</v>
      </c>
      <c r="N632" s="6" t="n">
        <v>602.9</v>
      </c>
    </row>
    <row r="633" customFormat="false" ht="15" hidden="false" customHeight="false" outlineLevel="0" collapsed="false">
      <c r="A633" s="6" t="s">
        <v>39</v>
      </c>
      <c r="B633" s="6" t="s">
        <v>38</v>
      </c>
      <c r="C633" s="6" t="s">
        <v>51</v>
      </c>
      <c r="D633" s="6" t="s">
        <v>113</v>
      </c>
      <c r="E633" s="6" t="s">
        <v>58</v>
      </c>
      <c r="F633" s="6" t="s">
        <v>60</v>
      </c>
      <c r="G633" s="6" t="n">
        <v>39</v>
      </c>
      <c r="H633" s="6" t="n">
        <v>3148800</v>
      </c>
      <c r="I633" s="6" t="n">
        <v>1116600</v>
      </c>
      <c r="J633" s="6" t="n">
        <v>5493100</v>
      </c>
      <c r="K633" s="6" t="n">
        <v>2344300</v>
      </c>
      <c r="L633" s="6" t="n">
        <v>36</v>
      </c>
      <c r="M633" s="6" t="n">
        <v>0</v>
      </c>
      <c r="N633" s="6" t="n">
        <v>3036.3</v>
      </c>
    </row>
    <row r="634" customFormat="false" ht="15" hidden="false" customHeight="false" outlineLevel="0" collapsed="false">
      <c r="A634" s="6" t="s">
        <v>39</v>
      </c>
      <c r="B634" s="6" t="s">
        <v>38</v>
      </c>
      <c r="C634" s="6" t="s">
        <v>51</v>
      </c>
      <c r="D634" s="6" t="s">
        <v>113</v>
      </c>
      <c r="E634" s="6" t="s">
        <v>60</v>
      </c>
      <c r="F634" s="6" t="s">
        <v>58</v>
      </c>
      <c r="G634" s="6" t="n">
        <v>9</v>
      </c>
      <c r="H634" s="6" t="n">
        <v>1149300</v>
      </c>
      <c r="I634" s="6" t="n">
        <v>785700</v>
      </c>
      <c r="J634" s="6" t="n">
        <v>1312900</v>
      </c>
      <c r="K634" s="6" t="n">
        <v>163400</v>
      </c>
      <c r="L634" s="6" t="n">
        <v>7</v>
      </c>
      <c r="M634" s="6" t="n">
        <v>0</v>
      </c>
      <c r="N634" s="6" t="n">
        <v>190.5</v>
      </c>
    </row>
    <row r="635" customFormat="false" ht="15" hidden="false" customHeight="false" outlineLevel="0" collapsed="false">
      <c r="A635" s="6" t="s">
        <v>39</v>
      </c>
      <c r="B635" s="6" t="s">
        <v>38</v>
      </c>
      <c r="C635" s="6" t="s">
        <v>51</v>
      </c>
      <c r="D635" s="6" t="s">
        <v>113</v>
      </c>
      <c r="E635" s="6" t="s">
        <v>60</v>
      </c>
      <c r="F635" s="6" t="s">
        <v>60</v>
      </c>
      <c r="G635" s="6" t="n">
        <v>22</v>
      </c>
      <c r="H635" s="6" t="n">
        <v>1852700</v>
      </c>
      <c r="I635" s="6" t="n">
        <v>801800</v>
      </c>
      <c r="J635" s="6" t="n">
        <v>3243300</v>
      </c>
      <c r="K635" s="6" t="n">
        <v>1391200</v>
      </c>
      <c r="L635" s="6" t="n">
        <v>21</v>
      </c>
      <c r="M635" s="6" t="n">
        <v>0</v>
      </c>
      <c r="N635" s="6" t="n">
        <v>1695.9</v>
      </c>
    </row>
    <row r="636" customFormat="false" ht="15" hidden="false" customHeight="false" outlineLevel="0" collapsed="false">
      <c r="A636" s="6" t="s">
        <v>39</v>
      </c>
      <c r="B636" s="6" t="s">
        <v>38</v>
      </c>
      <c r="C636" s="6" t="s">
        <v>51</v>
      </c>
      <c r="D636" s="6" t="s">
        <v>114</v>
      </c>
      <c r="E636" s="6" t="s">
        <v>58</v>
      </c>
      <c r="F636" s="6" t="s">
        <v>58</v>
      </c>
      <c r="G636" s="6" t="n">
        <v>6</v>
      </c>
      <c r="H636" s="6" t="n">
        <v>779500</v>
      </c>
      <c r="I636" s="6" t="n">
        <v>286200</v>
      </c>
      <c r="J636" s="6" t="n">
        <v>778400</v>
      </c>
      <c r="K636" s="6" t="n">
        <v>-1200</v>
      </c>
      <c r="L636" s="6" t="n">
        <v>3</v>
      </c>
      <c r="M636" s="6" t="n">
        <v>0</v>
      </c>
      <c r="N636" s="6" t="n">
        <v>31.4</v>
      </c>
    </row>
    <row r="637" customFormat="false" ht="15" hidden="false" customHeight="false" outlineLevel="0" collapsed="false">
      <c r="A637" s="6" t="s">
        <v>39</v>
      </c>
      <c r="B637" s="6" t="s">
        <v>38</v>
      </c>
      <c r="C637" s="6" t="s">
        <v>51</v>
      </c>
      <c r="D637" s="6" t="s">
        <v>114</v>
      </c>
      <c r="E637" s="6" t="s">
        <v>58</v>
      </c>
      <c r="F637" s="6" t="s">
        <v>60</v>
      </c>
      <c r="G637" s="6" t="n">
        <v>26</v>
      </c>
      <c r="H637" s="6" t="n">
        <v>2318900</v>
      </c>
      <c r="I637" s="6" t="n">
        <v>618200</v>
      </c>
      <c r="J637" s="6" t="n">
        <v>3992600</v>
      </c>
      <c r="K637" s="6" t="n">
        <v>1674000</v>
      </c>
      <c r="L637" s="6" t="n">
        <v>21</v>
      </c>
      <c r="M637" s="6" t="n">
        <v>0</v>
      </c>
      <c r="N637" s="6" t="n">
        <v>2109.5</v>
      </c>
    </row>
    <row r="638" customFormat="false" ht="15" hidden="false" customHeight="false" outlineLevel="0" collapsed="false">
      <c r="A638" s="6" t="s">
        <v>39</v>
      </c>
      <c r="B638" s="6" t="s">
        <v>38</v>
      </c>
      <c r="C638" s="6" t="s">
        <v>51</v>
      </c>
      <c r="D638" s="6" t="s">
        <v>114</v>
      </c>
      <c r="E638" s="6" t="s">
        <v>60</v>
      </c>
      <c r="F638" s="6" t="s">
        <v>58</v>
      </c>
      <c r="G638" s="6" t="n">
        <v>6</v>
      </c>
      <c r="H638" s="6" t="n">
        <v>647500</v>
      </c>
      <c r="I638" s="6" t="n">
        <v>425700</v>
      </c>
      <c r="J638" s="6" t="n">
        <v>796000</v>
      </c>
      <c r="K638" s="6" t="n">
        <v>148600</v>
      </c>
      <c r="L638" s="6" t="n">
        <v>3</v>
      </c>
      <c r="M638" s="6" t="n">
        <v>0</v>
      </c>
      <c r="N638" s="6" t="n">
        <v>142.4</v>
      </c>
    </row>
    <row r="639" customFormat="false" ht="15" hidden="false" customHeight="false" outlineLevel="0" collapsed="false">
      <c r="A639" s="6" t="s">
        <v>39</v>
      </c>
      <c r="B639" s="6" t="s">
        <v>38</v>
      </c>
      <c r="C639" s="6" t="s">
        <v>51</v>
      </c>
      <c r="D639" s="6" t="s">
        <v>114</v>
      </c>
      <c r="E639" s="6" t="s">
        <v>60</v>
      </c>
      <c r="F639" s="6" t="s">
        <v>60</v>
      </c>
      <c r="G639" s="6" t="n">
        <v>16</v>
      </c>
      <c r="H639" s="6" t="n">
        <v>1282000</v>
      </c>
      <c r="I639" s="6" t="n">
        <v>541000</v>
      </c>
      <c r="J639" s="6" t="n">
        <v>3411500</v>
      </c>
      <c r="K639" s="6" t="n">
        <v>2130000</v>
      </c>
      <c r="L639" s="6" t="n">
        <v>16</v>
      </c>
      <c r="M639" s="6" t="n">
        <v>0</v>
      </c>
      <c r="N639" s="6" t="n">
        <v>2742.5</v>
      </c>
    </row>
    <row r="640" customFormat="false" ht="15" hidden="false" customHeight="false" outlineLevel="0" collapsed="false">
      <c r="A640" s="6" t="s">
        <v>30</v>
      </c>
      <c r="B640" s="6" t="s">
        <v>26</v>
      </c>
      <c r="C640" s="6" t="s">
        <v>54</v>
      </c>
      <c r="D640" s="6" t="s">
        <v>111</v>
      </c>
      <c r="E640" s="6" t="s">
        <v>58</v>
      </c>
      <c r="F640" s="6" t="s">
        <v>58</v>
      </c>
      <c r="G640" s="6" t="n">
        <v>5</v>
      </c>
      <c r="H640" s="6" t="n">
        <v>789100</v>
      </c>
      <c r="I640" s="6" t="n">
        <v>369400</v>
      </c>
      <c r="J640" s="6" t="n">
        <v>1317700</v>
      </c>
      <c r="K640" s="6" t="n">
        <v>528600</v>
      </c>
      <c r="L640" s="6" t="n">
        <v>5</v>
      </c>
      <c r="M640" s="6" t="n">
        <v>0</v>
      </c>
      <c r="N640" s="6" t="n">
        <v>337.1</v>
      </c>
    </row>
    <row r="641" customFormat="false" ht="15" hidden="false" customHeight="false" outlineLevel="0" collapsed="false">
      <c r="A641" s="6" t="s">
        <v>30</v>
      </c>
      <c r="B641" s="6" t="s">
        <v>26</v>
      </c>
      <c r="C641" s="6" t="s">
        <v>54</v>
      </c>
      <c r="D641" s="6" t="s">
        <v>111</v>
      </c>
      <c r="E641" s="6" t="s">
        <v>58</v>
      </c>
      <c r="F641" s="6" t="s">
        <v>60</v>
      </c>
      <c r="G641" s="6" t="n">
        <v>18</v>
      </c>
      <c r="H641" s="6" t="n">
        <v>1962500</v>
      </c>
      <c r="I641" s="6" t="n">
        <v>1117400</v>
      </c>
      <c r="J641" s="6" t="n">
        <v>6440900</v>
      </c>
      <c r="K641" s="6" t="n">
        <v>4478600</v>
      </c>
      <c r="L641" s="6" t="n">
        <v>18</v>
      </c>
      <c r="M641" s="6" t="n">
        <v>2</v>
      </c>
      <c r="N641" s="6" t="n">
        <v>4108.9</v>
      </c>
    </row>
    <row r="642" customFormat="false" ht="15" hidden="false" customHeight="false" outlineLevel="0" collapsed="false">
      <c r="A642" s="6" t="s">
        <v>30</v>
      </c>
      <c r="B642" s="6" t="s">
        <v>26</v>
      </c>
      <c r="C642" s="6" t="s">
        <v>54</v>
      </c>
      <c r="D642" s="6" t="s">
        <v>111</v>
      </c>
      <c r="E642" s="6" t="s">
        <v>60</v>
      </c>
      <c r="F642" s="6" t="s">
        <v>58</v>
      </c>
      <c r="G642" s="6" t="n">
        <v>1</v>
      </c>
      <c r="H642" s="6" t="n">
        <v>146000</v>
      </c>
      <c r="I642" s="6" t="n">
        <v>61700</v>
      </c>
      <c r="J642" s="6" t="n">
        <v>596000</v>
      </c>
      <c r="K642" s="6" t="n">
        <v>450000</v>
      </c>
      <c r="L642" s="6" t="n">
        <v>1</v>
      </c>
      <c r="M642" s="6" t="n">
        <v>1</v>
      </c>
      <c r="N642" s="6" t="n">
        <v>308.3</v>
      </c>
    </row>
    <row r="643" customFormat="false" ht="15" hidden="false" customHeight="false" outlineLevel="0" collapsed="false">
      <c r="A643" s="6" t="s">
        <v>30</v>
      </c>
      <c r="B643" s="6" t="s">
        <v>26</v>
      </c>
      <c r="C643" s="6" t="s">
        <v>54</v>
      </c>
      <c r="D643" s="6" t="s">
        <v>111</v>
      </c>
      <c r="E643" s="6" t="s">
        <v>60</v>
      </c>
      <c r="F643" s="6" t="s">
        <v>60</v>
      </c>
      <c r="G643" s="6" t="n">
        <v>10</v>
      </c>
      <c r="H643" s="6" t="n">
        <v>1145700</v>
      </c>
      <c r="I643" s="6" t="n">
        <v>502900</v>
      </c>
      <c r="J643" s="6" t="n">
        <v>3942400</v>
      </c>
      <c r="K643" s="6" t="n">
        <v>2796700</v>
      </c>
      <c r="L643" s="6" t="n">
        <v>10</v>
      </c>
      <c r="M643" s="6" t="n">
        <v>3</v>
      </c>
      <c r="N643" s="6" t="n">
        <v>2610.7</v>
      </c>
    </row>
    <row r="644" customFormat="false" ht="15" hidden="false" customHeight="false" outlineLevel="0" collapsed="false">
      <c r="A644" s="6" t="s">
        <v>30</v>
      </c>
      <c r="B644" s="6" t="s">
        <v>26</v>
      </c>
      <c r="C644" s="6" t="s">
        <v>54</v>
      </c>
      <c r="D644" s="6" t="s">
        <v>112</v>
      </c>
      <c r="E644" s="6" t="s">
        <v>58</v>
      </c>
      <c r="F644" s="6" t="s">
        <v>58</v>
      </c>
      <c r="G644" s="6" t="n">
        <v>4</v>
      </c>
      <c r="H644" s="6" t="n">
        <v>595500</v>
      </c>
      <c r="I644" s="6" t="n">
        <v>298300</v>
      </c>
      <c r="J644" s="6" t="n">
        <v>941800</v>
      </c>
      <c r="K644" s="6" t="n">
        <v>346300</v>
      </c>
      <c r="L644" s="6" t="n">
        <v>4</v>
      </c>
      <c r="M644" s="6" t="n">
        <v>0</v>
      </c>
      <c r="N644" s="6" t="n">
        <v>238.1</v>
      </c>
    </row>
    <row r="645" customFormat="false" ht="15" hidden="false" customHeight="false" outlineLevel="0" collapsed="false">
      <c r="A645" s="6" t="s">
        <v>30</v>
      </c>
      <c r="B645" s="6" t="s">
        <v>26</v>
      </c>
      <c r="C645" s="6" t="s">
        <v>54</v>
      </c>
      <c r="D645" s="6" t="s">
        <v>112</v>
      </c>
      <c r="E645" s="6" t="s">
        <v>58</v>
      </c>
      <c r="F645" s="6" t="s">
        <v>60</v>
      </c>
      <c r="G645" s="6" t="n">
        <v>11</v>
      </c>
      <c r="H645" s="6" t="n">
        <v>1178100</v>
      </c>
      <c r="I645" s="6" t="n">
        <v>515400</v>
      </c>
      <c r="J645" s="6" t="n">
        <v>3496400</v>
      </c>
      <c r="K645" s="6" t="n">
        <v>2318100</v>
      </c>
      <c r="L645" s="6" t="n">
        <v>11</v>
      </c>
      <c r="M645" s="6" t="n">
        <v>2</v>
      </c>
      <c r="N645" s="6" t="n">
        <v>2310.2</v>
      </c>
    </row>
    <row r="646" customFormat="false" ht="15" hidden="false" customHeight="false" outlineLevel="0" collapsed="false">
      <c r="A646" s="6" t="s">
        <v>30</v>
      </c>
      <c r="B646" s="6" t="s">
        <v>26</v>
      </c>
      <c r="C646" s="6" t="s">
        <v>54</v>
      </c>
      <c r="D646" s="6" t="s">
        <v>112</v>
      </c>
      <c r="E646" s="6" t="s">
        <v>60</v>
      </c>
      <c r="F646" s="6" t="s">
        <v>58</v>
      </c>
      <c r="G646" s="6" t="n">
        <v>12</v>
      </c>
      <c r="H646" s="6" t="n">
        <v>1631100</v>
      </c>
      <c r="I646" s="6" t="n">
        <v>843500</v>
      </c>
      <c r="J646" s="6" t="n">
        <v>3879200</v>
      </c>
      <c r="K646" s="6" t="n">
        <v>2248200</v>
      </c>
      <c r="L646" s="6" t="n">
        <v>12</v>
      </c>
      <c r="M646" s="6" t="n">
        <v>1</v>
      </c>
      <c r="N646" s="6" t="n">
        <v>1682.6</v>
      </c>
    </row>
    <row r="647" customFormat="false" ht="15" hidden="false" customHeight="false" outlineLevel="0" collapsed="false">
      <c r="A647" s="6" t="s">
        <v>30</v>
      </c>
      <c r="B647" s="6" t="s">
        <v>26</v>
      </c>
      <c r="C647" s="6" t="s">
        <v>54</v>
      </c>
      <c r="D647" s="6" t="s">
        <v>112</v>
      </c>
      <c r="E647" s="6" t="s">
        <v>60</v>
      </c>
      <c r="F647" s="6" t="s">
        <v>60</v>
      </c>
      <c r="G647" s="6" t="n">
        <v>14</v>
      </c>
      <c r="H647" s="6" t="n">
        <v>1560400</v>
      </c>
      <c r="I647" s="6" t="n">
        <v>721000</v>
      </c>
      <c r="J647" s="6" t="n">
        <v>4363300</v>
      </c>
      <c r="K647" s="6" t="n">
        <v>2802800</v>
      </c>
      <c r="L647" s="6" t="n">
        <v>14</v>
      </c>
      <c r="M647" s="6" t="n">
        <v>0</v>
      </c>
      <c r="N647" s="6" t="n">
        <v>2651.2</v>
      </c>
    </row>
    <row r="648" customFormat="false" ht="15" hidden="false" customHeight="false" outlineLevel="0" collapsed="false">
      <c r="A648" s="6" t="s">
        <v>30</v>
      </c>
      <c r="B648" s="6" t="s">
        <v>26</v>
      </c>
      <c r="C648" s="6" t="s">
        <v>54</v>
      </c>
      <c r="D648" s="6" t="s">
        <v>113</v>
      </c>
      <c r="E648" s="6" t="s">
        <v>58</v>
      </c>
      <c r="F648" s="6" t="s">
        <v>58</v>
      </c>
      <c r="G648" s="6" t="n">
        <v>7</v>
      </c>
      <c r="H648" s="6" t="n">
        <v>915600</v>
      </c>
      <c r="I648" s="6" t="n">
        <v>267500</v>
      </c>
      <c r="J648" s="6" t="n">
        <v>2336200</v>
      </c>
      <c r="K648" s="6" t="n">
        <v>1420700</v>
      </c>
      <c r="L648" s="6" t="n">
        <v>7</v>
      </c>
      <c r="M648" s="6" t="n">
        <v>0</v>
      </c>
      <c r="N648" s="6" t="n">
        <v>1154.3</v>
      </c>
    </row>
    <row r="649" customFormat="false" ht="15" hidden="false" customHeight="false" outlineLevel="0" collapsed="false">
      <c r="A649" s="6" t="s">
        <v>30</v>
      </c>
      <c r="B649" s="6" t="s">
        <v>26</v>
      </c>
      <c r="C649" s="6" t="s">
        <v>54</v>
      </c>
      <c r="D649" s="6" t="s">
        <v>113</v>
      </c>
      <c r="E649" s="6" t="s">
        <v>58</v>
      </c>
      <c r="F649" s="6" t="s">
        <v>60</v>
      </c>
      <c r="G649" s="6" t="n">
        <v>13</v>
      </c>
      <c r="H649" s="6" t="n">
        <v>1360000</v>
      </c>
      <c r="I649" s="6" t="n">
        <v>662500</v>
      </c>
      <c r="J649" s="6" t="n">
        <v>4944400</v>
      </c>
      <c r="K649" s="6" t="n">
        <v>3584600</v>
      </c>
      <c r="L649" s="6" t="n">
        <v>13</v>
      </c>
      <c r="M649" s="6" t="n">
        <v>1</v>
      </c>
      <c r="N649" s="6" t="n">
        <v>3647.3</v>
      </c>
    </row>
    <row r="650" customFormat="false" ht="15" hidden="false" customHeight="false" outlineLevel="0" collapsed="false">
      <c r="A650" s="6" t="s">
        <v>30</v>
      </c>
      <c r="B650" s="6" t="s">
        <v>26</v>
      </c>
      <c r="C650" s="6" t="s">
        <v>54</v>
      </c>
      <c r="D650" s="6" t="s">
        <v>113</v>
      </c>
      <c r="E650" s="6" t="s">
        <v>60</v>
      </c>
      <c r="F650" s="6" t="s">
        <v>58</v>
      </c>
      <c r="G650" s="6" t="n">
        <v>7</v>
      </c>
      <c r="H650" s="6" t="n">
        <v>1053500</v>
      </c>
      <c r="I650" s="6" t="n">
        <v>351500</v>
      </c>
      <c r="J650" s="6" t="n">
        <v>2683900</v>
      </c>
      <c r="K650" s="6" t="n">
        <v>1630500</v>
      </c>
      <c r="L650" s="6" t="n">
        <v>7</v>
      </c>
      <c r="M650" s="6" t="n">
        <v>1</v>
      </c>
      <c r="N650" s="6" t="n">
        <v>1079.1</v>
      </c>
    </row>
    <row r="651" customFormat="false" ht="15" hidden="false" customHeight="false" outlineLevel="0" collapsed="false">
      <c r="A651" s="6" t="s">
        <v>30</v>
      </c>
      <c r="B651" s="6" t="s">
        <v>26</v>
      </c>
      <c r="C651" s="6" t="s">
        <v>54</v>
      </c>
      <c r="D651" s="6" t="s">
        <v>113</v>
      </c>
      <c r="E651" s="6" t="s">
        <v>60</v>
      </c>
      <c r="F651" s="6" t="s">
        <v>60</v>
      </c>
      <c r="G651" s="6" t="n">
        <v>13</v>
      </c>
      <c r="H651" s="6" t="n">
        <v>1519700</v>
      </c>
      <c r="I651" s="6" t="n">
        <v>388800</v>
      </c>
      <c r="J651" s="6" t="n">
        <v>4743300</v>
      </c>
      <c r="K651" s="6" t="n">
        <v>3223800</v>
      </c>
      <c r="L651" s="6" t="n">
        <v>13</v>
      </c>
      <c r="M651" s="6" t="n">
        <v>1</v>
      </c>
      <c r="N651" s="6" t="n">
        <v>2937.8</v>
      </c>
    </row>
    <row r="652" customFormat="false" ht="15" hidden="false" customHeight="false" outlineLevel="0" collapsed="false">
      <c r="A652" s="6" t="s">
        <v>30</v>
      </c>
      <c r="B652" s="6" t="s">
        <v>26</v>
      </c>
      <c r="C652" s="6" t="s">
        <v>54</v>
      </c>
      <c r="D652" s="6" t="s">
        <v>114</v>
      </c>
      <c r="E652" s="6" t="s">
        <v>58</v>
      </c>
      <c r="F652" s="6" t="s">
        <v>58</v>
      </c>
      <c r="G652" s="6" t="n">
        <v>4</v>
      </c>
      <c r="H652" s="6" t="n">
        <v>662800</v>
      </c>
      <c r="I652" s="6" t="n">
        <v>387900</v>
      </c>
      <c r="J652" s="6" t="n">
        <v>1208800</v>
      </c>
      <c r="K652" s="6" t="n">
        <v>546100</v>
      </c>
      <c r="L652" s="6" t="n">
        <v>4</v>
      </c>
      <c r="M652" s="6" t="n">
        <v>0</v>
      </c>
      <c r="N652" s="6" t="n">
        <v>347.7</v>
      </c>
    </row>
    <row r="653" customFormat="false" ht="15" hidden="false" customHeight="false" outlineLevel="0" collapsed="false">
      <c r="A653" s="6" t="s">
        <v>30</v>
      </c>
      <c r="B653" s="6" t="s">
        <v>26</v>
      </c>
      <c r="C653" s="6" t="s">
        <v>54</v>
      </c>
      <c r="D653" s="6" t="s">
        <v>114</v>
      </c>
      <c r="E653" s="6" t="s">
        <v>58</v>
      </c>
      <c r="F653" s="6" t="s">
        <v>60</v>
      </c>
      <c r="G653" s="6" t="n">
        <v>19</v>
      </c>
      <c r="H653" s="6" t="n">
        <v>2162400</v>
      </c>
      <c r="I653" s="6" t="n">
        <v>859200</v>
      </c>
      <c r="J653" s="6" t="n">
        <v>6727600</v>
      </c>
      <c r="K653" s="6" t="n">
        <v>4565300</v>
      </c>
      <c r="L653" s="6" t="n">
        <v>19</v>
      </c>
      <c r="M653" s="6" t="n">
        <v>2</v>
      </c>
      <c r="N653" s="6" t="n">
        <v>4184.5</v>
      </c>
    </row>
    <row r="654" customFormat="false" ht="15" hidden="false" customHeight="false" outlineLevel="0" collapsed="false">
      <c r="A654" s="6" t="s">
        <v>30</v>
      </c>
      <c r="B654" s="6" t="s">
        <v>26</v>
      </c>
      <c r="C654" s="6" t="s">
        <v>54</v>
      </c>
      <c r="D654" s="6" t="s">
        <v>114</v>
      </c>
      <c r="E654" s="6" t="s">
        <v>60</v>
      </c>
      <c r="F654" s="6" t="s">
        <v>58</v>
      </c>
      <c r="G654" s="6" t="n">
        <v>12</v>
      </c>
      <c r="H654" s="6" t="n">
        <v>1868000</v>
      </c>
      <c r="I654" s="6" t="n">
        <v>836900</v>
      </c>
      <c r="J654" s="6" t="n">
        <v>3567500</v>
      </c>
      <c r="K654" s="6" t="n">
        <v>1699600</v>
      </c>
      <c r="L654" s="6" t="n">
        <v>8</v>
      </c>
      <c r="M654" s="6" t="n">
        <v>1</v>
      </c>
      <c r="N654" s="6" t="n">
        <v>1207.9</v>
      </c>
    </row>
    <row r="655" customFormat="false" ht="15" hidden="false" customHeight="false" outlineLevel="0" collapsed="false">
      <c r="A655" s="6" t="s">
        <v>30</v>
      </c>
      <c r="B655" s="6" t="s">
        <v>26</v>
      </c>
      <c r="C655" s="6" t="s">
        <v>54</v>
      </c>
      <c r="D655" s="6" t="s">
        <v>114</v>
      </c>
      <c r="E655" s="6" t="s">
        <v>60</v>
      </c>
      <c r="F655" s="6" t="s">
        <v>60</v>
      </c>
      <c r="G655" s="6" t="n">
        <v>10</v>
      </c>
      <c r="H655" s="6" t="n">
        <v>1087200</v>
      </c>
      <c r="I655" s="6" t="n">
        <v>486200</v>
      </c>
      <c r="J655" s="6" t="n">
        <v>3858800</v>
      </c>
      <c r="K655" s="6" t="n">
        <v>2771400</v>
      </c>
      <c r="L655" s="6" t="n">
        <v>10</v>
      </c>
      <c r="M655" s="6" t="n">
        <v>2</v>
      </c>
      <c r="N655" s="6" t="n">
        <v>2545.3</v>
      </c>
    </row>
    <row r="656" customFormat="false" ht="15" hidden="false" customHeight="false" outlineLevel="0" collapsed="false">
      <c r="A656" s="6" t="s">
        <v>30</v>
      </c>
      <c r="B656" s="6" t="s">
        <v>26</v>
      </c>
      <c r="C656" s="6" t="s">
        <v>50</v>
      </c>
      <c r="D656" s="6" t="s">
        <v>111</v>
      </c>
      <c r="E656" s="6" t="s">
        <v>58</v>
      </c>
      <c r="F656" s="6" t="s">
        <v>58</v>
      </c>
      <c r="G656" s="6" t="n">
        <v>5</v>
      </c>
      <c r="H656" s="6" t="n">
        <v>1087900</v>
      </c>
      <c r="I656" s="6" t="n">
        <v>451000</v>
      </c>
      <c r="J656" s="6" t="n">
        <v>3337100</v>
      </c>
      <c r="K656" s="6" t="n">
        <v>2249100</v>
      </c>
      <c r="L656" s="6" t="n">
        <v>5</v>
      </c>
      <c r="M656" s="6" t="n">
        <v>2</v>
      </c>
      <c r="N656" s="6" t="n">
        <v>1058</v>
      </c>
    </row>
    <row r="657" customFormat="false" ht="15" hidden="false" customHeight="false" outlineLevel="0" collapsed="false">
      <c r="A657" s="6" t="s">
        <v>30</v>
      </c>
      <c r="B657" s="6" t="s">
        <v>26</v>
      </c>
      <c r="C657" s="6" t="s">
        <v>50</v>
      </c>
      <c r="D657" s="6" t="s">
        <v>111</v>
      </c>
      <c r="E657" s="6" t="s">
        <v>58</v>
      </c>
      <c r="F657" s="6" t="s">
        <v>60</v>
      </c>
      <c r="G657" s="6" t="n">
        <v>4</v>
      </c>
      <c r="H657" s="6" t="n">
        <v>520900</v>
      </c>
      <c r="I657" s="6" t="n">
        <v>234000</v>
      </c>
      <c r="J657" s="6" t="n">
        <v>4457600</v>
      </c>
      <c r="K657" s="6" t="n">
        <v>3936700</v>
      </c>
      <c r="L657" s="6" t="n">
        <v>4</v>
      </c>
      <c r="M657" s="6" t="n">
        <v>4</v>
      </c>
      <c r="N657" s="6" t="n">
        <v>3276.1</v>
      </c>
    </row>
    <row r="658" customFormat="false" ht="15" hidden="false" customHeight="false" outlineLevel="0" collapsed="false">
      <c r="A658" s="6" t="s">
        <v>30</v>
      </c>
      <c r="B658" s="6" t="s">
        <v>26</v>
      </c>
      <c r="C658" s="6" t="s">
        <v>50</v>
      </c>
      <c r="D658" s="6" t="s">
        <v>111</v>
      </c>
      <c r="E658" s="6" t="s">
        <v>60</v>
      </c>
      <c r="F658" s="6" t="s">
        <v>58</v>
      </c>
      <c r="G658" s="6" t="n">
        <v>2</v>
      </c>
      <c r="H658" s="6" t="n">
        <v>383700</v>
      </c>
      <c r="I658" s="6" t="n">
        <v>133800</v>
      </c>
      <c r="J658" s="6" t="n">
        <v>1942400</v>
      </c>
      <c r="K658" s="6" t="n">
        <v>1558600</v>
      </c>
      <c r="L658" s="6" t="n">
        <v>2</v>
      </c>
      <c r="M658" s="6" t="n">
        <v>1</v>
      </c>
      <c r="N658" s="6" t="n">
        <v>829.1</v>
      </c>
    </row>
    <row r="659" customFormat="false" ht="15" hidden="false" customHeight="false" outlineLevel="0" collapsed="false">
      <c r="A659" s="6" t="s">
        <v>30</v>
      </c>
      <c r="B659" s="6" t="s">
        <v>26</v>
      </c>
      <c r="C659" s="6" t="s">
        <v>50</v>
      </c>
      <c r="D659" s="6" t="s">
        <v>111</v>
      </c>
      <c r="E659" s="6" t="s">
        <v>60</v>
      </c>
      <c r="F659" s="6" t="s">
        <v>60</v>
      </c>
      <c r="G659" s="6" t="n">
        <v>4</v>
      </c>
      <c r="H659" s="6" t="n">
        <v>502600</v>
      </c>
      <c r="I659" s="6" t="n">
        <v>106400</v>
      </c>
      <c r="J659" s="6" t="n">
        <v>3873700</v>
      </c>
      <c r="K659" s="6" t="n">
        <v>3371200</v>
      </c>
      <c r="L659" s="6" t="n">
        <v>4</v>
      </c>
      <c r="M659" s="6" t="n">
        <v>3</v>
      </c>
      <c r="N659" s="6" t="n">
        <v>2718.9</v>
      </c>
    </row>
    <row r="660" customFormat="false" ht="15" hidden="false" customHeight="false" outlineLevel="0" collapsed="false">
      <c r="A660" s="6" t="s">
        <v>30</v>
      </c>
      <c r="B660" s="6" t="s">
        <v>26</v>
      </c>
      <c r="C660" s="6" t="s">
        <v>50</v>
      </c>
      <c r="D660" s="6" t="s">
        <v>112</v>
      </c>
      <c r="E660" s="6" t="s">
        <v>58</v>
      </c>
      <c r="F660" s="6" t="s">
        <v>58</v>
      </c>
      <c r="G660" s="6" t="n">
        <v>2</v>
      </c>
      <c r="H660" s="6" t="n">
        <v>509200</v>
      </c>
      <c r="I660" s="6" t="n">
        <v>425700</v>
      </c>
      <c r="J660" s="6" t="n">
        <v>1067600</v>
      </c>
      <c r="K660" s="6" t="n">
        <v>558500</v>
      </c>
      <c r="L660" s="6" t="n">
        <v>2</v>
      </c>
      <c r="M660" s="6" t="n">
        <v>0</v>
      </c>
      <c r="N660" s="6" t="n">
        <v>214.3</v>
      </c>
    </row>
    <row r="661" customFormat="false" ht="15" hidden="false" customHeight="false" outlineLevel="0" collapsed="false">
      <c r="A661" s="6" t="s">
        <v>30</v>
      </c>
      <c r="B661" s="6" t="s">
        <v>26</v>
      </c>
      <c r="C661" s="6" t="s">
        <v>50</v>
      </c>
      <c r="D661" s="6" t="s">
        <v>112</v>
      </c>
      <c r="E661" s="6" t="s">
        <v>58</v>
      </c>
      <c r="F661" s="6" t="s">
        <v>60</v>
      </c>
      <c r="G661" s="6" t="n">
        <v>11</v>
      </c>
      <c r="H661" s="6" t="n">
        <v>1672700</v>
      </c>
      <c r="I661" s="6" t="n">
        <v>441100</v>
      </c>
      <c r="J661" s="6" t="n">
        <v>10309000</v>
      </c>
      <c r="K661" s="6" t="n">
        <v>8636200</v>
      </c>
      <c r="L661" s="6" t="n">
        <v>11</v>
      </c>
      <c r="M661" s="6" t="n">
        <v>8</v>
      </c>
      <c r="N661" s="6" t="n">
        <v>5947.8</v>
      </c>
    </row>
    <row r="662" customFormat="false" ht="15" hidden="false" customHeight="false" outlineLevel="0" collapsed="false">
      <c r="A662" s="6" t="s">
        <v>30</v>
      </c>
      <c r="B662" s="6" t="s">
        <v>26</v>
      </c>
      <c r="C662" s="6" t="s">
        <v>50</v>
      </c>
      <c r="D662" s="6" t="s">
        <v>112</v>
      </c>
      <c r="E662" s="6" t="s">
        <v>60</v>
      </c>
      <c r="F662" s="6" t="s">
        <v>58</v>
      </c>
      <c r="G662" s="6" t="n">
        <v>2</v>
      </c>
      <c r="H662" s="6" t="n">
        <v>377100</v>
      </c>
      <c r="I662" s="6" t="n">
        <v>139400</v>
      </c>
      <c r="J662" s="6" t="n">
        <v>2176600</v>
      </c>
      <c r="K662" s="6" t="n">
        <v>1799300</v>
      </c>
      <c r="L662" s="6" t="n">
        <v>2</v>
      </c>
      <c r="M662" s="6" t="n">
        <v>2</v>
      </c>
      <c r="N662" s="6" t="n">
        <v>1056.7</v>
      </c>
    </row>
    <row r="663" customFormat="false" ht="15" hidden="false" customHeight="false" outlineLevel="0" collapsed="false">
      <c r="A663" s="6" t="s">
        <v>30</v>
      </c>
      <c r="B663" s="6" t="s">
        <v>26</v>
      </c>
      <c r="C663" s="6" t="s">
        <v>50</v>
      </c>
      <c r="D663" s="6" t="s">
        <v>112</v>
      </c>
      <c r="E663" s="6" t="s">
        <v>60</v>
      </c>
      <c r="F663" s="6" t="s">
        <v>60</v>
      </c>
      <c r="G663" s="6" t="n">
        <v>5</v>
      </c>
      <c r="H663" s="6" t="n">
        <v>700300</v>
      </c>
      <c r="I663" s="6" t="n">
        <v>421400</v>
      </c>
      <c r="J663" s="6" t="n">
        <v>3713200</v>
      </c>
      <c r="K663" s="6" t="n">
        <v>3012900</v>
      </c>
      <c r="L663" s="6" t="n">
        <v>5</v>
      </c>
      <c r="M663" s="6" t="n">
        <v>5</v>
      </c>
      <c r="N663" s="6" t="n">
        <v>2165.7</v>
      </c>
    </row>
    <row r="664" customFormat="false" ht="15" hidden="false" customHeight="false" outlineLevel="0" collapsed="false">
      <c r="A664" s="6" t="s">
        <v>30</v>
      </c>
      <c r="B664" s="6" t="s">
        <v>26</v>
      </c>
      <c r="C664" s="6" t="s">
        <v>50</v>
      </c>
      <c r="D664" s="6" t="s">
        <v>113</v>
      </c>
      <c r="E664" s="6" t="s">
        <v>58</v>
      </c>
      <c r="F664" s="6" t="s">
        <v>58</v>
      </c>
      <c r="G664" s="6" t="n">
        <v>11</v>
      </c>
      <c r="H664" s="6" t="n">
        <v>2280000</v>
      </c>
      <c r="I664" s="6" t="n">
        <v>757000</v>
      </c>
      <c r="J664" s="6" t="n">
        <v>8309900</v>
      </c>
      <c r="K664" s="6" t="n">
        <v>6029900</v>
      </c>
      <c r="L664" s="6" t="n">
        <v>11</v>
      </c>
      <c r="M664" s="6" t="n">
        <v>7</v>
      </c>
      <c r="N664" s="6" t="n">
        <v>3205.4</v>
      </c>
    </row>
    <row r="665" customFormat="false" ht="15" hidden="false" customHeight="false" outlineLevel="0" collapsed="false">
      <c r="A665" s="6" t="s">
        <v>30</v>
      </c>
      <c r="B665" s="6" t="s">
        <v>26</v>
      </c>
      <c r="C665" s="6" t="s">
        <v>50</v>
      </c>
      <c r="D665" s="6" t="s">
        <v>113</v>
      </c>
      <c r="E665" s="6" t="s">
        <v>58</v>
      </c>
      <c r="F665" s="6" t="s">
        <v>60</v>
      </c>
      <c r="G665" s="6" t="n">
        <v>11</v>
      </c>
      <c r="H665" s="6" t="n">
        <v>1435100</v>
      </c>
      <c r="I665" s="6" t="n">
        <v>511500</v>
      </c>
      <c r="J665" s="6" t="n">
        <v>7342300</v>
      </c>
      <c r="K665" s="6" t="n">
        <v>5907400</v>
      </c>
      <c r="L665" s="6" t="n">
        <v>11</v>
      </c>
      <c r="M665" s="6" t="n">
        <v>7</v>
      </c>
      <c r="N665" s="6" t="n">
        <v>4575.3</v>
      </c>
    </row>
    <row r="666" customFormat="false" ht="15" hidden="false" customHeight="false" outlineLevel="0" collapsed="false">
      <c r="A666" s="6" t="s">
        <v>30</v>
      </c>
      <c r="B666" s="6" t="s">
        <v>26</v>
      </c>
      <c r="C666" s="6" t="s">
        <v>50</v>
      </c>
      <c r="D666" s="6" t="s">
        <v>113</v>
      </c>
      <c r="E666" s="6" t="s">
        <v>60</v>
      </c>
      <c r="F666" s="6" t="s">
        <v>58</v>
      </c>
      <c r="G666" s="6" t="n">
        <v>5</v>
      </c>
      <c r="H666" s="6" t="n">
        <v>987700</v>
      </c>
      <c r="I666" s="6" t="n">
        <v>552500</v>
      </c>
      <c r="J666" s="6" t="n">
        <v>2857900</v>
      </c>
      <c r="K666" s="6" t="n">
        <v>1870200</v>
      </c>
      <c r="L666" s="6" t="n">
        <v>5</v>
      </c>
      <c r="M666" s="6" t="n">
        <v>2</v>
      </c>
      <c r="N666" s="6" t="n">
        <v>992.1</v>
      </c>
    </row>
    <row r="667" customFormat="false" ht="15" hidden="false" customHeight="false" outlineLevel="0" collapsed="false">
      <c r="A667" s="6" t="s">
        <v>30</v>
      </c>
      <c r="B667" s="6" t="s">
        <v>26</v>
      </c>
      <c r="C667" s="6" t="s">
        <v>50</v>
      </c>
      <c r="D667" s="6" t="s">
        <v>113</v>
      </c>
      <c r="E667" s="6" t="s">
        <v>60</v>
      </c>
      <c r="F667" s="6" t="s">
        <v>60</v>
      </c>
      <c r="G667" s="6" t="n">
        <v>8</v>
      </c>
      <c r="H667" s="6" t="n">
        <v>1226300</v>
      </c>
      <c r="I667" s="6" t="n">
        <v>556700</v>
      </c>
      <c r="J667" s="6" t="n">
        <v>7047400</v>
      </c>
      <c r="K667" s="6" t="n">
        <v>5821000</v>
      </c>
      <c r="L667" s="6" t="n">
        <v>8</v>
      </c>
      <c r="M667" s="6" t="n">
        <v>5</v>
      </c>
      <c r="N667" s="6" t="n">
        <v>4110.6</v>
      </c>
    </row>
    <row r="668" customFormat="false" ht="15" hidden="false" customHeight="false" outlineLevel="0" collapsed="false">
      <c r="A668" s="6" t="s">
        <v>30</v>
      </c>
      <c r="B668" s="6" t="s">
        <v>26</v>
      </c>
      <c r="C668" s="6" t="s">
        <v>50</v>
      </c>
      <c r="D668" s="6" t="s">
        <v>114</v>
      </c>
      <c r="E668" s="6" t="s">
        <v>58</v>
      </c>
      <c r="F668" s="6" t="s">
        <v>58</v>
      </c>
      <c r="G668" s="6" t="n">
        <v>4</v>
      </c>
      <c r="H668" s="6" t="n">
        <v>857800</v>
      </c>
      <c r="I668" s="6" t="n">
        <v>353700</v>
      </c>
      <c r="J668" s="6" t="n">
        <v>2784200</v>
      </c>
      <c r="K668" s="6" t="n">
        <v>1926400</v>
      </c>
      <c r="L668" s="6" t="n">
        <v>4</v>
      </c>
      <c r="M668" s="6" t="n">
        <v>3</v>
      </c>
      <c r="N668" s="6" t="n">
        <v>934.5</v>
      </c>
    </row>
    <row r="669" customFormat="false" ht="15" hidden="false" customHeight="false" outlineLevel="0" collapsed="false">
      <c r="A669" s="6" t="s">
        <v>30</v>
      </c>
      <c r="B669" s="6" t="s">
        <v>26</v>
      </c>
      <c r="C669" s="6" t="s">
        <v>50</v>
      </c>
      <c r="D669" s="6" t="s">
        <v>114</v>
      </c>
      <c r="E669" s="6" t="s">
        <v>58</v>
      </c>
      <c r="F669" s="6" t="s">
        <v>60</v>
      </c>
      <c r="G669" s="6" t="n">
        <v>7</v>
      </c>
      <c r="H669" s="6" t="n">
        <v>1017300</v>
      </c>
      <c r="I669" s="6" t="n">
        <v>539100</v>
      </c>
      <c r="J669" s="6" t="n">
        <v>5186200</v>
      </c>
      <c r="K669" s="6" t="n">
        <v>4168800</v>
      </c>
      <c r="L669" s="6" t="n">
        <v>7</v>
      </c>
      <c r="M669" s="6" t="n">
        <v>6</v>
      </c>
      <c r="N669" s="6" t="n">
        <v>2958.2</v>
      </c>
    </row>
    <row r="670" customFormat="false" ht="15" hidden="false" customHeight="false" outlineLevel="0" collapsed="false">
      <c r="A670" s="6" t="s">
        <v>30</v>
      </c>
      <c r="B670" s="6" t="s">
        <v>26</v>
      </c>
      <c r="C670" s="6" t="s">
        <v>50</v>
      </c>
      <c r="D670" s="6" t="s">
        <v>114</v>
      </c>
      <c r="E670" s="6" t="s">
        <v>60</v>
      </c>
      <c r="F670" s="6" t="s">
        <v>58</v>
      </c>
      <c r="G670" s="6" t="n">
        <v>4</v>
      </c>
      <c r="H670" s="6" t="n">
        <v>774400</v>
      </c>
      <c r="I670" s="6" t="n">
        <v>307300</v>
      </c>
      <c r="J670" s="6" t="n">
        <v>3310300</v>
      </c>
      <c r="K670" s="6" t="n">
        <v>2535900</v>
      </c>
      <c r="L670" s="6" t="n">
        <v>4</v>
      </c>
      <c r="M670" s="6" t="n">
        <v>1</v>
      </c>
      <c r="N670" s="6" t="n">
        <v>1336.8</v>
      </c>
    </row>
    <row r="671" customFormat="false" ht="15" hidden="false" customHeight="false" outlineLevel="0" collapsed="false">
      <c r="A671" s="6" t="s">
        <v>30</v>
      </c>
      <c r="B671" s="6" t="s">
        <v>26</v>
      </c>
      <c r="C671" s="6" t="s">
        <v>50</v>
      </c>
      <c r="D671" s="6" t="s">
        <v>114</v>
      </c>
      <c r="E671" s="6" t="s">
        <v>60</v>
      </c>
      <c r="F671" s="6" t="s">
        <v>60</v>
      </c>
      <c r="G671" s="6" t="n">
        <v>7</v>
      </c>
      <c r="H671" s="6" t="n">
        <v>914800</v>
      </c>
      <c r="I671" s="6" t="n">
        <v>451200</v>
      </c>
      <c r="J671" s="6" t="n">
        <v>4904300</v>
      </c>
      <c r="K671" s="6" t="n">
        <v>3989600</v>
      </c>
      <c r="L671" s="6" t="n">
        <v>7</v>
      </c>
      <c r="M671" s="6" t="n">
        <v>4</v>
      </c>
      <c r="N671" s="6" t="n">
        <v>3128.6</v>
      </c>
    </row>
    <row r="672" customFormat="false" ht="15" hidden="false" customHeight="false" outlineLevel="0" collapsed="false">
      <c r="A672" s="6" t="s">
        <v>30</v>
      </c>
      <c r="B672" s="6" t="s">
        <v>26</v>
      </c>
      <c r="C672" s="6" t="s">
        <v>52</v>
      </c>
      <c r="D672" s="6" t="s">
        <v>111</v>
      </c>
      <c r="E672" s="6" t="s">
        <v>58</v>
      </c>
      <c r="F672" s="6" t="s">
        <v>58</v>
      </c>
      <c r="G672" s="6" t="n">
        <v>13</v>
      </c>
      <c r="H672" s="6" t="n">
        <v>1419300</v>
      </c>
      <c r="I672" s="6" t="n">
        <v>749300</v>
      </c>
      <c r="J672" s="6" t="n">
        <v>7640400</v>
      </c>
      <c r="K672" s="6" t="n">
        <v>6221000</v>
      </c>
      <c r="L672" s="6" t="n">
        <v>13</v>
      </c>
      <c r="M672" s="6" t="n">
        <v>9</v>
      </c>
      <c r="N672" s="6" t="n">
        <v>6046.3</v>
      </c>
    </row>
    <row r="673" customFormat="false" ht="15" hidden="false" customHeight="false" outlineLevel="0" collapsed="false">
      <c r="A673" s="6" t="s">
        <v>30</v>
      </c>
      <c r="B673" s="6" t="s">
        <v>26</v>
      </c>
      <c r="C673" s="6" t="s">
        <v>52</v>
      </c>
      <c r="D673" s="6" t="s">
        <v>111</v>
      </c>
      <c r="E673" s="6" t="s">
        <v>58</v>
      </c>
      <c r="F673" s="6" t="s">
        <v>60</v>
      </c>
      <c r="G673" s="6" t="n">
        <v>43</v>
      </c>
      <c r="H673" s="6" t="n">
        <v>3040700</v>
      </c>
      <c r="I673" s="6" t="n">
        <v>1606100</v>
      </c>
      <c r="J673" s="6" t="n">
        <v>20653800</v>
      </c>
      <c r="K673" s="6" t="n">
        <v>17613200</v>
      </c>
      <c r="L673" s="6" t="n">
        <v>43</v>
      </c>
      <c r="M673" s="6" t="n">
        <v>16</v>
      </c>
      <c r="N673" s="6" t="n">
        <v>26470.4</v>
      </c>
    </row>
    <row r="674" customFormat="false" ht="15" hidden="false" customHeight="false" outlineLevel="0" collapsed="false">
      <c r="A674" s="6" t="s">
        <v>30</v>
      </c>
      <c r="B674" s="6" t="s">
        <v>26</v>
      </c>
      <c r="C674" s="6" t="s">
        <v>52</v>
      </c>
      <c r="D674" s="6" t="s">
        <v>111</v>
      </c>
      <c r="E674" s="6" t="s">
        <v>60</v>
      </c>
      <c r="F674" s="6" t="s">
        <v>58</v>
      </c>
      <c r="G674" s="6" t="n">
        <v>14</v>
      </c>
      <c r="H674" s="6" t="n">
        <v>1529400</v>
      </c>
      <c r="I674" s="6" t="n">
        <v>624000</v>
      </c>
      <c r="J674" s="6" t="n">
        <v>8388900</v>
      </c>
      <c r="K674" s="6" t="n">
        <v>6859700</v>
      </c>
      <c r="L674" s="6" t="n">
        <v>14</v>
      </c>
      <c r="M674" s="6" t="n">
        <v>8</v>
      </c>
      <c r="N674" s="6" t="n">
        <v>6684.7</v>
      </c>
    </row>
    <row r="675" customFormat="false" ht="15" hidden="false" customHeight="false" outlineLevel="0" collapsed="false">
      <c r="A675" s="6" t="s">
        <v>30</v>
      </c>
      <c r="B675" s="6" t="s">
        <v>26</v>
      </c>
      <c r="C675" s="6" t="s">
        <v>52</v>
      </c>
      <c r="D675" s="6" t="s">
        <v>111</v>
      </c>
      <c r="E675" s="6" t="s">
        <v>60</v>
      </c>
      <c r="F675" s="6" t="s">
        <v>60</v>
      </c>
      <c r="G675" s="6" t="n">
        <v>38</v>
      </c>
      <c r="H675" s="6" t="n">
        <v>2775600</v>
      </c>
      <c r="I675" s="6" t="n">
        <v>1138900</v>
      </c>
      <c r="J675" s="6" t="n">
        <v>20115400</v>
      </c>
      <c r="K675" s="6" t="n">
        <v>17340000</v>
      </c>
      <c r="L675" s="6" t="n">
        <v>38</v>
      </c>
      <c r="M675" s="6" t="n">
        <v>19</v>
      </c>
      <c r="N675" s="6" t="n">
        <v>24664.1</v>
      </c>
    </row>
    <row r="676" customFormat="false" ht="15" hidden="false" customHeight="false" outlineLevel="0" collapsed="false">
      <c r="A676" s="6" t="s">
        <v>30</v>
      </c>
      <c r="B676" s="6" t="s">
        <v>26</v>
      </c>
      <c r="C676" s="6" t="s">
        <v>52</v>
      </c>
      <c r="D676" s="6" t="s">
        <v>112</v>
      </c>
      <c r="E676" s="6" t="s">
        <v>58</v>
      </c>
      <c r="F676" s="6" t="s">
        <v>58</v>
      </c>
      <c r="G676" s="6" t="n">
        <v>16</v>
      </c>
      <c r="H676" s="6" t="n">
        <v>1794300</v>
      </c>
      <c r="I676" s="6" t="n">
        <v>681900</v>
      </c>
      <c r="J676" s="6" t="n">
        <v>8999500</v>
      </c>
      <c r="K676" s="6" t="n">
        <v>7205100</v>
      </c>
      <c r="L676" s="6" t="n">
        <v>16</v>
      </c>
      <c r="M676" s="6" t="n">
        <v>7</v>
      </c>
      <c r="N676" s="6" t="n">
        <v>6552.1</v>
      </c>
    </row>
    <row r="677" customFormat="false" ht="15" hidden="false" customHeight="false" outlineLevel="0" collapsed="false">
      <c r="A677" s="6" t="s">
        <v>30</v>
      </c>
      <c r="B677" s="6" t="s">
        <v>26</v>
      </c>
      <c r="C677" s="6" t="s">
        <v>52</v>
      </c>
      <c r="D677" s="6" t="s">
        <v>112</v>
      </c>
      <c r="E677" s="6" t="s">
        <v>58</v>
      </c>
      <c r="F677" s="6" t="s">
        <v>60</v>
      </c>
      <c r="G677" s="6" t="n">
        <v>34</v>
      </c>
      <c r="H677" s="6" t="n">
        <v>2635000</v>
      </c>
      <c r="I677" s="6" t="n">
        <v>1356900</v>
      </c>
      <c r="J677" s="6" t="n">
        <v>16958900</v>
      </c>
      <c r="K677" s="6" t="n">
        <v>14323900</v>
      </c>
      <c r="L677" s="6" t="n">
        <v>34</v>
      </c>
      <c r="M677" s="6" t="n">
        <v>13</v>
      </c>
      <c r="N677" s="6" t="n">
        <v>19339.5</v>
      </c>
    </row>
    <row r="678" customFormat="false" ht="15" hidden="false" customHeight="false" outlineLevel="0" collapsed="false">
      <c r="A678" s="6" t="s">
        <v>30</v>
      </c>
      <c r="B678" s="6" t="s">
        <v>26</v>
      </c>
      <c r="C678" s="6" t="s">
        <v>52</v>
      </c>
      <c r="D678" s="6" t="s">
        <v>112</v>
      </c>
      <c r="E678" s="6" t="s">
        <v>60</v>
      </c>
      <c r="F678" s="6" t="s">
        <v>58</v>
      </c>
      <c r="G678" s="6" t="n">
        <v>20</v>
      </c>
      <c r="H678" s="6" t="n">
        <v>2395200</v>
      </c>
      <c r="I678" s="6" t="n">
        <v>1150000</v>
      </c>
      <c r="J678" s="6" t="n">
        <v>10911000</v>
      </c>
      <c r="K678" s="6" t="n">
        <v>8516100</v>
      </c>
      <c r="L678" s="6" t="n">
        <v>20</v>
      </c>
      <c r="M678" s="6" t="n">
        <v>6</v>
      </c>
      <c r="N678" s="6" t="n">
        <v>7527.7</v>
      </c>
    </row>
    <row r="679" customFormat="false" ht="15" hidden="false" customHeight="false" outlineLevel="0" collapsed="false">
      <c r="A679" s="6" t="s">
        <v>30</v>
      </c>
      <c r="B679" s="6" t="s">
        <v>26</v>
      </c>
      <c r="C679" s="6" t="s">
        <v>52</v>
      </c>
      <c r="D679" s="6" t="s">
        <v>112</v>
      </c>
      <c r="E679" s="6" t="s">
        <v>60</v>
      </c>
      <c r="F679" s="6" t="s">
        <v>60</v>
      </c>
      <c r="G679" s="6" t="n">
        <v>50</v>
      </c>
      <c r="H679" s="6" t="n">
        <v>3702300</v>
      </c>
      <c r="I679" s="6" t="n">
        <v>1412400</v>
      </c>
      <c r="J679" s="6" t="n">
        <v>27959600</v>
      </c>
      <c r="K679" s="6" t="n">
        <v>24257100</v>
      </c>
      <c r="L679" s="6" t="n">
        <v>50</v>
      </c>
      <c r="M679" s="6" t="n">
        <v>28</v>
      </c>
      <c r="N679" s="6" t="n">
        <v>34061</v>
      </c>
    </row>
    <row r="680" customFormat="false" ht="15" hidden="false" customHeight="false" outlineLevel="0" collapsed="false">
      <c r="A680" s="6" t="s">
        <v>30</v>
      </c>
      <c r="B680" s="6" t="s">
        <v>26</v>
      </c>
      <c r="C680" s="6" t="s">
        <v>52</v>
      </c>
      <c r="D680" s="6" t="s">
        <v>113</v>
      </c>
      <c r="E680" s="6" t="s">
        <v>58</v>
      </c>
      <c r="F680" s="6" t="s">
        <v>58</v>
      </c>
      <c r="G680" s="6" t="n">
        <v>26</v>
      </c>
      <c r="H680" s="6" t="n">
        <v>3083300</v>
      </c>
      <c r="I680" s="6" t="n">
        <v>1433700</v>
      </c>
      <c r="J680" s="6" t="n">
        <v>12042600</v>
      </c>
      <c r="K680" s="6" t="n">
        <v>8959300</v>
      </c>
      <c r="L680" s="6" t="n">
        <v>26</v>
      </c>
      <c r="M680" s="6" t="n">
        <v>6</v>
      </c>
      <c r="N680" s="6" t="n">
        <v>7807.1</v>
      </c>
    </row>
    <row r="681" customFormat="false" ht="15" hidden="false" customHeight="false" outlineLevel="0" collapsed="false">
      <c r="A681" s="6" t="s">
        <v>30</v>
      </c>
      <c r="B681" s="6" t="s">
        <v>26</v>
      </c>
      <c r="C681" s="6" t="s">
        <v>52</v>
      </c>
      <c r="D681" s="6" t="s">
        <v>113</v>
      </c>
      <c r="E681" s="6" t="s">
        <v>58</v>
      </c>
      <c r="F681" s="6" t="s">
        <v>60</v>
      </c>
      <c r="G681" s="6" t="n">
        <v>61</v>
      </c>
      <c r="H681" s="6" t="n">
        <v>4422900</v>
      </c>
      <c r="I681" s="6" t="n">
        <v>2144600</v>
      </c>
      <c r="J681" s="6" t="n">
        <v>30161500</v>
      </c>
      <c r="K681" s="6" t="n">
        <v>25738500</v>
      </c>
      <c r="L681" s="6" t="n">
        <v>61</v>
      </c>
      <c r="M681" s="6" t="n">
        <v>25</v>
      </c>
      <c r="N681" s="6" t="n">
        <v>36975.7</v>
      </c>
    </row>
    <row r="682" customFormat="false" ht="15" hidden="false" customHeight="false" outlineLevel="0" collapsed="false">
      <c r="A682" s="6" t="s">
        <v>30</v>
      </c>
      <c r="B682" s="6" t="s">
        <v>26</v>
      </c>
      <c r="C682" s="6" t="s">
        <v>52</v>
      </c>
      <c r="D682" s="6" t="s">
        <v>113</v>
      </c>
      <c r="E682" s="6" t="s">
        <v>60</v>
      </c>
      <c r="F682" s="6" t="s">
        <v>58</v>
      </c>
      <c r="G682" s="6" t="n">
        <v>28</v>
      </c>
      <c r="H682" s="6" t="n">
        <v>2979100</v>
      </c>
      <c r="I682" s="6" t="n">
        <v>1102200</v>
      </c>
      <c r="J682" s="6" t="n">
        <v>13496200</v>
      </c>
      <c r="K682" s="6" t="n">
        <v>10517000</v>
      </c>
      <c r="L682" s="6" t="n">
        <v>28</v>
      </c>
      <c r="M682" s="6" t="n">
        <v>9</v>
      </c>
      <c r="N682" s="6" t="n">
        <v>10293.9</v>
      </c>
    </row>
    <row r="683" customFormat="false" ht="15" hidden="false" customHeight="false" outlineLevel="0" collapsed="false">
      <c r="A683" s="6" t="s">
        <v>30</v>
      </c>
      <c r="B683" s="6" t="s">
        <v>26</v>
      </c>
      <c r="C683" s="6" t="s">
        <v>52</v>
      </c>
      <c r="D683" s="6" t="s">
        <v>113</v>
      </c>
      <c r="E683" s="6" t="s">
        <v>60</v>
      </c>
      <c r="F683" s="6" t="s">
        <v>60</v>
      </c>
      <c r="G683" s="6" t="n">
        <v>58</v>
      </c>
      <c r="H683" s="6" t="n">
        <v>4448600</v>
      </c>
      <c r="I683" s="6" t="n">
        <v>1610400</v>
      </c>
      <c r="J683" s="6" t="n">
        <v>37564200</v>
      </c>
      <c r="K683" s="6" t="n">
        <v>33115300</v>
      </c>
      <c r="L683" s="6" t="n">
        <v>58</v>
      </c>
      <c r="M683" s="6" t="n">
        <v>37</v>
      </c>
      <c r="N683" s="6" t="n">
        <v>44380.8</v>
      </c>
    </row>
    <row r="684" customFormat="false" ht="15" hidden="false" customHeight="false" outlineLevel="0" collapsed="false">
      <c r="A684" s="6" t="s">
        <v>30</v>
      </c>
      <c r="B684" s="6" t="s">
        <v>26</v>
      </c>
      <c r="C684" s="6" t="s">
        <v>52</v>
      </c>
      <c r="D684" s="6" t="s">
        <v>114</v>
      </c>
      <c r="E684" s="6" t="s">
        <v>58</v>
      </c>
      <c r="F684" s="6" t="s">
        <v>58</v>
      </c>
      <c r="G684" s="6" t="n">
        <v>15</v>
      </c>
      <c r="H684" s="6" t="n">
        <v>1536700</v>
      </c>
      <c r="I684" s="6" t="n">
        <v>695800</v>
      </c>
      <c r="J684" s="6" t="n">
        <v>7901500</v>
      </c>
      <c r="K684" s="6" t="n">
        <v>6365100</v>
      </c>
      <c r="L684" s="6" t="n">
        <v>15</v>
      </c>
      <c r="M684" s="6" t="n">
        <v>7</v>
      </c>
      <c r="N684" s="6" t="n">
        <v>6555.7</v>
      </c>
    </row>
    <row r="685" customFormat="false" ht="15" hidden="false" customHeight="false" outlineLevel="0" collapsed="false">
      <c r="A685" s="6" t="s">
        <v>30</v>
      </c>
      <c r="B685" s="6" t="s">
        <v>26</v>
      </c>
      <c r="C685" s="6" t="s">
        <v>52</v>
      </c>
      <c r="D685" s="6" t="s">
        <v>114</v>
      </c>
      <c r="E685" s="6" t="s">
        <v>58</v>
      </c>
      <c r="F685" s="6" t="s">
        <v>60</v>
      </c>
      <c r="G685" s="6" t="n">
        <v>44</v>
      </c>
      <c r="H685" s="6" t="n">
        <v>3333000</v>
      </c>
      <c r="I685" s="6" t="n">
        <v>1315300</v>
      </c>
      <c r="J685" s="6" t="n">
        <v>24220300</v>
      </c>
      <c r="K685" s="6" t="n">
        <v>20887000</v>
      </c>
      <c r="L685" s="6" t="n">
        <v>44</v>
      </c>
      <c r="M685" s="6" t="n">
        <v>18</v>
      </c>
      <c r="N685" s="6" t="n">
        <v>28420.7</v>
      </c>
    </row>
    <row r="686" customFormat="false" ht="15" hidden="false" customHeight="false" outlineLevel="0" collapsed="false">
      <c r="A686" s="6" t="s">
        <v>30</v>
      </c>
      <c r="B686" s="6" t="s">
        <v>26</v>
      </c>
      <c r="C686" s="6" t="s">
        <v>52</v>
      </c>
      <c r="D686" s="6" t="s">
        <v>114</v>
      </c>
      <c r="E686" s="6" t="s">
        <v>60</v>
      </c>
      <c r="F686" s="6" t="s">
        <v>58</v>
      </c>
      <c r="G686" s="6" t="n">
        <v>16</v>
      </c>
      <c r="H686" s="6" t="n">
        <v>1602000</v>
      </c>
      <c r="I686" s="6" t="n">
        <v>570500</v>
      </c>
      <c r="J686" s="6" t="n">
        <v>10272500</v>
      </c>
      <c r="K686" s="6" t="n">
        <v>8670400</v>
      </c>
      <c r="L686" s="6" t="n">
        <v>16</v>
      </c>
      <c r="M686" s="6" t="n">
        <v>13</v>
      </c>
      <c r="N686" s="6" t="n">
        <v>8706.6</v>
      </c>
    </row>
    <row r="687" customFormat="false" ht="15" hidden="false" customHeight="false" outlineLevel="0" collapsed="false">
      <c r="A687" s="6" t="s">
        <v>30</v>
      </c>
      <c r="B687" s="6" t="s">
        <v>26</v>
      </c>
      <c r="C687" s="6" t="s">
        <v>52</v>
      </c>
      <c r="D687" s="6" t="s">
        <v>114</v>
      </c>
      <c r="E687" s="6" t="s">
        <v>60</v>
      </c>
      <c r="F687" s="6" t="s">
        <v>60</v>
      </c>
      <c r="G687" s="6" t="n">
        <v>39</v>
      </c>
      <c r="H687" s="6" t="n">
        <v>2810200</v>
      </c>
      <c r="I687" s="6" t="n">
        <v>1118100</v>
      </c>
      <c r="J687" s="6" t="n">
        <v>22149900</v>
      </c>
      <c r="K687" s="6" t="n">
        <v>19339800</v>
      </c>
      <c r="L687" s="6" t="n">
        <v>39</v>
      </c>
      <c r="M687" s="6" t="n">
        <v>22</v>
      </c>
      <c r="N687" s="6" t="n">
        <v>27679.3</v>
      </c>
    </row>
    <row r="688" customFormat="false" ht="15" hidden="false" customHeight="false" outlineLevel="0" collapsed="false">
      <c r="A688" s="6" t="s">
        <v>30</v>
      </c>
      <c r="B688" s="6" t="s">
        <v>26</v>
      </c>
      <c r="C688" s="6" t="s">
        <v>53</v>
      </c>
      <c r="D688" s="6" t="s">
        <v>111</v>
      </c>
      <c r="E688" s="6" t="s">
        <v>58</v>
      </c>
      <c r="F688" s="6" t="s">
        <v>58</v>
      </c>
      <c r="G688" s="6" t="n">
        <v>13</v>
      </c>
      <c r="H688" s="6" t="n">
        <v>988800</v>
      </c>
      <c r="I688" s="6" t="n">
        <v>380300</v>
      </c>
      <c r="J688" s="6" t="n">
        <v>4989200</v>
      </c>
      <c r="K688" s="6" t="n">
        <v>4000500</v>
      </c>
      <c r="L688" s="6" t="n">
        <v>13</v>
      </c>
      <c r="M688" s="6" t="n">
        <v>1</v>
      </c>
      <c r="N688" s="6" t="n">
        <v>5502.2</v>
      </c>
    </row>
    <row r="689" customFormat="false" ht="15" hidden="false" customHeight="false" outlineLevel="0" collapsed="false">
      <c r="A689" s="6" t="s">
        <v>30</v>
      </c>
      <c r="B689" s="6" t="s">
        <v>26</v>
      </c>
      <c r="C689" s="6" t="s">
        <v>53</v>
      </c>
      <c r="D689" s="6" t="s">
        <v>111</v>
      </c>
      <c r="E689" s="6" t="s">
        <v>58</v>
      </c>
      <c r="F689" s="6" t="s">
        <v>60</v>
      </c>
      <c r="G689" s="6" t="n">
        <v>37</v>
      </c>
      <c r="H689" s="6" t="n">
        <v>2199900</v>
      </c>
      <c r="I689" s="6" t="n">
        <v>949200</v>
      </c>
      <c r="J689" s="6" t="n">
        <v>16287100</v>
      </c>
      <c r="K689" s="6" t="n">
        <v>14087200</v>
      </c>
      <c r="L689" s="6" t="n">
        <v>37</v>
      </c>
      <c r="M689" s="6" t="n">
        <v>15</v>
      </c>
      <c r="N689" s="6" t="n">
        <v>24188.9</v>
      </c>
    </row>
    <row r="690" customFormat="false" ht="15" hidden="false" customHeight="false" outlineLevel="0" collapsed="false">
      <c r="A690" s="6" t="s">
        <v>30</v>
      </c>
      <c r="B690" s="6" t="s">
        <v>26</v>
      </c>
      <c r="C690" s="6" t="s">
        <v>53</v>
      </c>
      <c r="D690" s="6" t="s">
        <v>111</v>
      </c>
      <c r="E690" s="6" t="s">
        <v>60</v>
      </c>
      <c r="F690" s="6" t="s">
        <v>58</v>
      </c>
      <c r="G690" s="6" t="n">
        <v>21</v>
      </c>
      <c r="H690" s="6" t="n">
        <v>1824000</v>
      </c>
      <c r="I690" s="6" t="n">
        <v>732100</v>
      </c>
      <c r="J690" s="6" t="n">
        <v>9348600</v>
      </c>
      <c r="K690" s="6" t="n">
        <v>7524400</v>
      </c>
      <c r="L690" s="6" t="n">
        <v>21</v>
      </c>
      <c r="M690" s="6" t="n">
        <v>6</v>
      </c>
      <c r="N690" s="6" t="n">
        <v>9172.3</v>
      </c>
    </row>
    <row r="691" customFormat="false" ht="15" hidden="false" customHeight="false" outlineLevel="0" collapsed="false">
      <c r="A691" s="6" t="s">
        <v>30</v>
      </c>
      <c r="B691" s="6" t="s">
        <v>26</v>
      </c>
      <c r="C691" s="6" t="s">
        <v>53</v>
      </c>
      <c r="D691" s="6" t="s">
        <v>111</v>
      </c>
      <c r="E691" s="6" t="s">
        <v>60</v>
      </c>
      <c r="F691" s="6" t="s">
        <v>60</v>
      </c>
      <c r="G691" s="6" t="n">
        <v>43</v>
      </c>
      <c r="H691" s="6" t="n">
        <v>2451500</v>
      </c>
      <c r="I691" s="6" t="n">
        <v>1210500</v>
      </c>
      <c r="J691" s="6" t="n">
        <v>20901000</v>
      </c>
      <c r="K691" s="6" t="n">
        <v>18450200</v>
      </c>
      <c r="L691" s="6" t="n">
        <v>43</v>
      </c>
      <c r="M691" s="6" t="n">
        <v>20</v>
      </c>
      <c r="N691" s="6" t="n">
        <v>34047.9</v>
      </c>
    </row>
    <row r="692" customFormat="false" ht="15" hidden="false" customHeight="false" outlineLevel="0" collapsed="false">
      <c r="A692" s="6" t="s">
        <v>30</v>
      </c>
      <c r="B692" s="6" t="s">
        <v>26</v>
      </c>
      <c r="C692" s="6" t="s">
        <v>53</v>
      </c>
      <c r="D692" s="6" t="s">
        <v>112</v>
      </c>
      <c r="E692" s="6" t="s">
        <v>58</v>
      </c>
      <c r="F692" s="6" t="s">
        <v>58</v>
      </c>
      <c r="G692" s="6" t="n">
        <v>22</v>
      </c>
      <c r="H692" s="6" t="n">
        <v>1692100</v>
      </c>
      <c r="I692" s="6" t="n">
        <v>759900</v>
      </c>
      <c r="J692" s="6" t="n">
        <v>10411700</v>
      </c>
      <c r="K692" s="6" t="n">
        <v>8719400</v>
      </c>
      <c r="L692" s="6" t="n">
        <v>22</v>
      </c>
      <c r="M692" s="6" t="n">
        <v>8</v>
      </c>
      <c r="N692" s="6" t="n">
        <v>11693.3</v>
      </c>
    </row>
    <row r="693" customFormat="false" ht="15" hidden="false" customHeight="false" outlineLevel="0" collapsed="false">
      <c r="A693" s="6" t="s">
        <v>30</v>
      </c>
      <c r="B693" s="6" t="s">
        <v>26</v>
      </c>
      <c r="C693" s="6" t="s">
        <v>53</v>
      </c>
      <c r="D693" s="6" t="s">
        <v>112</v>
      </c>
      <c r="E693" s="6" t="s">
        <v>58</v>
      </c>
      <c r="F693" s="6" t="s">
        <v>60</v>
      </c>
      <c r="G693" s="6" t="n">
        <v>48</v>
      </c>
      <c r="H693" s="6" t="n">
        <v>2846900</v>
      </c>
      <c r="I693" s="6" t="n">
        <v>1425900</v>
      </c>
      <c r="J693" s="6" t="n">
        <v>22786100</v>
      </c>
      <c r="K693" s="6" t="n">
        <v>19939500</v>
      </c>
      <c r="L693" s="6" t="n">
        <v>48</v>
      </c>
      <c r="M693" s="6" t="n">
        <v>17</v>
      </c>
      <c r="N693" s="6" t="n">
        <v>35126</v>
      </c>
    </row>
    <row r="694" customFormat="false" ht="15" hidden="false" customHeight="false" outlineLevel="0" collapsed="false">
      <c r="A694" s="6" t="s">
        <v>30</v>
      </c>
      <c r="B694" s="6" t="s">
        <v>26</v>
      </c>
      <c r="C694" s="6" t="s">
        <v>53</v>
      </c>
      <c r="D694" s="6" t="s">
        <v>112</v>
      </c>
      <c r="E694" s="6" t="s">
        <v>60</v>
      </c>
      <c r="F694" s="6" t="s">
        <v>58</v>
      </c>
      <c r="G694" s="6" t="n">
        <v>17</v>
      </c>
      <c r="H694" s="6" t="n">
        <v>1426300</v>
      </c>
      <c r="I694" s="6" t="n">
        <v>819100</v>
      </c>
      <c r="J694" s="6" t="n">
        <v>7903300</v>
      </c>
      <c r="K694" s="6" t="n">
        <v>6477100</v>
      </c>
      <c r="L694" s="6" t="n">
        <v>17</v>
      </c>
      <c r="M694" s="6" t="n">
        <v>8</v>
      </c>
      <c r="N694" s="6" t="n">
        <v>8156.8</v>
      </c>
    </row>
    <row r="695" customFormat="false" ht="15" hidden="false" customHeight="false" outlineLevel="0" collapsed="false">
      <c r="A695" s="6" t="s">
        <v>30</v>
      </c>
      <c r="B695" s="6" t="s">
        <v>26</v>
      </c>
      <c r="C695" s="6" t="s">
        <v>53</v>
      </c>
      <c r="D695" s="6" t="s">
        <v>112</v>
      </c>
      <c r="E695" s="6" t="s">
        <v>60</v>
      </c>
      <c r="F695" s="6" t="s">
        <v>60</v>
      </c>
      <c r="G695" s="6" t="n">
        <v>35</v>
      </c>
      <c r="H695" s="6" t="n">
        <v>2078100</v>
      </c>
      <c r="I695" s="6" t="n">
        <v>974500</v>
      </c>
      <c r="J695" s="6" t="n">
        <v>17195700</v>
      </c>
      <c r="K695" s="6" t="n">
        <v>15117600</v>
      </c>
      <c r="L695" s="6" t="n">
        <v>35</v>
      </c>
      <c r="M695" s="6" t="n">
        <v>16</v>
      </c>
      <c r="N695" s="6" t="n">
        <v>27185.3</v>
      </c>
    </row>
    <row r="696" customFormat="false" ht="15" hidden="false" customHeight="false" outlineLevel="0" collapsed="false">
      <c r="A696" s="6" t="s">
        <v>30</v>
      </c>
      <c r="B696" s="6" t="s">
        <v>26</v>
      </c>
      <c r="C696" s="6" t="s">
        <v>53</v>
      </c>
      <c r="D696" s="6" t="s">
        <v>113</v>
      </c>
      <c r="E696" s="6" t="s">
        <v>58</v>
      </c>
      <c r="F696" s="6" t="s">
        <v>58</v>
      </c>
      <c r="G696" s="6" t="n">
        <v>25</v>
      </c>
      <c r="H696" s="6" t="n">
        <v>2045600</v>
      </c>
      <c r="I696" s="6" t="n">
        <v>1038500</v>
      </c>
      <c r="J696" s="6" t="n">
        <v>9489400</v>
      </c>
      <c r="K696" s="6" t="n">
        <v>7444000</v>
      </c>
      <c r="L696" s="6" t="n">
        <v>25</v>
      </c>
      <c r="M696" s="6" t="n">
        <v>4</v>
      </c>
      <c r="N696" s="6" t="n">
        <v>9282.5</v>
      </c>
    </row>
    <row r="697" customFormat="false" ht="15" hidden="false" customHeight="false" outlineLevel="0" collapsed="false">
      <c r="A697" s="6" t="s">
        <v>30</v>
      </c>
      <c r="B697" s="6" t="s">
        <v>26</v>
      </c>
      <c r="C697" s="6" t="s">
        <v>53</v>
      </c>
      <c r="D697" s="6" t="s">
        <v>113</v>
      </c>
      <c r="E697" s="6" t="s">
        <v>58</v>
      </c>
      <c r="F697" s="6" t="s">
        <v>60</v>
      </c>
      <c r="G697" s="6" t="n">
        <v>53</v>
      </c>
      <c r="H697" s="6" t="n">
        <v>3019300</v>
      </c>
      <c r="I697" s="6" t="n">
        <v>1168700</v>
      </c>
      <c r="J697" s="6" t="n">
        <v>23818300</v>
      </c>
      <c r="K697" s="6" t="n">
        <v>20799200</v>
      </c>
      <c r="L697" s="6" t="n">
        <v>53</v>
      </c>
      <c r="M697" s="6" t="n">
        <v>17</v>
      </c>
      <c r="N697" s="6" t="n">
        <v>38126.7</v>
      </c>
    </row>
    <row r="698" customFormat="false" ht="15" hidden="false" customHeight="false" outlineLevel="0" collapsed="false">
      <c r="A698" s="6" t="s">
        <v>30</v>
      </c>
      <c r="B698" s="6" t="s">
        <v>26</v>
      </c>
      <c r="C698" s="6" t="s">
        <v>53</v>
      </c>
      <c r="D698" s="6" t="s">
        <v>113</v>
      </c>
      <c r="E698" s="6" t="s">
        <v>60</v>
      </c>
      <c r="F698" s="6" t="s">
        <v>58</v>
      </c>
      <c r="G698" s="6" t="n">
        <v>28</v>
      </c>
      <c r="H698" s="6" t="n">
        <v>2192800</v>
      </c>
      <c r="I698" s="6" t="n">
        <v>968600</v>
      </c>
      <c r="J698" s="6" t="n">
        <v>11807800</v>
      </c>
      <c r="K698" s="6" t="n">
        <v>9615100</v>
      </c>
      <c r="L698" s="6" t="n">
        <v>28</v>
      </c>
      <c r="M698" s="6" t="n">
        <v>6</v>
      </c>
      <c r="N698" s="6" t="n">
        <v>12729.8</v>
      </c>
    </row>
    <row r="699" customFormat="false" ht="15" hidden="false" customHeight="false" outlineLevel="0" collapsed="false">
      <c r="A699" s="6" t="s">
        <v>30</v>
      </c>
      <c r="B699" s="6" t="s">
        <v>26</v>
      </c>
      <c r="C699" s="6" t="s">
        <v>53</v>
      </c>
      <c r="D699" s="6" t="s">
        <v>113</v>
      </c>
      <c r="E699" s="6" t="s">
        <v>60</v>
      </c>
      <c r="F699" s="6" t="s">
        <v>60</v>
      </c>
      <c r="G699" s="6" t="n">
        <v>44</v>
      </c>
      <c r="H699" s="6" t="n">
        <v>2586100</v>
      </c>
      <c r="I699" s="6" t="n">
        <v>1038800</v>
      </c>
      <c r="J699" s="6" t="n">
        <v>20878000</v>
      </c>
      <c r="K699" s="6" t="n">
        <v>18291700</v>
      </c>
      <c r="L699" s="6" t="n">
        <v>44</v>
      </c>
      <c r="M699" s="6" t="n">
        <v>23</v>
      </c>
      <c r="N699" s="6" t="n">
        <v>32853.7</v>
      </c>
    </row>
    <row r="700" customFormat="false" ht="15" hidden="false" customHeight="false" outlineLevel="0" collapsed="false">
      <c r="A700" s="6" t="s">
        <v>30</v>
      </c>
      <c r="B700" s="6" t="s">
        <v>26</v>
      </c>
      <c r="C700" s="6" t="s">
        <v>53</v>
      </c>
      <c r="D700" s="6" t="s">
        <v>114</v>
      </c>
      <c r="E700" s="6" t="s">
        <v>58</v>
      </c>
      <c r="F700" s="6" t="s">
        <v>58</v>
      </c>
      <c r="G700" s="6" t="n">
        <v>23</v>
      </c>
      <c r="H700" s="6" t="n">
        <v>1929900</v>
      </c>
      <c r="I700" s="6" t="n">
        <v>758500</v>
      </c>
      <c r="J700" s="6" t="n">
        <v>9571400</v>
      </c>
      <c r="K700" s="6" t="n">
        <v>7641700</v>
      </c>
      <c r="L700" s="6" t="n">
        <v>23</v>
      </c>
      <c r="M700" s="6" t="n">
        <v>6</v>
      </c>
      <c r="N700" s="6" t="n">
        <v>9450.7</v>
      </c>
    </row>
    <row r="701" customFormat="false" ht="15" hidden="false" customHeight="false" outlineLevel="0" collapsed="false">
      <c r="A701" s="6" t="s">
        <v>30</v>
      </c>
      <c r="B701" s="6" t="s">
        <v>26</v>
      </c>
      <c r="C701" s="6" t="s">
        <v>53</v>
      </c>
      <c r="D701" s="6" t="s">
        <v>114</v>
      </c>
      <c r="E701" s="6" t="s">
        <v>58</v>
      </c>
      <c r="F701" s="6" t="s">
        <v>60</v>
      </c>
      <c r="G701" s="6" t="n">
        <v>31</v>
      </c>
      <c r="H701" s="6" t="n">
        <v>1884800</v>
      </c>
      <c r="I701" s="6" t="n">
        <v>740100</v>
      </c>
      <c r="J701" s="6" t="n">
        <v>14433300</v>
      </c>
      <c r="K701" s="6" t="n">
        <v>12548400</v>
      </c>
      <c r="L701" s="6" t="n">
        <v>31</v>
      </c>
      <c r="M701" s="6" t="n">
        <v>9</v>
      </c>
      <c r="N701" s="6" t="n">
        <v>21720</v>
      </c>
    </row>
    <row r="702" customFormat="false" ht="15" hidden="false" customHeight="false" outlineLevel="0" collapsed="false">
      <c r="A702" s="6" t="s">
        <v>30</v>
      </c>
      <c r="B702" s="6" t="s">
        <v>26</v>
      </c>
      <c r="C702" s="6" t="s">
        <v>53</v>
      </c>
      <c r="D702" s="6" t="s">
        <v>114</v>
      </c>
      <c r="E702" s="6" t="s">
        <v>60</v>
      </c>
      <c r="F702" s="6" t="s">
        <v>58</v>
      </c>
      <c r="G702" s="6" t="n">
        <v>8</v>
      </c>
      <c r="H702" s="6" t="n">
        <v>658300</v>
      </c>
      <c r="I702" s="6" t="n">
        <v>402500</v>
      </c>
      <c r="J702" s="6" t="n">
        <v>3105800</v>
      </c>
      <c r="K702" s="6" t="n">
        <v>2447700</v>
      </c>
      <c r="L702" s="6" t="n">
        <v>8</v>
      </c>
      <c r="M702" s="6" t="n">
        <v>1</v>
      </c>
      <c r="N702" s="6" t="n">
        <v>3284.3</v>
      </c>
    </row>
    <row r="703" customFormat="false" ht="15" hidden="false" customHeight="false" outlineLevel="0" collapsed="false">
      <c r="A703" s="6" t="s">
        <v>30</v>
      </c>
      <c r="B703" s="6" t="s">
        <v>26</v>
      </c>
      <c r="C703" s="6" t="s">
        <v>53</v>
      </c>
      <c r="D703" s="6" t="s">
        <v>114</v>
      </c>
      <c r="E703" s="6" t="s">
        <v>60</v>
      </c>
      <c r="F703" s="6" t="s">
        <v>60</v>
      </c>
      <c r="G703" s="6" t="n">
        <v>27</v>
      </c>
      <c r="H703" s="6" t="n">
        <v>1613500</v>
      </c>
      <c r="I703" s="6" t="n">
        <v>777400</v>
      </c>
      <c r="J703" s="6" t="n">
        <v>14709300</v>
      </c>
      <c r="K703" s="6" t="n">
        <v>13095900</v>
      </c>
      <c r="L703" s="6" t="n">
        <v>27</v>
      </c>
      <c r="M703" s="6" t="n">
        <v>16</v>
      </c>
      <c r="N703" s="6" t="n">
        <v>22710.9</v>
      </c>
    </row>
    <row r="704" customFormat="false" ht="15" hidden="false" customHeight="false" outlineLevel="0" collapsed="false">
      <c r="A704" s="6" t="s">
        <v>30</v>
      </c>
      <c r="B704" s="6" t="s">
        <v>26</v>
      </c>
      <c r="C704" s="6" t="s">
        <v>51</v>
      </c>
      <c r="D704" s="6" t="s">
        <v>111</v>
      </c>
      <c r="E704" s="6" t="s">
        <v>58</v>
      </c>
      <c r="F704" s="6" t="s">
        <v>58</v>
      </c>
      <c r="G704" s="6" t="n">
        <v>18</v>
      </c>
      <c r="H704" s="6" t="n">
        <v>2037500</v>
      </c>
      <c r="I704" s="6" t="n">
        <v>827800</v>
      </c>
      <c r="J704" s="6" t="n">
        <v>10184300</v>
      </c>
      <c r="K704" s="6" t="n">
        <v>8146600</v>
      </c>
      <c r="L704" s="6" t="n">
        <v>18</v>
      </c>
      <c r="M704" s="6" t="n">
        <v>10</v>
      </c>
      <c r="N704" s="6" t="n">
        <v>7505.9</v>
      </c>
    </row>
    <row r="705" customFormat="false" ht="15" hidden="false" customHeight="false" outlineLevel="0" collapsed="false">
      <c r="A705" s="6" t="s">
        <v>30</v>
      </c>
      <c r="B705" s="6" t="s">
        <v>26</v>
      </c>
      <c r="C705" s="6" t="s">
        <v>51</v>
      </c>
      <c r="D705" s="6" t="s">
        <v>111</v>
      </c>
      <c r="E705" s="6" t="s">
        <v>58</v>
      </c>
      <c r="F705" s="6" t="s">
        <v>60</v>
      </c>
      <c r="G705" s="6" t="n">
        <v>22</v>
      </c>
      <c r="H705" s="6" t="n">
        <v>1720900</v>
      </c>
      <c r="I705" s="6" t="n">
        <v>788300</v>
      </c>
      <c r="J705" s="6" t="n">
        <v>14794000</v>
      </c>
      <c r="K705" s="6" t="n">
        <v>13073400</v>
      </c>
      <c r="L705" s="6" t="n">
        <v>22</v>
      </c>
      <c r="M705" s="6" t="n">
        <v>12</v>
      </c>
      <c r="N705" s="6" t="n">
        <v>17461.2</v>
      </c>
    </row>
    <row r="706" customFormat="false" ht="15" hidden="false" customHeight="false" outlineLevel="0" collapsed="false">
      <c r="A706" s="6" t="s">
        <v>30</v>
      </c>
      <c r="B706" s="6" t="s">
        <v>26</v>
      </c>
      <c r="C706" s="6" t="s">
        <v>51</v>
      </c>
      <c r="D706" s="6" t="s">
        <v>111</v>
      </c>
      <c r="E706" s="6" t="s">
        <v>60</v>
      </c>
      <c r="F706" s="6" t="s">
        <v>58</v>
      </c>
      <c r="G706" s="6" t="n">
        <v>15</v>
      </c>
      <c r="H706" s="6" t="n">
        <v>1763400</v>
      </c>
      <c r="I706" s="6" t="n">
        <v>455400</v>
      </c>
      <c r="J706" s="6" t="n">
        <v>10697500</v>
      </c>
      <c r="K706" s="6" t="n">
        <v>8934000</v>
      </c>
      <c r="L706" s="6" t="n">
        <v>15</v>
      </c>
      <c r="M706" s="6" t="n">
        <v>9</v>
      </c>
      <c r="N706" s="6" t="n">
        <v>8189.3</v>
      </c>
    </row>
    <row r="707" customFormat="false" ht="15" hidden="false" customHeight="false" outlineLevel="0" collapsed="false">
      <c r="A707" s="6" t="s">
        <v>30</v>
      </c>
      <c r="B707" s="6" t="s">
        <v>26</v>
      </c>
      <c r="C707" s="6" t="s">
        <v>51</v>
      </c>
      <c r="D707" s="6" t="s">
        <v>111</v>
      </c>
      <c r="E707" s="6" t="s">
        <v>60</v>
      </c>
      <c r="F707" s="6" t="s">
        <v>60</v>
      </c>
      <c r="G707" s="6" t="n">
        <v>26</v>
      </c>
      <c r="H707" s="6" t="n">
        <v>2267500</v>
      </c>
      <c r="I707" s="6" t="n">
        <v>768400</v>
      </c>
      <c r="J707" s="6" t="n">
        <v>16527000</v>
      </c>
      <c r="K707" s="6" t="n">
        <v>14259300</v>
      </c>
      <c r="L707" s="6" t="n">
        <v>26</v>
      </c>
      <c r="M707" s="6" t="n">
        <v>17</v>
      </c>
      <c r="N707" s="6" t="n">
        <v>16960.8</v>
      </c>
    </row>
    <row r="708" customFormat="false" ht="15" hidden="false" customHeight="false" outlineLevel="0" collapsed="false">
      <c r="A708" s="6" t="s">
        <v>30</v>
      </c>
      <c r="B708" s="6" t="s">
        <v>26</v>
      </c>
      <c r="C708" s="6" t="s">
        <v>51</v>
      </c>
      <c r="D708" s="6" t="s">
        <v>112</v>
      </c>
      <c r="E708" s="6" t="s">
        <v>58</v>
      </c>
      <c r="F708" s="6" t="s">
        <v>58</v>
      </c>
      <c r="G708" s="6" t="n">
        <v>10</v>
      </c>
      <c r="H708" s="6" t="n">
        <v>1135500</v>
      </c>
      <c r="I708" s="6" t="n">
        <v>404000</v>
      </c>
      <c r="J708" s="6" t="n">
        <v>5951000</v>
      </c>
      <c r="K708" s="6" t="n">
        <v>4815700</v>
      </c>
      <c r="L708" s="6" t="n">
        <v>10</v>
      </c>
      <c r="M708" s="6" t="n">
        <v>5</v>
      </c>
      <c r="N708" s="6" t="n">
        <v>4573.7</v>
      </c>
    </row>
    <row r="709" customFormat="false" ht="15" hidden="false" customHeight="false" outlineLevel="0" collapsed="false">
      <c r="A709" s="6" t="s">
        <v>30</v>
      </c>
      <c r="B709" s="6" t="s">
        <v>26</v>
      </c>
      <c r="C709" s="6" t="s">
        <v>51</v>
      </c>
      <c r="D709" s="6" t="s">
        <v>112</v>
      </c>
      <c r="E709" s="6" t="s">
        <v>58</v>
      </c>
      <c r="F709" s="6" t="s">
        <v>60</v>
      </c>
      <c r="G709" s="6" t="n">
        <v>35</v>
      </c>
      <c r="H709" s="6" t="n">
        <v>2840300</v>
      </c>
      <c r="I709" s="6" t="n">
        <v>1010500</v>
      </c>
      <c r="J709" s="6" t="n">
        <v>23188200</v>
      </c>
      <c r="K709" s="6" t="n">
        <v>20347400</v>
      </c>
      <c r="L709" s="6" t="n">
        <v>35</v>
      </c>
      <c r="M709" s="6" t="n">
        <v>26</v>
      </c>
      <c r="N709" s="6" t="n">
        <v>26026.3</v>
      </c>
    </row>
    <row r="710" customFormat="false" ht="15" hidden="false" customHeight="false" outlineLevel="0" collapsed="false">
      <c r="A710" s="6" t="s">
        <v>30</v>
      </c>
      <c r="B710" s="6" t="s">
        <v>26</v>
      </c>
      <c r="C710" s="6" t="s">
        <v>51</v>
      </c>
      <c r="D710" s="6" t="s">
        <v>112</v>
      </c>
      <c r="E710" s="6" t="s">
        <v>60</v>
      </c>
      <c r="F710" s="6" t="s">
        <v>58</v>
      </c>
      <c r="G710" s="6" t="n">
        <v>16</v>
      </c>
      <c r="H710" s="6" t="n">
        <v>1875500</v>
      </c>
      <c r="I710" s="6" t="n">
        <v>872500</v>
      </c>
      <c r="J710" s="6" t="n">
        <v>10964500</v>
      </c>
      <c r="K710" s="6" t="n">
        <v>9088900</v>
      </c>
      <c r="L710" s="6" t="n">
        <v>16</v>
      </c>
      <c r="M710" s="6" t="n">
        <v>12</v>
      </c>
      <c r="N710" s="6" t="n">
        <v>8084.8</v>
      </c>
    </row>
    <row r="711" customFormat="false" ht="15" hidden="false" customHeight="false" outlineLevel="0" collapsed="false">
      <c r="A711" s="6" t="s">
        <v>30</v>
      </c>
      <c r="B711" s="6" t="s">
        <v>26</v>
      </c>
      <c r="C711" s="6" t="s">
        <v>51</v>
      </c>
      <c r="D711" s="6" t="s">
        <v>112</v>
      </c>
      <c r="E711" s="6" t="s">
        <v>60</v>
      </c>
      <c r="F711" s="6" t="s">
        <v>60</v>
      </c>
      <c r="G711" s="6" t="n">
        <v>28</v>
      </c>
      <c r="H711" s="6" t="n">
        <v>2276600</v>
      </c>
      <c r="I711" s="6" t="n">
        <v>675100</v>
      </c>
      <c r="J711" s="6" t="n">
        <v>18952800</v>
      </c>
      <c r="K711" s="6" t="n">
        <v>16676000</v>
      </c>
      <c r="L711" s="6" t="n">
        <v>28</v>
      </c>
      <c r="M711" s="6" t="n">
        <v>19</v>
      </c>
      <c r="N711" s="6" t="n">
        <v>20846.5</v>
      </c>
    </row>
    <row r="712" customFormat="false" ht="15" hidden="false" customHeight="false" outlineLevel="0" collapsed="false">
      <c r="A712" s="6" t="s">
        <v>30</v>
      </c>
      <c r="B712" s="6" t="s">
        <v>26</v>
      </c>
      <c r="C712" s="6" t="s">
        <v>51</v>
      </c>
      <c r="D712" s="6" t="s">
        <v>113</v>
      </c>
      <c r="E712" s="6" t="s">
        <v>58</v>
      </c>
      <c r="F712" s="6" t="s">
        <v>58</v>
      </c>
      <c r="G712" s="6" t="n">
        <v>15</v>
      </c>
      <c r="H712" s="6" t="n">
        <v>1662100</v>
      </c>
      <c r="I712" s="6" t="n">
        <v>692900</v>
      </c>
      <c r="J712" s="6" t="n">
        <v>9317300</v>
      </c>
      <c r="K712" s="6" t="n">
        <v>7655500</v>
      </c>
      <c r="L712" s="6" t="n">
        <v>15</v>
      </c>
      <c r="M712" s="6" t="n">
        <v>8</v>
      </c>
      <c r="N712" s="6" t="n">
        <v>7115.1</v>
      </c>
    </row>
    <row r="713" customFormat="false" ht="15" hidden="false" customHeight="false" outlineLevel="0" collapsed="false">
      <c r="A713" s="6" t="s">
        <v>30</v>
      </c>
      <c r="B713" s="6" t="s">
        <v>26</v>
      </c>
      <c r="C713" s="6" t="s">
        <v>51</v>
      </c>
      <c r="D713" s="6" t="s">
        <v>113</v>
      </c>
      <c r="E713" s="6" t="s">
        <v>58</v>
      </c>
      <c r="F713" s="6" t="s">
        <v>60</v>
      </c>
      <c r="G713" s="6" t="n">
        <v>28</v>
      </c>
      <c r="H713" s="6" t="n">
        <v>2326000</v>
      </c>
      <c r="I713" s="6" t="n">
        <v>955000</v>
      </c>
      <c r="J713" s="6" t="n">
        <v>18868100</v>
      </c>
      <c r="K713" s="6" t="n">
        <v>16542100</v>
      </c>
      <c r="L713" s="6" t="n">
        <v>28</v>
      </c>
      <c r="M713" s="6" t="n">
        <v>21</v>
      </c>
      <c r="N713" s="6" t="n">
        <v>21365.7</v>
      </c>
    </row>
    <row r="714" customFormat="false" ht="15" hidden="false" customHeight="false" outlineLevel="0" collapsed="false">
      <c r="A714" s="6" t="s">
        <v>30</v>
      </c>
      <c r="B714" s="6" t="s">
        <v>26</v>
      </c>
      <c r="C714" s="6" t="s">
        <v>51</v>
      </c>
      <c r="D714" s="6" t="s">
        <v>113</v>
      </c>
      <c r="E714" s="6" t="s">
        <v>60</v>
      </c>
      <c r="F714" s="6" t="s">
        <v>58</v>
      </c>
      <c r="G714" s="6" t="n">
        <v>18</v>
      </c>
      <c r="H714" s="6" t="n">
        <v>2052700</v>
      </c>
      <c r="I714" s="6" t="n">
        <v>692900</v>
      </c>
      <c r="J714" s="6" t="n">
        <v>13961800</v>
      </c>
      <c r="K714" s="6" t="n">
        <v>11909200</v>
      </c>
      <c r="L714" s="6" t="n">
        <v>18</v>
      </c>
      <c r="M714" s="6" t="n">
        <v>11</v>
      </c>
      <c r="N714" s="6" t="n">
        <v>11100.5</v>
      </c>
    </row>
    <row r="715" customFormat="false" ht="15" hidden="false" customHeight="false" outlineLevel="0" collapsed="false">
      <c r="A715" s="6" t="s">
        <v>30</v>
      </c>
      <c r="B715" s="6" t="s">
        <v>26</v>
      </c>
      <c r="C715" s="6" t="s">
        <v>51</v>
      </c>
      <c r="D715" s="6" t="s">
        <v>113</v>
      </c>
      <c r="E715" s="6" t="s">
        <v>60</v>
      </c>
      <c r="F715" s="6" t="s">
        <v>60</v>
      </c>
      <c r="G715" s="6" t="n">
        <v>28</v>
      </c>
      <c r="H715" s="6" t="n">
        <v>2411600</v>
      </c>
      <c r="I715" s="6" t="n">
        <v>1055600</v>
      </c>
      <c r="J715" s="6" t="n">
        <v>16876000</v>
      </c>
      <c r="K715" s="6" t="n">
        <v>14464500</v>
      </c>
      <c r="L715" s="6" t="n">
        <v>28</v>
      </c>
      <c r="M715" s="6" t="n">
        <v>15</v>
      </c>
      <c r="N715" s="6" t="n">
        <v>17952</v>
      </c>
    </row>
    <row r="716" customFormat="false" ht="15" hidden="false" customHeight="false" outlineLevel="0" collapsed="false">
      <c r="A716" s="6" t="s">
        <v>30</v>
      </c>
      <c r="B716" s="6" t="s">
        <v>26</v>
      </c>
      <c r="C716" s="6" t="s">
        <v>51</v>
      </c>
      <c r="D716" s="6" t="s">
        <v>114</v>
      </c>
      <c r="E716" s="6" t="s">
        <v>58</v>
      </c>
      <c r="F716" s="6" t="s">
        <v>58</v>
      </c>
      <c r="G716" s="6" t="n">
        <v>8</v>
      </c>
      <c r="H716" s="6" t="n">
        <v>960400</v>
      </c>
      <c r="I716" s="6" t="n">
        <v>226600</v>
      </c>
      <c r="J716" s="6" t="n">
        <v>3951000</v>
      </c>
      <c r="K716" s="6" t="n">
        <v>2990700</v>
      </c>
      <c r="L716" s="6" t="n">
        <v>8</v>
      </c>
      <c r="M716" s="6" t="n">
        <v>2</v>
      </c>
      <c r="N716" s="6" t="n">
        <v>2730.8</v>
      </c>
    </row>
    <row r="717" customFormat="false" ht="15" hidden="false" customHeight="false" outlineLevel="0" collapsed="false">
      <c r="A717" s="6" t="s">
        <v>30</v>
      </c>
      <c r="B717" s="6" t="s">
        <v>26</v>
      </c>
      <c r="C717" s="6" t="s">
        <v>51</v>
      </c>
      <c r="D717" s="6" t="s">
        <v>114</v>
      </c>
      <c r="E717" s="6" t="s">
        <v>58</v>
      </c>
      <c r="F717" s="6" t="s">
        <v>60</v>
      </c>
      <c r="G717" s="6" t="n">
        <v>34</v>
      </c>
      <c r="H717" s="6" t="n">
        <v>2847200</v>
      </c>
      <c r="I717" s="6" t="n">
        <v>1397300</v>
      </c>
      <c r="J717" s="6" t="n">
        <v>20059500</v>
      </c>
      <c r="K717" s="6" t="n">
        <v>17211700</v>
      </c>
      <c r="L717" s="6" t="n">
        <v>34</v>
      </c>
      <c r="M717" s="6" t="n">
        <v>18</v>
      </c>
      <c r="N717" s="6" t="n">
        <v>21535.5</v>
      </c>
    </row>
    <row r="718" customFormat="false" ht="15" hidden="false" customHeight="false" outlineLevel="0" collapsed="false">
      <c r="A718" s="6" t="s">
        <v>30</v>
      </c>
      <c r="B718" s="6" t="s">
        <v>26</v>
      </c>
      <c r="C718" s="6" t="s">
        <v>51</v>
      </c>
      <c r="D718" s="6" t="s">
        <v>114</v>
      </c>
      <c r="E718" s="6" t="s">
        <v>60</v>
      </c>
      <c r="F718" s="6" t="s">
        <v>58</v>
      </c>
      <c r="G718" s="6" t="n">
        <v>7</v>
      </c>
      <c r="H718" s="6" t="n">
        <v>810100</v>
      </c>
      <c r="I718" s="6" t="n">
        <v>163600</v>
      </c>
      <c r="J718" s="6" t="n">
        <v>3902500</v>
      </c>
      <c r="K718" s="6" t="n">
        <v>3092400</v>
      </c>
      <c r="L718" s="6" t="n">
        <v>7</v>
      </c>
      <c r="M718" s="6" t="n">
        <v>3</v>
      </c>
      <c r="N718" s="6" t="n">
        <v>2730.6</v>
      </c>
    </row>
    <row r="719" customFormat="false" ht="15" hidden="false" customHeight="false" outlineLevel="0" collapsed="false">
      <c r="A719" s="6" t="s">
        <v>30</v>
      </c>
      <c r="B719" s="6" t="s">
        <v>26</v>
      </c>
      <c r="C719" s="6" t="s">
        <v>51</v>
      </c>
      <c r="D719" s="6" t="s">
        <v>114</v>
      </c>
      <c r="E719" s="6" t="s">
        <v>60</v>
      </c>
      <c r="F719" s="6" t="s">
        <v>60</v>
      </c>
      <c r="G719" s="6" t="n">
        <v>30</v>
      </c>
      <c r="H719" s="6" t="n">
        <v>2394800</v>
      </c>
      <c r="I719" s="6" t="n">
        <v>1132100</v>
      </c>
      <c r="J719" s="6" t="n">
        <v>21428600</v>
      </c>
      <c r="K719" s="6" t="n">
        <v>19033800</v>
      </c>
      <c r="L719" s="6" t="n">
        <v>30</v>
      </c>
      <c r="M719" s="6" t="n">
        <v>25</v>
      </c>
      <c r="N719" s="6" t="n">
        <v>24353.3</v>
      </c>
    </row>
    <row r="720" customFormat="false" ht="15" hidden="false" customHeight="false" outlineLevel="0" collapsed="false">
      <c r="A720" s="6" t="s">
        <v>40</v>
      </c>
      <c r="B720" s="6" t="s">
        <v>40</v>
      </c>
      <c r="C720" s="6" t="s">
        <v>54</v>
      </c>
      <c r="D720" s="6" t="s">
        <v>111</v>
      </c>
      <c r="E720" s="6" t="s">
        <v>58</v>
      </c>
      <c r="F720" s="6" t="s">
        <v>58</v>
      </c>
      <c r="G720" s="6" t="n">
        <v>9</v>
      </c>
      <c r="H720" s="6" t="n">
        <v>1287200</v>
      </c>
      <c r="I720" s="6" t="n">
        <v>434900</v>
      </c>
      <c r="J720" s="6" t="n">
        <v>496300</v>
      </c>
      <c r="K720" s="6" t="n">
        <v>-791000</v>
      </c>
      <c r="L720" s="6" t="n">
        <v>0</v>
      </c>
      <c r="M720" s="6" t="n">
        <v>0</v>
      </c>
      <c r="N720" s="6" t="n">
        <v>-548.3</v>
      </c>
    </row>
    <row r="721" customFormat="false" ht="15" hidden="false" customHeight="false" outlineLevel="0" collapsed="false">
      <c r="A721" s="6" t="s">
        <v>40</v>
      </c>
      <c r="B721" s="6" t="s">
        <v>40</v>
      </c>
      <c r="C721" s="6" t="s">
        <v>54</v>
      </c>
      <c r="D721" s="6" t="s">
        <v>111</v>
      </c>
      <c r="E721" s="6" t="s">
        <v>58</v>
      </c>
      <c r="F721" s="6" t="s">
        <v>60</v>
      </c>
      <c r="G721" s="6" t="n">
        <v>14</v>
      </c>
      <c r="H721" s="6" t="n">
        <v>1567300</v>
      </c>
      <c r="I721" s="6" t="n">
        <v>600800</v>
      </c>
      <c r="J721" s="6" t="n">
        <v>885900</v>
      </c>
      <c r="K721" s="6" t="n">
        <v>-681500</v>
      </c>
      <c r="L721" s="6" t="n">
        <v>0</v>
      </c>
      <c r="M721" s="6" t="n">
        <v>0</v>
      </c>
      <c r="N721" s="6" t="n">
        <v>-584.3</v>
      </c>
    </row>
    <row r="722" customFormat="false" ht="15" hidden="false" customHeight="false" outlineLevel="0" collapsed="false">
      <c r="A722" s="6" t="s">
        <v>40</v>
      </c>
      <c r="B722" s="6" t="s">
        <v>40</v>
      </c>
      <c r="C722" s="6" t="s">
        <v>54</v>
      </c>
      <c r="D722" s="6" t="s">
        <v>111</v>
      </c>
      <c r="E722" s="6" t="s">
        <v>60</v>
      </c>
      <c r="F722" s="6" t="s">
        <v>58</v>
      </c>
      <c r="G722" s="6" t="n">
        <v>5</v>
      </c>
      <c r="H722" s="6" t="n">
        <v>737300</v>
      </c>
      <c r="I722" s="6" t="n">
        <v>438800</v>
      </c>
      <c r="J722" s="6" t="n">
        <v>273500</v>
      </c>
      <c r="K722" s="6" t="n">
        <v>-463900</v>
      </c>
      <c r="L722" s="6" t="n">
        <v>0</v>
      </c>
      <c r="M722" s="6" t="n">
        <v>0</v>
      </c>
      <c r="N722" s="6" t="n">
        <v>-312.7</v>
      </c>
    </row>
    <row r="723" customFormat="false" ht="15" hidden="false" customHeight="false" outlineLevel="0" collapsed="false">
      <c r="A723" s="6" t="s">
        <v>40</v>
      </c>
      <c r="B723" s="6" t="s">
        <v>40</v>
      </c>
      <c r="C723" s="6" t="s">
        <v>54</v>
      </c>
      <c r="D723" s="6" t="s">
        <v>111</v>
      </c>
      <c r="E723" s="6" t="s">
        <v>60</v>
      </c>
      <c r="F723" s="6" t="s">
        <v>60</v>
      </c>
      <c r="G723" s="6" t="n">
        <v>10</v>
      </c>
      <c r="H723" s="6" t="n">
        <v>1085700</v>
      </c>
      <c r="I723" s="6" t="n">
        <v>317700</v>
      </c>
      <c r="J723" s="6" t="n">
        <v>814800</v>
      </c>
      <c r="K723" s="6" t="n">
        <v>-270700</v>
      </c>
      <c r="L723" s="6" t="n">
        <v>2</v>
      </c>
      <c r="M723" s="6" t="n">
        <v>0</v>
      </c>
      <c r="N723" s="6" t="n">
        <v>-234.2</v>
      </c>
    </row>
    <row r="724" customFormat="false" ht="15" hidden="false" customHeight="false" outlineLevel="0" collapsed="false">
      <c r="A724" s="6" t="s">
        <v>40</v>
      </c>
      <c r="B724" s="6" t="s">
        <v>40</v>
      </c>
      <c r="C724" s="6" t="s">
        <v>54</v>
      </c>
      <c r="D724" s="6" t="s">
        <v>112</v>
      </c>
      <c r="E724" s="6" t="s">
        <v>58</v>
      </c>
      <c r="F724" s="6" t="s">
        <v>58</v>
      </c>
      <c r="G724" s="6" t="n">
        <v>6</v>
      </c>
      <c r="H724" s="6" t="n">
        <v>949000</v>
      </c>
      <c r="I724" s="6" t="n">
        <v>174500</v>
      </c>
      <c r="J724" s="6" t="n">
        <v>309000</v>
      </c>
      <c r="K724" s="6" t="n">
        <v>-639900</v>
      </c>
      <c r="L724" s="6" t="n">
        <v>0</v>
      </c>
      <c r="M724" s="6" t="n">
        <v>0</v>
      </c>
      <c r="N724" s="6" t="n">
        <v>-397.4</v>
      </c>
    </row>
    <row r="725" customFormat="false" ht="15" hidden="false" customHeight="false" outlineLevel="0" collapsed="false">
      <c r="A725" s="6" t="s">
        <v>40</v>
      </c>
      <c r="B725" s="6" t="s">
        <v>40</v>
      </c>
      <c r="C725" s="6" t="s">
        <v>54</v>
      </c>
      <c r="D725" s="6" t="s">
        <v>112</v>
      </c>
      <c r="E725" s="6" t="s">
        <v>58</v>
      </c>
      <c r="F725" s="6" t="s">
        <v>60</v>
      </c>
      <c r="G725" s="6" t="n">
        <v>13</v>
      </c>
      <c r="H725" s="6" t="n">
        <v>1358700</v>
      </c>
      <c r="I725" s="6" t="n">
        <v>531900</v>
      </c>
      <c r="J725" s="6" t="n">
        <v>846900</v>
      </c>
      <c r="K725" s="6" t="n">
        <v>-511700</v>
      </c>
      <c r="L725" s="6" t="n">
        <v>2</v>
      </c>
      <c r="M725" s="6" t="n">
        <v>0</v>
      </c>
      <c r="N725" s="6" t="n">
        <v>-468.9</v>
      </c>
    </row>
    <row r="726" customFormat="false" ht="15" hidden="false" customHeight="false" outlineLevel="0" collapsed="false">
      <c r="A726" s="6" t="s">
        <v>40</v>
      </c>
      <c r="B726" s="6" t="s">
        <v>40</v>
      </c>
      <c r="C726" s="6" t="s">
        <v>54</v>
      </c>
      <c r="D726" s="6" t="s">
        <v>112</v>
      </c>
      <c r="E726" s="6" t="s">
        <v>60</v>
      </c>
      <c r="F726" s="6" t="s">
        <v>58</v>
      </c>
      <c r="G726" s="6" t="n">
        <v>5</v>
      </c>
      <c r="H726" s="6" t="n">
        <v>648500</v>
      </c>
      <c r="I726" s="6" t="n">
        <v>322200</v>
      </c>
      <c r="J726" s="6" t="n">
        <v>254500</v>
      </c>
      <c r="K726" s="6" t="n">
        <v>-393900</v>
      </c>
      <c r="L726" s="6" t="n">
        <v>0</v>
      </c>
      <c r="M726" s="6" t="n">
        <v>0</v>
      </c>
      <c r="N726" s="6" t="n">
        <v>-304.5</v>
      </c>
    </row>
    <row r="727" customFormat="false" ht="15" hidden="false" customHeight="false" outlineLevel="0" collapsed="false">
      <c r="A727" s="6" t="s">
        <v>40</v>
      </c>
      <c r="B727" s="6" t="s">
        <v>40</v>
      </c>
      <c r="C727" s="6" t="s">
        <v>54</v>
      </c>
      <c r="D727" s="6" t="s">
        <v>112</v>
      </c>
      <c r="E727" s="6" t="s">
        <v>60</v>
      </c>
      <c r="F727" s="6" t="s">
        <v>60</v>
      </c>
      <c r="G727" s="6" t="n">
        <v>8</v>
      </c>
      <c r="H727" s="6" t="n">
        <v>901000</v>
      </c>
      <c r="I727" s="6" t="n">
        <v>153600</v>
      </c>
      <c r="J727" s="6" t="n">
        <v>688600</v>
      </c>
      <c r="K727" s="6" t="n">
        <v>-212600</v>
      </c>
      <c r="L727" s="6" t="n">
        <v>1</v>
      </c>
      <c r="M727" s="6" t="n">
        <v>0</v>
      </c>
      <c r="N727" s="6" t="n">
        <v>-169.6</v>
      </c>
    </row>
    <row r="728" customFormat="false" ht="15" hidden="false" customHeight="false" outlineLevel="0" collapsed="false">
      <c r="A728" s="6" t="s">
        <v>40</v>
      </c>
      <c r="B728" s="6" t="s">
        <v>40</v>
      </c>
      <c r="C728" s="6" t="s">
        <v>54</v>
      </c>
      <c r="D728" s="6" t="s">
        <v>113</v>
      </c>
      <c r="E728" s="6" t="s">
        <v>58</v>
      </c>
      <c r="F728" s="6" t="s">
        <v>58</v>
      </c>
      <c r="G728" s="6" t="n">
        <v>9</v>
      </c>
      <c r="H728" s="6" t="n">
        <v>1299500</v>
      </c>
      <c r="I728" s="6" t="n">
        <v>639600</v>
      </c>
      <c r="J728" s="6" t="n">
        <v>568900</v>
      </c>
      <c r="K728" s="6" t="n">
        <v>-730800</v>
      </c>
      <c r="L728" s="6" t="n">
        <v>0</v>
      </c>
      <c r="M728" s="6" t="n">
        <v>0</v>
      </c>
      <c r="N728" s="6" t="n">
        <v>-491.5</v>
      </c>
    </row>
    <row r="729" customFormat="false" ht="15" hidden="false" customHeight="false" outlineLevel="0" collapsed="false">
      <c r="A729" s="6" t="s">
        <v>40</v>
      </c>
      <c r="B729" s="6" t="s">
        <v>40</v>
      </c>
      <c r="C729" s="6" t="s">
        <v>54</v>
      </c>
      <c r="D729" s="6" t="s">
        <v>113</v>
      </c>
      <c r="E729" s="6" t="s">
        <v>58</v>
      </c>
      <c r="F729" s="6" t="s">
        <v>60</v>
      </c>
      <c r="G729" s="6" t="n">
        <v>18</v>
      </c>
      <c r="H729" s="6" t="n">
        <v>1774600</v>
      </c>
      <c r="I729" s="6" t="n">
        <v>578700</v>
      </c>
      <c r="J729" s="6" t="n">
        <v>1080900</v>
      </c>
      <c r="K729" s="6" t="n">
        <v>-693400</v>
      </c>
      <c r="L729" s="6" t="n">
        <v>2</v>
      </c>
      <c r="M729" s="6" t="n">
        <v>0</v>
      </c>
      <c r="N729" s="6" t="n">
        <v>-693.4</v>
      </c>
    </row>
    <row r="730" customFormat="false" ht="15" hidden="false" customHeight="false" outlineLevel="0" collapsed="false">
      <c r="A730" s="6" t="s">
        <v>40</v>
      </c>
      <c r="B730" s="6" t="s">
        <v>40</v>
      </c>
      <c r="C730" s="6" t="s">
        <v>54</v>
      </c>
      <c r="D730" s="6" t="s">
        <v>113</v>
      </c>
      <c r="E730" s="6" t="s">
        <v>60</v>
      </c>
      <c r="F730" s="6" t="s">
        <v>58</v>
      </c>
      <c r="G730" s="6" t="n">
        <v>5</v>
      </c>
      <c r="H730" s="6" t="n">
        <v>754100</v>
      </c>
      <c r="I730" s="6" t="n">
        <v>326300</v>
      </c>
      <c r="J730" s="6" t="n">
        <v>250500</v>
      </c>
      <c r="K730" s="6" t="n">
        <v>-503600</v>
      </c>
      <c r="L730" s="6" t="n">
        <v>0</v>
      </c>
      <c r="M730" s="6" t="n">
        <v>0</v>
      </c>
      <c r="N730" s="6" t="n">
        <v>-327.3</v>
      </c>
    </row>
    <row r="731" customFormat="false" ht="15" hidden="false" customHeight="false" outlineLevel="0" collapsed="false">
      <c r="A731" s="6" t="s">
        <v>40</v>
      </c>
      <c r="B731" s="6" t="s">
        <v>40</v>
      </c>
      <c r="C731" s="6" t="s">
        <v>54</v>
      </c>
      <c r="D731" s="6" t="s">
        <v>113</v>
      </c>
      <c r="E731" s="6" t="s">
        <v>60</v>
      </c>
      <c r="F731" s="6" t="s">
        <v>60</v>
      </c>
      <c r="G731" s="6" t="n">
        <v>9</v>
      </c>
      <c r="H731" s="6" t="n">
        <v>953400</v>
      </c>
      <c r="I731" s="6" t="n">
        <v>535800</v>
      </c>
      <c r="J731" s="6" t="n">
        <v>726700</v>
      </c>
      <c r="K731" s="6" t="n">
        <v>-226600</v>
      </c>
      <c r="L731" s="6" t="n">
        <v>3</v>
      </c>
      <c r="M731" s="6" t="n">
        <v>0</v>
      </c>
      <c r="N731" s="6" t="n">
        <v>-149.2</v>
      </c>
    </row>
    <row r="732" customFormat="false" ht="15" hidden="false" customHeight="false" outlineLevel="0" collapsed="false">
      <c r="A732" s="6" t="s">
        <v>40</v>
      </c>
      <c r="B732" s="6" t="s">
        <v>40</v>
      </c>
      <c r="C732" s="6" t="s">
        <v>54</v>
      </c>
      <c r="D732" s="6" t="s">
        <v>114</v>
      </c>
      <c r="E732" s="6" t="s">
        <v>58</v>
      </c>
      <c r="F732" s="6" t="s">
        <v>58</v>
      </c>
      <c r="G732" s="6" t="n">
        <v>5</v>
      </c>
      <c r="H732" s="6" t="n">
        <v>721400</v>
      </c>
      <c r="I732" s="6" t="n">
        <v>141700</v>
      </c>
      <c r="J732" s="6" t="n">
        <v>319500</v>
      </c>
      <c r="K732" s="6" t="n">
        <v>-402100</v>
      </c>
      <c r="L732" s="6" t="n">
        <v>0</v>
      </c>
      <c r="M732" s="6" t="n">
        <v>0</v>
      </c>
      <c r="N732" s="6" t="n">
        <v>-270.9</v>
      </c>
    </row>
    <row r="733" customFormat="false" ht="15" hidden="false" customHeight="false" outlineLevel="0" collapsed="false">
      <c r="A733" s="6" t="s">
        <v>40</v>
      </c>
      <c r="B733" s="6" t="s">
        <v>40</v>
      </c>
      <c r="C733" s="6" t="s">
        <v>54</v>
      </c>
      <c r="D733" s="6" t="s">
        <v>114</v>
      </c>
      <c r="E733" s="6" t="s">
        <v>58</v>
      </c>
      <c r="F733" s="6" t="s">
        <v>60</v>
      </c>
      <c r="G733" s="6" t="n">
        <v>11</v>
      </c>
      <c r="H733" s="6" t="n">
        <v>1283300</v>
      </c>
      <c r="I733" s="6" t="n">
        <v>538000</v>
      </c>
      <c r="J733" s="6" t="n">
        <v>644800</v>
      </c>
      <c r="K733" s="6" t="n">
        <v>-638400</v>
      </c>
      <c r="L733" s="6" t="n">
        <v>1</v>
      </c>
      <c r="M733" s="6" t="n">
        <v>0</v>
      </c>
      <c r="N733" s="6" t="n">
        <v>-519.8</v>
      </c>
    </row>
    <row r="734" customFormat="false" ht="15" hidden="false" customHeight="false" outlineLevel="0" collapsed="false">
      <c r="A734" s="6" t="s">
        <v>40</v>
      </c>
      <c r="B734" s="6" t="s">
        <v>40</v>
      </c>
      <c r="C734" s="6" t="s">
        <v>54</v>
      </c>
      <c r="D734" s="6" t="s">
        <v>114</v>
      </c>
      <c r="E734" s="6" t="s">
        <v>60</v>
      </c>
      <c r="F734" s="6" t="s">
        <v>58</v>
      </c>
      <c r="G734" s="6" t="n">
        <v>3</v>
      </c>
      <c r="H734" s="6" t="n">
        <v>442100</v>
      </c>
      <c r="I734" s="6" t="n">
        <v>319500</v>
      </c>
      <c r="J734" s="6" t="n">
        <v>206800</v>
      </c>
      <c r="K734" s="6" t="n">
        <v>-235200</v>
      </c>
      <c r="L734" s="6" t="n">
        <v>0</v>
      </c>
      <c r="M734" s="6" t="n">
        <v>0</v>
      </c>
      <c r="N734" s="6" t="n">
        <v>-160.3</v>
      </c>
    </row>
    <row r="735" customFormat="false" ht="15" hidden="false" customHeight="false" outlineLevel="0" collapsed="false">
      <c r="A735" s="6" t="s">
        <v>40</v>
      </c>
      <c r="B735" s="6" t="s">
        <v>40</v>
      </c>
      <c r="C735" s="6" t="s">
        <v>54</v>
      </c>
      <c r="D735" s="6" t="s">
        <v>114</v>
      </c>
      <c r="E735" s="6" t="s">
        <v>60</v>
      </c>
      <c r="F735" s="6" t="s">
        <v>60</v>
      </c>
      <c r="G735" s="6" t="n">
        <v>3</v>
      </c>
      <c r="H735" s="6" t="n">
        <v>388500</v>
      </c>
      <c r="I735" s="6" t="n">
        <v>159600</v>
      </c>
      <c r="J735" s="6" t="n">
        <v>174600</v>
      </c>
      <c r="K735" s="6" t="n">
        <v>-213800</v>
      </c>
      <c r="L735" s="6" t="n">
        <v>0</v>
      </c>
      <c r="M735" s="6" t="n">
        <v>0</v>
      </c>
      <c r="N735" s="6" t="n">
        <v>-162.1</v>
      </c>
    </row>
    <row r="736" customFormat="false" ht="15" hidden="false" customHeight="false" outlineLevel="0" collapsed="false">
      <c r="A736" s="6" t="s">
        <v>40</v>
      </c>
      <c r="B736" s="6" t="s">
        <v>40</v>
      </c>
      <c r="C736" s="6" t="s">
        <v>50</v>
      </c>
      <c r="D736" s="6" t="s">
        <v>111</v>
      </c>
      <c r="E736" s="6" t="s">
        <v>58</v>
      </c>
      <c r="F736" s="6" t="s">
        <v>58</v>
      </c>
      <c r="G736" s="6" t="n">
        <v>3</v>
      </c>
      <c r="H736" s="6" t="n">
        <v>556200</v>
      </c>
      <c r="I736" s="6" t="n">
        <v>317000</v>
      </c>
      <c r="J736" s="6" t="n">
        <v>543300</v>
      </c>
      <c r="K736" s="6" t="n">
        <v>-13000</v>
      </c>
      <c r="L736" s="6" t="n">
        <v>1</v>
      </c>
      <c r="M736" s="6" t="n">
        <v>0</v>
      </c>
      <c r="N736" s="6" t="n">
        <v>-10.3</v>
      </c>
    </row>
    <row r="737" customFormat="false" ht="15" hidden="false" customHeight="false" outlineLevel="0" collapsed="false">
      <c r="A737" s="6" t="s">
        <v>40</v>
      </c>
      <c r="B737" s="6" t="s">
        <v>40</v>
      </c>
      <c r="C737" s="6" t="s">
        <v>50</v>
      </c>
      <c r="D737" s="6" t="s">
        <v>111</v>
      </c>
      <c r="E737" s="6" t="s">
        <v>58</v>
      </c>
      <c r="F737" s="6" t="s">
        <v>60</v>
      </c>
      <c r="G737" s="6" t="n">
        <v>9</v>
      </c>
      <c r="H737" s="6" t="n">
        <v>1183300</v>
      </c>
      <c r="I737" s="6" t="n">
        <v>707600</v>
      </c>
      <c r="J737" s="6" t="n">
        <v>1323400</v>
      </c>
      <c r="K737" s="6" t="n">
        <v>139900</v>
      </c>
      <c r="L737" s="6" t="n">
        <v>4</v>
      </c>
      <c r="M737" s="6" t="n">
        <v>0</v>
      </c>
      <c r="N737" s="6" t="n">
        <v>162.6</v>
      </c>
    </row>
    <row r="738" customFormat="false" ht="15" hidden="false" customHeight="false" outlineLevel="0" collapsed="false">
      <c r="A738" s="6" t="s">
        <v>40</v>
      </c>
      <c r="B738" s="6" t="s">
        <v>40</v>
      </c>
      <c r="C738" s="6" t="s">
        <v>50</v>
      </c>
      <c r="D738" s="6" t="s">
        <v>111</v>
      </c>
      <c r="E738" s="6" t="s">
        <v>60</v>
      </c>
      <c r="F738" s="6" t="s">
        <v>58</v>
      </c>
      <c r="G738" s="6" t="n">
        <v>1</v>
      </c>
      <c r="H738" s="6" t="n">
        <v>226600</v>
      </c>
      <c r="I738" s="6" t="n">
        <v>169000</v>
      </c>
      <c r="J738" s="6" t="n">
        <v>340600</v>
      </c>
      <c r="K738" s="6" t="n">
        <v>114000</v>
      </c>
      <c r="L738" s="6" t="n">
        <v>1</v>
      </c>
      <c r="M738" s="6" t="n">
        <v>0</v>
      </c>
      <c r="N738" s="6" t="n">
        <v>50.3</v>
      </c>
    </row>
    <row r="739" customFormat="false" ht="15" hidden="false" customHeight="false" outlineLevel="0" collapsed="false">
      <c r="A739" s="6" t="s">
        <v>40</v>
      </c>
      <c r="B739" s="6" t="s">
        <v>40</v>
      </c>
      <c r="C739" s="6" t="s">
        <v>50</v>
      </c>
      <c r="D739" s="6" t="s">
        <v>111</v>
      </c>
      <c r="E739" s="6" t="s">
        <v>60</v>
      </c>
      <c r="F739" s="6" t="s">
        <v>60</v>
      </c>
      <c r="G739" s="6" t="n">
        <v>6</v>
      </c>
      <c r="H739" s="6" t="n">
        <v>913700</v>
      </c>
      <c r="I739" s="6" t="n">
        <v>385500</v>
      </c>
      <c r="J739" s="6" t="n">
        <v>1070900</v>
      </c>
      <c r="K739" s="6" t="n">
        <v>157200</v>
      </c>
      <c r="L739" s="6" t="n">
        <v>5</v>
      </c>
      <c r="M739" s="6" t="n">
        <v>0</v>
      </c>
      <c r="N739" s="6" t="n">
        <v>112.6</v>
      </c>
    </row>
    <row r="740" customFormat="false" ht="15" hidden="false" customHeight="false" outlineLevel="0" collapsed="false">
      <c r="A740" s="6" t="s">
        <v>40</v>
      </c>
      <c r="B740" s="6" t="s">
        <v>40</v>
      </c>
      <c r="C740" s="6" t="s">
        <v>50</v>
      </c>
      <c r="D740" s="6" t="s">
        <v>112</v>
      </c>
      <c r="E740" s="6" t="s">
        <v>58</v>
      </c>
      <c r="F740" s="6" t="s">
        <v>58</v>
      </c>
      <c r="G740" s="6" t="n">
        <v>2</v>
      </c>
      <c r="H740" s="6" t="n">
        <v>399100</v>
      </c>
      <c r="I740" s="6" t="n">
        <v>278900</v>
      </c>
      <c r="J740" s="6" t="n">
        <v>239300</v>
      </c>
      <c r="K740" s="6" t="n">
        <v>-159800</v>
      </c>
      <c r="L740" s="6" t="n">
        <v>0</v>
      </c>
      <c r="M740" s="6" t="n">
        <v>0</v>
      </c>
      <c r="N740" s="6" t="n">
        <v>-76.6</v>
      </c>
    </row>
    <row r="741" customFormat="false" ht="15" hidden="false" customHeight="false" outlineLevel="0" collapsed="false">
      <c r="A741" s="6" t="s">
        <v>40</v>
      </c>
      <c r="B741" s="6" t="s">
        <v>40</v>
      </c>
      <c r="C741" s="6" t="s">
        <v>50</v>
      </c>
      <c r="D741" s="6" t="s">
        <v>112</v>
      </c>
      <c r="E741" s="6" t="s">
        <v>58</v>
      </c>
      <c r="F741" s="6" t="s">
        <v>60</v>
      </c>
      <c r="G741" s="6" t="n">
        <v>9</v>
      </c>
      <c r="H741" s="6" t="n">
        <v>1314500</v>
      </c>
      <c r="I741" s="6" t="n">
        <v>982700</v>
      </c>
      <c r="J741" s="6" t="n">
        <v>1222000</v>
      </c>
      <c r="K741" s="6" t="n">
        <v>-92500</v>
      </c>
      <c r="L741" s="6" t="n">
        <v>4</v>
      </c>
      <c r="M741" s="6" t="n">
        <v>0</v>
      </c>
      <c r="N741" s="6" t="n">
        <v>11.2</v>
      </c>
    </row>
    <row r="742" customFormat="false" ht="15" hidden="false" customHeight="false" outlineLevel="0" collapsed="false">
      <c r="A742" s="6" t="s">
        <v>40</v>
      </c>
      <c r="B742" s="6" t="s">
        <v>40</v>
      </c>
      <c r="C742" s="6" t="s">
        <v>50</v>
      </c>
      <c r="D742" s="6" t="s">
        <v>112</v>
      </c>
      <c r="E742" s="6" t="s">
        <v>60</v>
      </c>
      <c r="F742" s="6" t="s">
        <v>58</v>
      </c>
      <c r="G742" s="6" t="n">
        <v>1</v>
      </c>
      <c r="H742" s="6" t="n">
        <v>235800</v>
      </c>
      <c r="I742" s="6" t="n">
        <v>184900</v>
      </c>
      <c r="J742" s="6" t="n">
        <v>153200</v>
      </c>
      <c r="K742" s="6" t="n">
        <v>-82600</v>
      </c>
      <c r="L742" s="6" t="n">
        <v>0</v>
      </c>
      <c r="M742" s="6" t="n">
        <v>0</v>
      </c>
      <c r="N742" s="6" t="n">
        <v>-35</v>
      </c>
    </row>
    <row r="743" customFormat="false" ht="15" hidden="false" customHeight="false" outlineLevel="0" collapsed="false">
      <c r="A743" s="6" t="s">
        <v>40</v>
      </c>
      <c r="B743" s="6" t="s">
        <v>40</v>
      </c>
      <c r="C743" s="6" t="s">
        <v>50</v>
      </c>
      <c r="D743" s="6" t="s">
        <v>112</v>
      </c>
      <c r="E743" s="6" t="s">
        <v>60</v>
      </c>
      <c r="F743" s="6" t="s">
        <v>60</v>
      </c>
      <c r="G743" s="6" t="n">
        <v>4</v>
      </c>
      <c r="H743" s="6" t="n">
        <v>602600</v>
      </c>
      <c r="I743" s="6" t="n">
        <v>212700</v>
      </c>
      <c r="J743" s="6" t="n">
        <v>804800</v>
      </c>
      <c r="K743" s="6" t="n">
        <v>202300</v>
      </c>
      <c r="L743" s="6" t="n">
        <v>4</v>
      </c>
      <c r="M743" s="6" t="n">
        <v>0</v>
      </c>
      <c r="N743" s="6" t="n">
        <v>141.7</v>
      </c>
    </row>
    <row r="744" customFormat="false" ht="15" hidden="false" customHeight="false" outlineLevel="0" collapsed="false">
      <c r="A744" s="6" t="s">
        <v>40</v>
      </c>
      <c r="B744" s="6" t="s">
        <v>40</v>
      </c>
      <c r="C744" s="6" t="s">
        <v>50</v>
      </c>
      <c r="D744" s="6" t="s">
        <v>113</v>
      </c>
      <c r="E744" s="6" t="s">
        <v>58</v>
      </c>
      <c r="F744" s="6" t="s">
        <v>58</v>
      </c>
      <c r="G744" s="6" t="n">
        <v>5</v>
      </c>
      <c r="H744" s="6" t="n">
        <v>1106800</v>
      </c>
      <c r="I744" s="6" t="n">
        <v>759700</v>
      </c>
      <c r="J744" s="6" t="n">
        <v>661400</v>
      </c>
      <c r="K744" s="6" t="n">
        <v>-445400</v>
      </c>
      <c r="L744" s="6" t="n">
        <v>0</v>
      </c>
      <c r="M744" s="6" t="n">
        <v>0</v>
      </c>
      <c r="N744" s="6" t="n">
        <v>-205.4</v>
      </c>
    </row>
    <row r="745" customFormat="false" ht="15" hidden="false" customHeight="false" outlineLevel="0" collapsed="false">
      <c r="A745" s="6" t="s">
        <v>40</v>
      </c>
      <c r="B745" s="6" t="s">
        <v>40</v>
      </c>
      <c r="C745" s="6" t="s">
        <v>50</v>
      </c>
      <c r="D745" s="6" t="s">
        <v>113</v>
      </c>
      <c r="E745" s="6" t="s">
        <v>58</v>
      </c>
      <c r="F745" s="6" t="s">
        <v>60</v>
      </c>
      <c r="G745" s="6" t="n">
        <v>14</v>
      </c>
      <c r="H745" s="6" t="n">
        <v>1928000</v>
      </c>
      <c r="I745" s="6" t="n">
        <v>664000</v>
      </c>
      <c r="J745" s="6" t="n">
        <v>2357800</v>
      </c>
      <c r="K745" s="6" t="n">
        <v>429800</v>
      </c>
      <c r="L745" s="6" t="n">
        <v>7</v>
      </c>
      <c r="M745" s="6" t="n">
        <v>0</v>
      </c>
      <c r="N745" s="6" t="n">
        <v>413.6</v>
      </c>
    </row>
    <row r="746" customFormat="false" ht="15" hidden="false" customHeight="false" outlineLevel="0" collapsed="false">
      <c r="A746" s="6" t="s">
        <v>40</v>
      </c>
      <c r="B746" s="6" t="s">
        <v>40</v>
      </c>
      <c r="C746" s="6" t="s">
        <v>50</v>
      </c>
      <c r="D746" s="6" t="s">
        <v>113</v>
      </c>
      <c r="E746" s="6" t="s">
        <v>60</v>
      </c>
      <c r="F746" s="6" t="s">
        <v>58</v>
      </c>
      <c r="G746" s="6" t="n">
        <v>2</v>
      </c>
      <c r="H746" s="6" t="n">
        <v>373700</v>
      </c>
      <c r="I746" s="6" t="n">
        <v>0</v>
      </c>
      <c r="J746" s="6" t="n">
        <v>201800</v>
      </c>
      <c r="K746" s="6" t="n">
        <v>-171800</v>
      </c>
      <c r="L746" s="6" t="n">
        <v>0</v>
      </c>
      <c r="M746" s="6" t="n">
        <v>0</v>
      </c>
      <c r="N746" s="6" t="n">
        <v>-87.4</v>
      </c>
    </row>
    <row r="747" customFormat="false" ht="15" hidden="false" customHeight="false" outlineLevel="0" collapsed="false">
      <c r="A747" s="6" t="s">
        <v>40</v>
      </c>
      <c r="B747" s="6" t="s">
        <v>40</v>
      </c>
      <c r="C747" s="6" t="s">
        <v>50</v>
      </c>
      <c r="D747" s="6" t="s">
        <v>113</v>
      </c>
      <c r="E747" s="6" t="s">
        <v>60</v>
      </c>
      <c r="F747" s="6" t="s">
        <v>60</v>
      </c>
      <c r="G747" s="6" t="n">
        <v>4</v>
      </c>
      <c r="H747" s="6" t="n">
        <v>525300</v>
      </c>
      <c r="I747" s="6" t="n">
        <v>0</v>
      </c>
      <c r="J747" s="6" t="n">
        <v>564200</v>
      </c>
      <c r="K747" s="6" t="n">
        <v>38900</v>
      </c>
      <c r="L747" s="6" t="n">
        <v>1</v>
      </c>
      <c r="M747" s="6" t="n">
        <v>0</v>
      </c>
      <c r="N747" s="6" t="n">
        <v>16.6</v>
      </c>
    </row>
    <row r="748" customFormat="false" ht="15" hidden="false" customHeight="false" outlineLevel="0" collapsed="false">
      <c r="A748" s="6" t="s">
        <v>40</v>
      </c>
      <c r="B748" s="6" t="s">
        <v>40</v>
      </c>
      <c r="C748" s="6" t="s">
        <v>50</v>
      </c>
      <c r="D748" s="6" t="s">
        <v>114</v>
      </c>
      <c r="E748" s="6" t="s">
        <v>58</v>
      </c>
      <c r="F748" s="6" t="s">
        <v>58</v>
      </c>
      <c r="G748" s="6" t="n">
        <v>3</v>
      </c>
      <c r="H748" s="6" t="n">
        <v>565700</v>
      </c>
      <c r="I748" s="6" t="n">
        <v>434400</v>
      </c>
      <c r="J748" s="6" t="n">
        <v>323600</v>
      </c>
      <c r="K748" s="6" t="n">
        <v>-242200</v>
      </c>
      <c r="L748" s="6" t="n">
        <v>0</v>
      </c>
      <c r="M748" s="6" t="n">
        <v>0</v>
      </c>
      <c r="N748" s="6" t="n">
        <v>-125.5</v>
      </c>
    </row>
    <row r="749" customFormat="false" ht="15" hidden="false" customHeight="false" outlineLevel="0" collapsed="false">
      <c r="A749" s="6" t="s">
        <v>40</v>
      </c>
      <c r="B749" s="6" t="s">
        <v>40</v>
      </c>
      <c r="C749" s="6" t="s">
        <v>50</v>
      </c>
      <c r="D749" s="6" t="s">
        <v>114</v>
      </c>
      <c r="E749" s="6" t="s">
        <v>58</v>
      </c>
      <c r="F749" s="6" t="s">
        <v>60</v>
      </c>
      <c r="G749" s="6" t="n">
        <v>8</v>
      </c>
      <c r="H749" s="6" t="n">
        <v>1331600</v>
      </c>
      <c r="I749" s="6" t="n">
        <v>735000</v>
      </c>
      <c r="J749" s="6" t="n">
        <v>1253500</v>
      </c>
      <c r="K749" s="6" t="n">
        <v>-78100</v>
      </c>
      <c r="L749" s="6" t="n">
        <v>4</v>
      </c>
      <c r="M749" s="6" t="n">
        <v>0</v>
      </c>
      <c r="N749" s="6" t="n">
        <v>-40.7</v>
      </c>
    </row>
    <row r="750" customFormat="false" ht="15" hidden="false" customHeight="false" outlineLevel="0" collapsed="false">
      <c r="A750" s="6" t="s">
        <v>40</v>
      </c>
      <c r="B750" s="6" t="s">
        <v>40</v>
      </c>
      <c r="C750" s="6" t="s">
        <v>50</v>
      </c>
      <c r="D750" s="6" t="s">
        <v>114</v>
      </c>
      <c r="E750" s="6" t="s">
        <v>60</v>
      </c>
      <c r="F750" s="6" t="s">
        <v>60</v>
      </c>
      <c r="G750" s="6" t="n">
        <v>2</v>
      </c>
      <c r="H750" s="6" t="n">
        <v>250200</v>
      </c>
      <c r="I750" s="6" t="n">
        <v>62400</v>
      </c>
      <c r="J750" s="6" t="n">
        <v>438700</v>
      </c>
      <c r="K750" s="6" t="n">
        <v>188500</v>
      </c>
      <c r="L750" s="6" t="n">
        <v>2</v>
      </c>
      <c r="M750" s="6" t="n">
        <v>0</v>
      </c>
      <c r="N750" s="6" t="n">
        <v>154.5</v>
      </c>
    </row>
    <row r="751" customFormat="false" ht="15" hidden="false" customHeight="false" outlineLevel="0" collapsed="false">
      <c r="A751" s="6" t="s">
        <v>40</v>
      </c>
      <c r="B751" s="6" t="s">
        <v>40</v>
      </c>
      <c r="C751" s="6" t="s">
        <v>52</v>
      </c>
      <c r="D751" s="6" t="s">
        <v>111</v>
      </c>
      <c r="E751" s="6" t="s">
        <v>58</v>
      </c>
      <c r="F751" s="6" t="s">
        <v>58</v>
      </c>
      <c r="G751" s="6" t="n">
        <v>23</v>
      </c>
      <c r="H751" s="6" t="n">
        <v>2547500</v>
      </c>
      <c r="I751" s="6" t="n">
        <v>979000</v>
      </c>
      <c r="J751" s="6" t="n">
        <v>2312900</v>
      </c>
      <c r="K751" s="6" t="n">
        <v>-234500</v>
      </c>
      <c r="L751" s="6" t="n">
        <v>7</v>
      </c>
      <c r="M751" s="6" t="n">
        <v>0</v>
      </c>
      <c r="N751" s="6" t="n">
        <v>-180.2</v>
      </c>
    </row>
    <row r="752" customFormat="false" ht="15" hidden="false" customHeight="false" outlineLevel="0" collapsed="false">
      <c r="A752" s="6" t="s">
        <v>40</v>
      </c>
      <c r="B752" s="6" t="s">
        <v>40</v>
      </c>
      <c r="C752" s="6" t="s">
        <v>52</v>
      </c>
      <c r="D752" s="6" t="s">
        <v>111</v>
      </c>
      <c r="E752" s="6" t="s">
        <v>58</v>
      </c>
      <c r="F752" s="6" t="s">
        <v>60</v>
      </c>
      <c r="G752" s="6" t="n">
        <v>45</v>
      </c>
      <c r="H752" s="6" t="n">
        <v>3377100</v>
      </c>
      <c r="I752" s="6" t="n">
        <v>1429200</v>
      </c>
      <c r="J752" s="6" t="n">
        <v>5004600</v>
      </c>
      <c r="K752" s="6" t="n">
        <v>1627200</v>
      </c>
      <c r="L752" s="6" t="n">
        <v>32</v>
      </c>
      <c r="M752" s="6" t="n">
        <v>0</v>
      </c>
      <c r="N752" s="6" t="n">
        <v>2365.1</v>
      </c>
    </row>
    <row r="753" customFormat="false" ht="15" hidden="false" customHeight="false" outlineLevel="0" collapsed="false">
      <c r="A753" s="6" t="s">
        <v>40</v>
      </c>
      <c r="B753" s="6" t="s">
        <v>40</v>
      </c>
      <c r="C753" s="6" t="s">
        <v>52</v>
      </c>
      <c r="D753" s="6" t="s">
        <v>111</v>
      </c>
      <c r="E753" s="6" t="s">
        <v>60</v>
      </c>
      <c r="F753" s="6" t="s">
        <v>58</v>
      </c>
      <c r="G753" s="6" t="n">
        <v>6</v>
      </c>
      <c r="H753" s="6" t="n">
        <v>636300</v>
      </c>
      <c r="I753" s="6" t="n">
        <v>130300</v>
      </c>
      <c r="J753" s="6" t="n">
        <v>568600</v>
      </c>
      <c r="K753" s="6" t="n">
        <v>-67900</v>
      </c>
      <c r="L753" s="6" t="n">
        <v>2</v>
      </c>
      <c r="M753" s="6" t="n">
        <v>0</v>
      </c>
      <c r="N753" s="6" t="n">
        <v>-60.3</v>
      </c>
    </row>
    <row r="754" customFormat="false" ht="15" hidden="false" customHeight="false" outlineLevel="0" collapsed="false">
      <c r="A754" s="6" t="s">
        <v>40</v>
      </c>
      <c r="B754" s="6" t="s">
        <v>40</v>
      </c>
      <c r="C754" s="6" t="s">
        <v>52</v>
      </c>
      <c r="D754" s="6" t="s">
        <v>111</v>
      </c>
      <c r="E754" s="6" t="s">
        <v>60</v>
      </c>
      <c r="F754" s="6" t="s">
        <v>60</v>
      </c>
      <c r="G754" s="6" t="n">
        <v>23</v>
      </c>
      <c r="H754" s="6" t="n">
        <v>1709200</v>
      </c>
      <c r="I754" s="6" t="n">
        <v>685800</v>
      </c>
      <c r="J754" s="6" t="n">
        <v>2170000</v>
      </c>
      <c r="K754" s="6" t="n">
        <v>460900</v>
      </c>
      <c r="L754" s="6" t="n">
        <v>14</v>
      </c>
      <c r="M754" s="6" t="n">
        <v>0</v>
      </c>
      <c r="N754" s="6" t="n">
        <v>715.4</v>
      </c>
    </row>
    <row r="755" customFormat="false" ht="15" hidden="false" customHeight="false" outlineLevel="0" collapsed="false">
      <c r="A755" s="6" t="s">
        <v>40</v>
      </c>
      <c r="B755" s="6" t="s">
        <v>40</v>
      </c>
      <c r="C755" s="6" t="s">
        <v>52</v>
      </c>
      <c r="D755" s="6" t="s">
        <v>112</v>
      </c>
      <c r="E755" s="6" t="s">
        <v>58</v>
      </c>
      <c r="F755" s="6" t="s">
        <v>58</v>
      </c>
      <c r="G755" s="6" t="n">
        <v>21</v>
      </c>
      <c r="H755" s="6" t="n">
        <v>2251600</v>
      </c>
      <c r="I755" s="6" t="n">
        <v>1127500</v>
      </c>
      <c r="J755" s="6" t="n">
        <v>1989500</v>
      </c>
      <c r="K755" s="6" t="n">
        <v>-261400</v>
      </c>
      <c r="L755" s="6" t="n">
        <v>9</v>
      </c>
      <c r="M755" s="6" t="n">
        <v>0</v>
      </c>
      <c r="N755" s="6" t="n">
        <v>-104.6</v>
      </c>
    </row>
    <row r="756" customFormat="false" ht="15" hidden="false" customHeight="false" outlineLevel="0" collapsed="false">
      <c r="A756" s="6" t="s">
        <v>40</v>
      </c>
      <c r="B756" s="6" t="s">
        <v>40</v>
      </c>
      <c r="C756" s="6" t="s">
        <v>52</v>
      </c>
      <c r="D756" s="6" t="s">
        <v>112</v>
      </c>
      <c r="E756" s="6" t="s">
        <v>58</v>
      </c>
      <c r="F756" s="6" t="s">
        <v>60</v>
      </c>
      <c r="G756" s="6" t="n">
        <v>52</v>
      </c>
      <c r="H756" s="6" t="n">
        <v>3934100</v>
      </c>
      <c r="I756" s="6" t="n">
        <v>1490700</v>
      </c>
      <c r="J756" s="6" t="n">
        <v>5173200</v>
      </c>
      <c r="K756" s="6" t="n">
        <v>1239400</v>
      </c>
      <c r="L756" s="6" t="n">
        <v>39</v>
      </c>
      <c r="M756" s="6" t="n">
        <v>0</v>
      </c>
      <c r="N756" s="6" t="n">
        <v>1942.9</v>
      </c>
    </row>
    <row r="757" customFormat="false" ht="15" hidden="false" customHeight="false" outlineLevel="0" collapsed="false">
      <c r="A757" s="6" t="s">
        <v>40</v>
      </c>
      <c r="B757" s="6" t="s">
        <v>40</v>
      </c>
      <c r="C757" s="6" t="s">
        <v>52</v>
      </c>
      <c r="D757" s="6" t="s">
        <v>112</v>
      </c>
      <c r="E757" s="6" t="s">
        <v>60</v>
      </c>
      <c r="F757" s="6" t="s">
        <v>58</v>
      </c>
      <c r="G757" s="6" t="n">
        <v>12</v>
      </c>
      <c r="H757" s="6" t="n">
        <v>1310700</v>
      </c>
      <c r="I757" s="6" t="n">
        <v>549000</v>
      </c>
      <c r="J757" s="6" t="n">
        <v>1108700</v>
      </c>
      <c r="K757" s="6" t="n">
        <v>-201900</v>
      </c>
      <c r="L757" s="6" t="n">
        <v>3</v>
      </c>
      <c r="M757" s="6" t="n">
        <v>0</v>
      </c>
      <c r="N757" s="6" t="n">
        <v>-163.3</v>
      </c>
    </row>
    <row r="758" customFormat="false" ht="15" hidden="false" customHeight="false" outlineLevel="0" collapsed="false">
      <c r="A758" s="6" t="s">
        <v>40</v>
      </c>
      <c r="B758" s="6" t="s">
        <v>40</v>
      </c>
      <c r="C758" s="6" t="s">
        <v>52</v>
      </c>
      <c r="D758" s="6" t="s">
        <v>112</v>
      </c>
      <c r="E758" s="6" t="s">
        <v>60</v>
      </c>
      <c r="F758" s="6" t="s">
        <v>60</v>
      </c>
      <c r="G758" s="6" t="n">
        <v>27</v>
      </c>
      <c r="H758" s="6" t="n">
        <v>2088900</v>
      </c>
      <c r="I758" s="6" t="n">
        <v>1051800</v>
      </c>
      <c r="J758" s="6" t="n">
        <v>3162700</v>
      </c>
      <c r="K758" s="6" t="n">
        <v>1074000</v>
      </c>
      <c r="L758" s="6" t="n">
        <v>22</v>
      </c>
      <c r="M758" s="6" t="n">
        <v>0</v>
      </c>
      <c r="N758" s="6" t="n">
        <v>1668</v>
      </c>
    </row>
    <row r="759" customFormat="false" ht="15" hidden="false" customHeight="false" outlineLevel="0" collapsed="false">
      <c r="A759" s="6" t="s">
        <v>40</v>
      </c>
      <c r="B759" s="6" t="s">
        <v>40</v>
      </c>
      <c r="C759" s="6" t="s">
        <v>52</v>
      </c>
      <c r="D759" s="6" t="s">
        <v>113</v>
      </c>
      <c r="E759" s="6" t="s">
        <v>58</v>
      </c>
      <c r="F759" s="6" t="s">
        <v>58</v>
      </c>
      <c r="G759" s="6" t="n">
        <v>27</v>
      </c>
      <c r="H759" s="6" t="n">
        <v>2924400</v>
      </c>
      <c r="I759" s="6" t="n">
        <v>1361000</v>
      </c>
      <c r="J759" s="6" t="n">
        <v>2446600</v>
      </c>
      <c r="K759" s="6" t="n">
        <v>-478100</v>
      </c>
      <c r="L759" s="6" t="n">
        <v>8</v>
      </c>
      <c r="M759" s="6" t="n">
        <v>0</v>
      </c>
      <c r="N759" s="6" t="n">
        <v>-363.5</v>
      </c>
    </row>
    <row r="760" customFormat="false" ht="15" hidden="false" customHeight="false" outlineLevel="0" collapsed="false">
      <c r="A760" s="6" t="s">
        <v>40</v>
      </c>
      <c r="B760" s="6" t="s">
        <v>40</v>
      </c>
      <c r="C760" s="6" t="s">
        <v>52</v>
      </c>
      <c r="D760" s="6" t="s">
        <v>113</v>
      </c>
      <c r="E760" s="6" t="s">
        <v>58</v>
      </c>
      <c r="F760" s="6" t="s">
        <v>60</v>
      </c>
      <c r="G760" s="6" t="n">
        <v>64</v>
      </c>
      <c r="H760" s="6" t="n">
        <v>4614300</v>
      </c>
      <c r="I760" s="6" t="n">
        <v>2044900</v>
      </c>
      <c r="J760" s="6" t="n">
        <v>7057800</v>
      </c>
      <c r="K760" s="6" t="n">
        <v>2443500</v>
      </c>
      <c r="L760" s="6" t="n">
        <v>51</v>
      </c>
      <c r="M760" s="6" t="n">
        <v>0</v>
      </c>
      <c r="N760" s="6" t="n">
        <v>3613.7</v>
      </c>
    </row>
    <row r="761" customFormat="false" ht="15" hidden="false" customHeight="false" outlineLevel="0" collapsed="false">
      <c r="A761" s="6" t="s">
        <v>40</v>
      </c>
      <c r="B761" s="6" t="s">
        <v>40</v>
      </c>
      <c r="C761" s="6" t="s">
        <v>52</v>
      </c>
      <c r="D761" s="6" t="s">
        <v>113</v>
      </c>
      <c r="E761" s="6" t="s">
        <v>60</v>
      </c>
      <c r="F761" s="6" t="s">
        <v>58</v>
      </c>
      <c r="G761" s="6" t="n">
        <v>13</v>
      </c>
      <c r="H761" s="6" t="n">
        <v>1414400</v>
      </c>
      <c r="I761" s="6" t="n">
        <v>727600</v>
      </c>
      <c r="J761" s="6" t="n">
        <v>1483600</v>
      </c>
      <c r="K761" s="6" t="n">
        <v>68900</v>
      </c>
      <c r="L761" s="6" t="n">
        <v>8</v>
      </c>
      <c r="M761" s="6" t="n">
        <v>0</v>
      </c>
      <c r="N761" s="6" t="n">
        <v>98.2</v>
      </c>
    </row>
    <row r="762" customFormat="false" ht="15" hidden="false" customHeight="false" outlineLevel="0" collapsed="false">
      <c r="A762" s="6" t="s">
        <v>40</v>
      </c>
      <c r="B762" s="6" t="s">
        <v>40</v>
      </c>
      <c r="C762" s="6" t="s">
        <v>52</v>
      </c>
      <c r="D762" s="6" t="s">
        <v>113</v>
      </c>
      <c r="E762" s="6" t="s">
        <v>60</v>
      </c>
      <c r="F762" s="6" t="s">
        <v>60</v>
      </c>
      <c r="G762" s="6" t="n">
        <v>40</v>
      </c>
      <c r="H762" s="6" t="n">
        <v>3010600</v>
      </c>
      <c r="I762" s="6" t="n">
        <v>1221900</v>
      </c>
      <c r="J762" s="6" t="n">
        <v>5160000</v>
      </c>
      <c r="K762" s="6" t="n">
        <v>2149500</v>
      </c>
      <c r="L762" s="6" t="n">
        <v>34</v>
      </c>
      <c r="M762" s="6" t="n">
        <v>0</v>
      </c>
      <c r="N762" s="6" t="n">
        <v>3046.5</v>
      </c>
    </row>
    <row r="763" customFormat="false" ht="15" hidden="false" customHeight="false" outlineLevel="0" collapsed="false">
      <c r="A763" s="6" t="s">
        <v>40</v>
      </c>
      <c r="B763" s="6" t="s">
        <v>40</v>
      </c>
      <c r="C763" s="6" t="s">
        <v>52</v>
      </c>
      <c r="D763" s="6" t="s">
        <v>114</v>
      </c>
      <c r="E763" s="6" t="s">
        <v>58</v>
      </c>
      <c r="F763" s="6" t="s">
        <v>58</v>
      </c>
      <c r="G763" s="6" t="n">
        <v>24</v>
      </c>
      <c r="H763" s="6" t="n">
        <v>2470100</v>
      </c>
      <c r="I763" s="6" t="n">
        <v>1056900</v>
      </c>
      <c r="J763" s="6" t="n">
        <v>2422900</v>
      </c>
      <c r="K763" s="6" t="n">
        <v>-46900</v>
      </c>
      <c r="L763" s="6" t="n">
        <v>11</v>
      </c>
      <c r="M763" s="6" t="n">
        <v>0</v>
      </c>
      <c r="N763" s="6" t="n">
        <v>-40.1</v>
      </c>
    </row>
    <row r="764" customFormat="false" ht="15" hidden="false" customHeight="false" outlineLevel="0" collapsed="false">
      <c r="A764" s="6" t="s">
        <v>40</v>
      </c>
      <c r="B764" s="6" t="s">
        <v>40</v>
      </c>
      <c r="C764" s="6" t="s">
        <v>52</v>
      </c>
      <c r="D764" s="6" t="s">
        <v>114</v>
      </c>
      <c r="E764" s="6" t="s">
        <v>58</v>
      </c>
      <c r="F764" s="6" t="s">
        <v>60</v>
      </c>
      <c r="G764" s="6" t="n">
        <v>47</v>
      </c>
      <c r="H764" s="6" t="n">
        <v>3543100</v>
      </c>
      <c r="I764" s="6" t="n">
        <v>1624600</v>
      </c>
      <c r="J764" s="6" t="n">
        <v>4984000</v>
      </c>
      <c r="K764" s="6" t="n">
        <v>1440700</v>
      </c>
      <c r="L764" s="6" t="n">
        <v>32</v>
      </c>
      <c r="M764" s="6" t="n">
        <v>0</v>
      </c>
      <c r="N764" s="6" t="n">
        <v>2247.4</v>
      </c>
    </row>
    <row r="765" customFormat="false" ht="15" hidden="false" customHeight="false" outlineLevel="0" collapsed="false">
      <c r="A765" s="6" t="s">
        <v>40</v>
      </c>
      <c r="B765" s="6" t="s">
        <v>40</v>
      </c>
      <c r="C765" s="6" t="s">
        <v>52</v>
      </c>
      <c r="D765" s="6" t="s">
        <v>114</v>
      </c>
      <c r="E765" s="6" t="s">
        <v>60</v>
      </c>
      <c r="F765" s="6" t="s">
        <v>58</v>
      </c>
      <c r="G765" s="6" t="n">
        <v>12</v>
      </c>
      <c r="H765" s="6" t="n">
        <v>1314300</v>
      </c>
      <c r="I765" s="6" t="n">
        <v>555100</v>
      </c>
      <c r="J765" s="6" t="n">
        <v>1202700</v>
      </c>
      <c r="K765" s="6" t="n">
        <v>-111400</v>
      </c>
      <c r="L765" s="6" t="n">
        <v>4</v>
      </c>
      <c r="M765" s="6" t="n">
        <v>0</v>
      </c>
      <c r="N765" s="6" t="n">
        <v>-58.4</v>
      </c>
    </row>
    <row r="766" customFormat="false" ht="15" hidden="false" customHeight="false" outlineLevel="0" collapsed="false">
      <c r="A766" s="6" t="s">
        <v>40</v>
      </c>
      <c r="B766" s="6" t="s">
        <v>40</v>
      </c>
      <c r="C766" s="6" t="s">
        <v>52</v>
      </c>
      <c r="D766" s="6" t="s">
        <v>114</v>
      </c>
      <c r="E766" s="6" t="s">
        <v>60</v>
      </c>
      <c r="F766" s="6" t="s">
        <v>60</v>
      </c>
      <c r="G766" s="6" t="n">
        <v>18</v>
      </c>
      <c r="H766" s="6" t="n">
        <v>1331300</v>
      </c>
      <c r="I766" s="6" t="n">
        <v>463200</v>
      </c>
      <c r="J766" s="6" t="n">
        <v>1979400</v>
      </c>
      <c r="K766" s="6" t="n">
        <v>648200</v>
      </c>
      <c r="L766" s="6" t="n">
        <v>16</v>
      </c>
      <c r="M766" s="6" t="n">
        <v>0</v>
      </c>
      <c r="N766" s="6" t="n">
        <v>912.3</v>
      </c>
    </row>
    <row r="767" customFormat="false" ht="15" hidden="false" customHeight="false" outlineLevel="0" collapsed="false">
      <c r="A767" s="6" t="s">
        <v>40</v>
      </c>
      <c r="B767" s="6" t="s">
        <v>40</v>
      </c>
      <c r="C767" s="6" t="s">
        <v>53</v>
      </c>
      <c r="D767" s="6" t="s">
        <v>111</v>
      </c>
      <c r="E767" s="6" t="s">
        <v>58</v>
      </c>
      <c r="F767" s="6" t="s">
        <v>58</v>
      </c>
      <c r="G767" s="6" t="n">
        <v>26</v>
      </c>
      <c r="H767" s="6" t="n">
        <v>2185500</v>
      </c>
      <c r="I767" s="6" t="n">
        <v>691900</v>
      </c>
      <c r="J767" s="6" t="n">
        <v>2096100</v>
      </c>
      <c r="K767" s="6" t="n">
        <v>-89800</v>
      </c>
      <c r="L767" s="6" t="n">
        <v>11</v>
      </c>
      <c r="M767" s="6" t="n">
        <v>0</v>
      </c>
      <c r="N767" s="6" t="n">
        <v>-16.5</v>
      </c>
    </row>
    <row r="768" customFormat="false" ht="15" hidden="false" customHeight="false" outlineLevel="0" collapsed="false">
      <c r="A768" s="6" t="s">
        <v>40</v>
      </c>
      <c r="B768" s="6" t="s">
        <v>40</v>
      </c>
      <c r="C768" s="6" t="s">
        <v>53</v>
      </c>
      <c r="D768" s="6" t="s">
        <v>111</v>
      </c>
      <c r="E768" s="6" t="s">
        <v>58</v>
      </c>
      <c r="F768" s="6" t="s">
        <v>60</v>
      </c>
      <c r="G768" s="6" t="n">
        <v>47</v>
      </c>
      <c r="H768" s="6" t="n">
        <v>2633200</v>
      </c>
      <c r="I768" s="6" t="n">
        <v>1347300</v>
      </c>
      <c r="J768" s="6" t="n">
        <v>3773900</v>
      </c>
      <c r="K768" s="6" t="n">
        <v>1140100</v>
      </c>
      <c r="L768" s="6" t="n">
        <v>35</v>
      </c>
      <c r="M768" s="6" t="n">
        <v>0</v>
      </c>
      <c r="N768" s="6" t="n">
        <v>2312.7</v>
      </c>
    </row>
    <row r="769" customFormat="false" ht="15" hidden="false" customHeight="false" outlineLevel="0" collapsed="false">
      <c r="A769" s="6" t="s">
        <v>40</v>
      </c>
      <c r="B769" s="6" t="s">
        <v>40</v>
      </c>
      <c r="C769" s="6" t="s">
        <v>53</v>
      </c>
      <c r="D769" s="6" t="s">
        <v>111</v>
      </c>
      <c r="E769" s="6" t="s">
        <v>60</v>
      </c>
      <c r="F769" s="6" t="s">
        <v>58</v>
      </c>
      <c r="G769" s="6" t="n">
        <v>9</v>
      </c>
      <c r="H769" s="6" t="n">
        <v>715600</v>
      </c>
      <c r="I769" s="6" t="n">
        <v>343000</v>
      </c>
      <c r="J769" s="6" t="n">
        <v>907800</v>
      </c>
      <c r="K769" s="6" t="n">
        <v>192300</v>
      </c>
      <c r="L769" s="6" t="n">
        <v>7</v>
      </c>
      <c r="M769" s="6" t="n">
        <v>0</v>
      </c>
      <c r="N769" s="6" t="n">
        <v>254.8</v>
      </c>
    </row>
    <row r="770" customFormat="false" ht="15" hidden="false" customHeight="false" outlineLevel="0" collapsed="false">
      <c r="A770" s="6" t="s">
        <v>40</v>
      </c>
      <c r="B770" s="6" t="s">
        <v>40</v>
      </c>
      <c r="C770" s="6" t="s">
        <v>53</v>
      </c>
      <c r="D770" s="6" t="s">
        <v>111</v>
      </c>
      <c r="E770" s="6" t="s">
        <v>60</v>
      </c>
      <c r="F770" s="6" t="s">
        <v>60</v>
      </c>
      <c r="G770" s="6" t="n">
        <v>22</v>
      </c>
      <c r="H770" s="6" t="n">
        <v>1350700</v>
      </c>
      <c r="I770" s="6" t="n">
        <v>582100</v>
      </c>
      <c r="J770" s="6" t="n">
        <v>1894100</v>
      </c>
      <c r="K770" s="6" t="n">
        <v>543400</v>
      </c>
      <c r="L770" s="6" t="n">
        <v>15</v>
      </c>
      <c r="M770" s="6" t="n">
        <v>0</v>
      </c>
      <c r="N770" s="6" t="n">
        <v>998.9</v>
      </c>
    </row>
    <row r="771" customFormat="false" ht="15" hidden="false" customHeight="false" outlineLevel="0" collapsed="false">
      <c r="A771" s="6" t="s">
        <v>40</v>
      </c>
      <c r="B771" s="6" t="s">
        <v>40</v>
      </c>
      <c r="C771" s="6" t="s">
        <v>53</v>
      </c>
      <c r="D771" s="6" t="s">
        <v>112</v>
      </c>
      <c r="E771" s="6" t="s">
        <v>58</v>
      </c>
      <c r="F771" s="6" t="s">
        <v>58</v>
      </c>
      <c r="G771" s="6" t="n">
        <v>17</v>
      </c>
      <c r="H771" s="6" t="n">
        <v>1481700</v>
      </c>
      <c r="I771" s="6" t="n">
        <v>697200</v>
      </c>
      <c r="J771" s="6" t="n">
        <v>1328000</v>
      </c>
      <c r="K771" s="6" t="n">
        <v>-153800</v>
      </c>
      <c r="L771" s="6" t="n">
        <v>3</v>
      </c>
      <c r="M771" s="6" t="n">
        <v>0</v>
      </c>
      <c r="N771" s="6" t="n">
        <v>-178.6</v>
      </c>
    </row>
    <row r="772" customFormat="false" ht="15" hidden="false" customHeight="false" outlineLevel="0" collapsed="false">
      <c r="A772" s="6" t="s">
        <v>40</v>
      </c>
      <c r="B772" s="6" t="s">
        <v>40</v>
      </c>
      <c r="C772" s="6" t="s">
        <v>53</v>
      </c>
      <c r="D772" s="6" t="s">
        <v>112</v>
      </c>
      <c r="E772" s="6" t="s">
        <v>58</v>
      </c>
      <c r="F772" s="6" t="s">
        <v>60</v>
      </c>
      <c r="G772" s="6" t="n">
        <v>43</v>
      </c>
      <c r="H772" s="6" t="n">
        <v>2436100</v>
      </c>
      <c r="I772" s="6" t="n">
        <v>1077100</v>
      </c>
      <c r="J772" s="6" t="n">
        <v>3831000</v>
      </c>
      <c r="K772" s="6" t="n">
        <v>1395500</v>
      </c>
      <c r="L772" s="6" t="n">
        <v>39</v>
      </c>
      <c r="M772" s="6" t="n">
        <v>0</v>
      </c>
      <c r="N772" s="6" t="n">
        <v>2682.3</v>
      </c>
    </row>
    <row r="773" customFormat="false" ht="15" hidden="false" customHeight="false" outlineLevel="0" collapsed="false">
      <c r="A773" s="6" t="s">
        <v>40</v>
      </c>
      <c r="B773" s="6" t="s">
        <v>40</v>
      </c>
      <c r="C773" s="6" t="s">
        <v>53</v>
      </c>
      <c r="D773" s="6" t="s">
        <v>112</v>
      </c>
      <c r="E773" s="6" t="s">
        <v>60</v>
      </c>
      <c r="F773" s="6" t="s">
        <v>58</v>
      </c>
      <c r="G773" s="6" t="n">
        <v>18</v>
      </c>
      <c r="H773" s="6" t="n">
        <v>1503600</v>
      </c>
      <c r="I773" s="6" t="n">
        <v>489900</v>
      </c>
      <c r="J773" s="6" t="n">
        <v>1610000</v>
      </c>
      <c r="K773" s="6" t="n">
        <v>106300</v>
      </c>
      <c r="L773" s="6" t="n">
        <v>7</v>
      </c>
      <c r="M773" s="6" t="n">
        <v>0</v>
      </c>
      <c r="N773" s="6" t="n">
        <v>156</v>
      </c>
    </row>
    <row r="774" customFormat="false" ht="15" hidden="false" customHeight="false" outlineLevel="0" collapsed="false">
      <c r="A774" s="6" t="s">
        <v>40</v>
      </c>
      <c r="B774" s="6" t="s">
        <v>40</v>
      </c>
      <c r="C774" s="6" t="s">
        <v>53</v>
      </c>
      <c r="D774" s="6" t="s">
        <v>112</v>
      </c>
      <c r="E774" s="6" t="s">
        <v>60</v>
      </c>
      <c r="F774" s="6" t="s">
        <v>60</v>
      </c>
      <c r="G774" s="6" t="n">
        <v>32</v>
      </c>
      <c r="H774" s="6" t="n">
        <v>1845100</v>
      </c>
      <c r="I774" s="6" t="n">
        <v>863500</v>
      </c>
      <c r="J774" s="6" t="n">
        <v>2988600</v>
      </c>
      <c r="K774" s="6" t="n">
        <v>1143700</v>
      </c>
      <c r="L774" s="6" t="n">
        <v>29</v>
      </c>
      <c r="M774" s="6" t="n">
        <v>0</v>
      </c>
      <c r="N774" s="6" t="n">
        <v>2076.8</v>
      </c>
    </row>
    <row r="775" customFormat="false" ht="15" hidden="false" customHeight="false" outlineLevel="0" collapsed="false">
      <c r="A775" s="6" t="s">
        <v>40</v>
      </c>
      <c r="B775" s="6" t="s">
        <v>40</v>
      </c>
      <c r="C775" s="6" t="s">
        <v>53</v>
      </c>
      <c r="D775" s="6" t="s">
        <v>113</v>
      </c>
      <c r="E775" s="6" t="s">
        <v>58</v>
      </c>
      <c r="F775" s="6" t="s">
        <v>58</v>
      </c>
      <c r="G775" s="6" t="n">
        <v>27</v>
      </c>
      <c r="H775" s="6" t="n">
        <v>2341300</v>
      </c>
      <c r="I775" s="6" t="n">
        <v>1047900</v>
      </c>
      <c r="J775" s="6" t="n">
        <v>2091600</v>
      </c>
      <c r="K775" s="6" t="n">
        <v>-249600</v>
      </c>
      <c r="L775" s="6" t="n">
        <v>10</v>
      </c>
      <c r="M775" s="6" t="n">
        <v>0</v>
      </c>
      <c r="N775" s="6" t="n">
        <v>-225.7</v>
      </c>
    </row>
    <row r="776" customFormat="false" ht="15" hidden="false" customHeight="false" outlineLevel="0" collapsed="false">
      <c r="A776" s="6" t="s">
        <v>40</v>
      </c>
      <c r="B776" s="6" t="s">
        <v>40</v>
      </c>
      <c r="C776" s="6" t="s">
        <v>53</v>
      </c>
      <c r="D776" s="6" t="s">
        <v>113</v>
      </c>
      <c r="E776" s="6" t="s">
        <v>58</v>
      </c>
      <c r="F776" s="6" t="s">
        <v>60</v>
      </c>
      <c r="G776" s="6" t="n">
        <v>64</v>
      </c>
      <c r="H776" s="6" t="n">
        <v>3785900</v>
      </c>
      <c r="I776" s="6" t="n">
        <v>1296500</v>
      </c>
      <c r="J776" s="6" t="n">
        <v>5802100</v>
      </c>
      <c r="K776" s="6" t="n">
        <v>2016100</v>
      </c>
      <c r="L776" s="6" t="n">
        <v>51</v>
      </c>
      <c r="M776" s="6" t="n">
        <v>0</v>
      </c>
      <c r="N776" s="6" t="n">
        <v>3571.6</v>
      </c>
    </row>
    <row r="777" customFormat="false" ht="15" hidden="false" customHeight="false" outlineLevel="0" collapsed="false">
      <c r="A777" s="6" t="s">
        <v>40</v>
      </c>
      <c r="B777" s="6" t="s">
        <v>40</v>
      </c>
      <c r="C777" s="6" t="s">
        <v>53</v>
      </c>
      <c r="D777" s="6" t="s">
        <v>113</v>
      </c>
      <c r="E777" s="6" t="s">
        <v>60</v>
      </c>
      <c r="F777" s="6" t="s">
        <v>58</v>
      </c>
      <c r="G777" s="6" t="n">
        <v>15</v>
      </c>
      <c r="H777" s="6" t="n">
        <v>1188300</v>
      </c>
      <c r="I777" s="6" t="n">
        <v>369000</v>
      </c>
      <c r="J777" s="6" t="n">
        <v>1327500</v>
      </c>
      <c r="K777" s="6" t="n">
        <v>139500</v>
      </c>
      <c r="L777" s="6" t="n">
        <v>8</v>
      </c>
      <c r="M777" s="6" t="n">
        <v>0</v>
      </c>
      <c r="N777" s="6" t="n">
        <v>257</v>
      </c>
    </row>
    <row r="778" customFormat="false" ht="15" hidden="false" customHeight="false" outlineLevel="0" collapsed="false">
      <c r="A778" s="6" t="s">
        <v>40</v>
      </c>
      <c r="B778" s="6" t="s">
        <v>40</v>
      </c>
      <c r="C778" s="6" t="s">
        <v>53</v>
      </c>
      <c r="D778" s="6" t="s">
        <v>113</v>
      </c>
      <c r="E778" s="6" t="s">
        <v>60</v>
      </c>
      <c r="F778" s="6" t="s">
        <v>60</v>
      </c>
      <c r="G778" s="6" t="n">
        <v>25</v>
      </c>
      <c r="H778" s="6" t="n">
        <v>1420600</v>
      </c>
      <c r="I778" s="6" t="n">
        <v>517000</v>
      </c>
      <c r="J778" s="6" t="n">
        <v>2502900</v>
      </c>
      <c r="K778" s="6" t="n">
        <v>1081700</v>
      </c>
      <c r="L778" s="6" t="n">
        <v>24</v>
      </c>
      <c r="M778" s="6" t="n">
        <v>0</v>
      </c>
      <c r="N778" s="6" t="n">
        <v>1898.4</v>
      </c>
    </row>
    <row r="779" customFormat="false" ht="15" hidden="false" customHeight="false" outlineLevel="0" collapsed="false">
      <c r="A779" s="6" t="s">
        <v>40</v>
      </c>
      <c r="B779" s="6" t="s">
        <v>40</v>
      </c>
      <c r="C779" s="6" t="s">
        <v>53</v>
      </c>
      <c r="D779" s="6" t="s">
        <v>114</v>
      </c>
      <c r="E779" s="6" t="s">
        <v>58</v>
      </c>
      <c r="F779" s="6" t="s">
        <v>58</v>
      </c>
      <c r="G779" s="6" t="n">
        <v>16</v>
      </c>
      <c r="H779" s="6" t="n">
        <v>1326200</v>
      </c>
      <c r="I779" s="6" t="n">
        <v>758500</v>
      </c>
      <c r="J779" s="6" t="n">
        <v>1041400</v>
      </c>
      <c r="K779" s="6" t="n">
        <v>-284800</v>
      </c>
      <c r="L779" s="6" t="n">
        <v>3</v>
      </c>
      <c r="M779" s="6" t="n">
        <v>0</v>
      </c>
      <c r="N779" s="6" t="n">
        <v>-297.7</v>
      </c>
    </row>
    <row r="780" customFormat="false" ht="15" hidden="false" customHeight="false" outlineLevel="0" collapsed="false">
      <c r="A780" s="6" t="s">
        <v>40</v>
      </c>
      <c r="B780" s="6" t="s">
        <v>40</v>
      </c>
      <c r="C780" s="6" t="s">
        <v>53</v>
      </c>
      <c r="D780" s="6" t="s">
        <v>114</v>
      </c>
      <c r="E780" s="6" t="s">
        <v>58</v>
      </c>
      <c r="F780" s="6" t="s">
        <v>60</v>
      </c>
      <c r="G780" s="6" t="n">
        <v>35</v>
      </c>
      <c r="H780" s="6" t="n">
        <v>1993700</v>
      </c>
      <c r="I780" s="6" t="n">
        <v>943700</v>
      </c>
      <c r="J780" s="6" t="n">
        <v>2729800</v>
      </c>
      <c r="K780" s="6" t="n">
        <v>736100</v>
      </c>
      <c r="L780" s="6" t="n">
        <v>26</v>
      </c>
      <c r="M780" s="6" t="n">
        <v>0</v>
      </c>
      <c r="N780" s="6" t="n">
        <v>1498.4</v>
      </c>
    </row>
    <row r="781" customFormat="false" ht="15" hidden="false" customHeight="false" outlineLevel="0" collapsed="false">
      <c r="A781" s="6" t="s">
        <v>40</v>
      </c>
      <c r="B781" s="6" t="s">
        <v>40</v>
      </c>
      <c r="C781" s="6" t="s">
        <v>53</v>
      </c>
      <c r="D781" s="6" t="s">
        <v>114</v>
      </c>
      <c r="E781" s="6" t="s">
        <v>60</v>
      </c>
      <c r="F781" s="6" t="s">
        <v>58</v>
      </c>
      <c r="G781" s="6" t="n">
        <v>12</v>
      </c>
      <c r="H781" s="6" t="n">
        <v>1005400</v>
      </c>
      <c r="I781" s="6" t="n">
        <v>460400</v>
      </c>
      <c r="J781" s="6" t="n">
        <v>1031800</v>
      </c>
      <c r="K781" s="6" t="n">
        <v>26500</v>
      </c>
      <c r="L781" s="6" t="n">
        <v>3</v>
      </c>
      <c r="M781" s="6" t="n">
        <v>0</v>
      </c>
      <c r="N781" s="6" t="n">
        <v>46.6</v>
      </c>
    </row>
    <row r="782" customFormat="false" ht="15" hidden="false" customHeight="false" outlineLevel="0" collapsed="false">
      <c r="A782" s="6" t="s">
        <v>40</v>
      </c>
      <c r="B782" s="6" t="s">
        <v>40</v>
      </c>
      <c r="C782" s="6" t="s">
        <v>53</v>
      </c>
      <c r="D782" s="6" t="s">
        <v>114</v>
      </c>
      <c r="E782" s="6" t="s">
        <v>60</v>
      </c>
      <c r="F782" s="6" t="s">
        <v>60</v>
      </c>
      <c r="G782" s="6" t="n">
        <v>18</v>
      </c>
      <c r="H782" s="6" t="n">
        <v>1088900</v>
      </c>
      <c r="I782" s="6" t="n">
        <v>455400</v>
      </c>
      <c r="J782" s="6" t="n">
        <v>1800100</v>
      </c>
      <c r="K782" s="6" t="n">
        <v>711200</v>
      </c>
      <c r="L782" s="6" t="n">
        <v>16</v>
      </c>
      <c r="M782" s="6" t="n">
        <v>0</v>
      </c>
      <c r="N782" s="6" t="n">
        <v>1237.1</v>
      </c>
    </row>
    <row r="783" customFormat="false" ht="15" hidden="false" customHeight="false" outlineLevel="0" collapsed="false">
      <c r="A783" s="6" t="s">
        <v>40</v>
      </c>
      <c r="B783" s="6" t="s">
        <v>40</v>
      </c>
      <c r="C783" s="6" t="s">
        <v>51</v>
      </c>
      <c r="D783" s="6" t="s">
        <v>111</v>
      </c>
      <c r="E783" s="6" t="s">
        <v>58</v>
      </c>
      <c r="F783" s="6" t="s">
        <v>58</v>
      </c>
      <c r="G783" s="6" t="n">
        <v>21</v>
      </c>
      <c r="H783" s="6" t="n">
        <v>2410200</v>
      </c>
      <c r="I783" s="6" t="n">
        <v>1121900</v>
      </c>
      <c r="J783" s="6" t="n">
        <v>1948400</v>
      </c>
      <c r="K783" s="6" t="n">
        <v>-461600</v>
      </c>
      <c r="L783" s="6" t="n">
        <v>6</v>
      </c>
      <c r="M783" s="6" t="n">
        <v>0</v>
      </c>
      <c r="N783" s="6" t="n">
        <v>-287.2</v>
      </c>
    </row>
    <row r="784" customFormat="false" ht="15" hidden="false" customHeight="false" outlineLevel="0" collapsed="false">
      <c r="A784" s="6" t="s">
        <v>40</v>
      </c>
      <c r="B784" s="6" t="s">
        <v>40</v>
      </c>
      <c r="C784" s="6" t="s">
        <v>51</v>
      </c>
      <c r="D784" s="6" t="s">
        <v>111</v>
      </c>
      <c r="E784" s="6" t="s">
        <v>58</v>
      </c>
      <c r="F784" s="6" t="s">
        <v>60</v>
      </c>
      <c r="G784" s="6" t="n">
        <v>24</v>
      </c>
      <c r="H784" s="6" t="n">
        <v>1950300</v>
      </c>
      <c r="I784" s="6" t="n">
        <v>878200</v>
      </c>
      <c r="J784" s="6" t="n">
        <v>2646000</v>
      </c>
      <c r="K784" s="6" t="n">
        <v>695900</v>
      </c>
      <c r="L784" s="6" t="n">
        <v>18</v>
      </c>
      <c r="M784" s="6" t="n">
        <v>0</v>
      </c>
      <c r="N784" s="6" t="n">
        <v>1045.8</v>
      </c>
    </row>
    <row r="785" customFormat="false" ht="15" hidden="false" customHeight="false" outlineLevel="0" collapsed="false">
      <c r="A785" s="6" t="s">
        <v>40</v>
      </c>
      <c r="B785" s="6" t="s">
        <v>40</v>
      </c>
      <c r="C785" s="6" t="s">
        <v>51</v>
      </c>
      <c r="D785" s="6" t="s">
        <v>111</v>
      </c>
      <c r="E785" s="6" t="s">
        <v>60</v>
      </c>
      <c r="F785" s="6" t="s">
        <v>58</v>
      </c>
      <c r="G785" s="6" t="n">
        <v>11</v>
      </c>
      <c r="H785" s="6" t="n">
        <v>1304800</v>
      </c>
      <c r="I785" s="6" t="n">
        <v>641900</v>
      </c>
      <c r="J785" s="6" t="n">
        <v>1254600</v>
      </c>
      <c r="K785" s="6" t="n">
        <v>-50200</v>
      </c>
      <c r="L785" s="6" t="n">
        <v>4</v>
      </c>
      <c r="M785" s="6" t="n">
        <v>0</v>
      </c>
      <c r="N785" s="6" t="n">
        <v>-27</v>
      </c>
    </row>
    <row r="786" customFormat="false" ht="15" hidden="false" customHeight="false" outlineLevel="0" collapsed="false">
      <c r="A786" s="6" t="s">
        <v>40</v>
      </c>
      <c r="B786" s="6" t="s">
        <v>40</v>
      </c>
      <c r="C786" s="6" t="s">
        <v>51</v>
      </c>
      <c r="D786" s="6" t="s">
        <v>111</v>
      </c>
      <c r="E786" s="6" t="s">
        <v>60</v>
      </c>
      <c r="F786" s="6" t="s">
        <v>60</v>
      </c>
      <c r="G786" s="6" t="n">
        <v>16</v>
      </c>
      <c r="H786" s="6" t="n">
        <v>1207400</v>
      </c>
      <c r="I786" s="6" t="n">
        <v>515900</v>
      </c>
      <c r="J786" s="6" t="n">
        <v>2177000</v>
      </c>
      <c r="K786" s="6" t="n">
        <v>969600</v>
      </c>
      <c r="L786" s="6" t="n">
        <v>13</v>
      </c>
      <c r="M786" s="6" t="n">
        <v>0</v>
      </c>
      <c r="N786" s="6" t="n">
        <v>1344.6</v>
      </c>
    </row>
    <row r="787" customFormat="false" ht="15" hidden="false" customHeight="false" outlineLevel="0" collapsed="false">
      <c r="A787" s="6" t="s">
        <v>40</v>
      </c>
      <c r="B787" s="6" t="s">
        <v>40</v>
      </c>
      <c r="C787" s="6" t="s">
        <v>51</v>
      </c>
      <c r="D787" s="6" t="s">
        <v>112</v>
      </c>
      <c r="E787" s="6" t="s">
        <v>58</v>
      </c>
      <c r="F787" s="6" t="s">
        <v>58</v>
      </c>
      <c r="G787" s="6" t="n">
        <v>14</v>
      </c>
      <c r="H787" s="6" t="n">
        <v>1609900</v>
      </c>
      <c r="I787" s="6" t="n">
        <v>460400</v>
      </c>
      <c r="J787" s="6" t="n">
        <v>1289000</v>
      </c>
      <c r="K787" s="6" t="n">
        <v>-320700</v>
      </c>
      <c r="L787" s="6" t="n">
        <v>4</v>
      </c>
      <c r="M787" s="6" t="n">
        <v>0</v>
      </c>
      <c r="N787" s="6" t="n">
        <v>-265</v>
      </c>
    </row>
    <row r="788" customFormat="false" ht="15" hidden="false" customHeight="false" outlineLevel="0" collapsed="false">
      <c r="A788" s="6" t="s">
        <v>40</v>
      </c>
      <c r="B788" s="6" t="s">
        <v>40</v>
      </c>
      <c r="C788" s="6" t="s">
        <v>51</v>
      </c>
      <c r="D788" s="6" t="s">
        <v>112</v>
      </c>
      <c r="E788" s="6" t="s">
        <v>58</v>
      </c>
      <c r="F788" s="6" t="s">
        <v>60</v>
      </c>
      <c r="G788" s="6" t="n">
        <v>29</v>
      </c>
      <c r="H788" s="6" t="n">
        <v>2539700</v>
      </c>
      <c r="I788" s="6" t="n">
        <v>993200</v>
      </c>
      <c r="J788" s="6" t="n">
        <v>3004000</v>
      </c>
      <c r="K788" s="6" t="n">
        <v>464500</v>
      </c>
      <c r="L788" s="6" t="n">
        <v>15</v>
      </c>
      <c r="M788" s="6" t="n">
        <v>0</v>
      </c>
      <c r="N788" s="6" t="n">
        <v>567</v>
      </c>
    </row>
    <row r="789" customFormat="false" ht="15" hidden="false" customHeight="false" outlineLevel="0" collapsed="false">
      <c r="A789" s="6" t="s">
        <v>40</v>
      </c>
      <c r="B789" s="6" t="s">
        <v>40</v>
      </c>
      <c r="C789" s="6" t="s">
        <v>51</v>
      </c>
      <c r="D789" s="6" t="s">
        <v>112</v>
      </c>
      <c r="E789" s="6" t="s">
        <v>60</v>
      </c>
      <c r="F789" s="6" t="s">
        <v>58</v>
      </c>
      <c r="G789" s="6" t="n">
        <v>6</v>
      </c>
      <c r="H789" s="6" t="n">
        <v>591500</v>
      </c>
      <c r="I789" s="6" t="n">
        <v>152400</v>
      </c>
      <c r="J789" s="6" t="n">
        <v>619700</v>
      </c>
      <c r="K789" s="6" t="n">
        <v>28300</v>
      </c>
      <c r="L789" s="6" t="n">
        <v>4</v>
      </c>
      <c r="M789" s="6" t="n">
        <v>0</v>
      </c>
      <c r="N789" s="6" t="n">
        <v>31.1</v>
      </c>
    </row>
    <row r="790" customFormat="false" ht="15" hidden="false" customHeight="false" outlineLevel="0" collapsed="false">
      <c r="A790" s="6" t="s">
        <v>40</v>
      </c>
      <c r="B790" s="6" t="s">
        <v>40</v>
      </c>
      <c r="C790" s="6" t="s">
        <v>51</v>
      </c>
      <c r="D790" s="6" t="s">
        <v>112</v>
      </c>
      <c r="E790" s="6" t="s">
        <v>60</v>
      </c>
      <c r="F790" s="6" t="s">
        <v>60</v>
      </c>
      <c r="G790" s="6" t="n">
        <v>19</v>
      </c>
      <c r="H790" s="6" t="n">
        <v>1482200</v>
      </c>
      <c r="I790" s="6" t="n">
        <v>643000</v>
      </c>
      <c r="J790" s="6" t="n">
        <v>2605700</v>
      </c>
      <c r="K790" s="6" t="n">
        <v>1123600</v>
      </c>
      <c r="L790" s="6" t="n">
        <v>17</v>
      </c>
      <c r="M790" s="6" t="n">
        <v>0</v>
      </c>
      <c r="N790" s="6" t="n">
        <v>1562.1</v>
      </c>
    </row>
    <row r="791" customFormat="false" ht="15" hidden="false" customHeight="false" outlineLevel="0" collapsed="false">
      <c r="A791" s="6" t="s">
        <v>40</v>
      </c>
      <c r="B791" s="6" t="s">
        <v>40</v>
      </c>
      <c r="C791" s="6" t="s">
        <v>51</v>
      </c>
      <c r="D791" s="6" t="s">
        <v>113</v>
      </c>
      <c r="E791" s="6" t="s">
        <v>58</v>
      </c>
      <c r="F791" s="6" t="s">
        <v>58</v>
      </c>
      <c r="G791" s="6" t="n">
        <v>21</v>
      </c>
      <c r="H791" s="6" t="n">
        <v>2510300</v>
      </c>
      <c r="I791" s="6" t="n">
        <v>1073300</v>
      </c>
      <c r="J791" s="6" t="n">
        <v>2235200</v>
      </c>
      <c r="K791" s="6" t="n">
        <v>-275200</v>
      </c>
      <c r="L791" s="6" t="n">
        <v>10</v>
      </c>
      <c r="M791" s="6" t="n">
        <v>0</v>
      </c>
      <c r="N791" s="6" t="n">
        <v>-151.7</v>
      </c>
    </row>
    <row r="792" customFormat="false" ht="15" hidden="false" customHeight="false" outlineLevel="0" collapsed="false">
      <c r="A792" s="6" t="s">
        <v>40</v>
      </c>
      <c r="B792" s="6" t="s">
        <v>40</v>
      </c>
      <c r="C792" s="6" t="s">
        <v>51</v>
      </c>
      <c r="D792" s="6" t="s">
        <v>113</v>
      </c>
      <c r="E792" s="6" t="s">
        <v>58</v>
      </c>
      <c r="F792" s="6" t="s">
        <v>60</v>
      </c>
      <c r="G792" s="6" t="n">
        <v>36</v>
      </c>
      <c r="H792" s="6" t="n">
        <v>3065000</v>
      </c>
      <c r="I792" s="6" t="n">
        <v>1363900</v>
      </c>
      <c r="J792" s="6" t="n">
        <v>4120400</v>
      </c>
      <c r="K792" s="6" t="n">
        <v>1055300</v>
      </c>
      <c r="L792" s="6" t="n">
        <v>24</v>
      </c>
      <c r="M792" s="6" t="n">
        <v>0</v>
      </c>
      <c r="N792" s="6" t="n">
        <v>1306.6</v>
      </c>
    </row>
    <row r="793" customFormat="false" ht="15" hidden="false" customHeight="false" outlineLevel="0" collapsed="false">
      <c r="A793" s="6" t="s">
        <v>40</v>
      </c>
      <c r="B793" s="6" t="s">
        <v>40</v>
      </c>
      <c r="C793" s="6" t="s">
        <v>51</v>
      </c>
      <c r="D793" s="6" t="s">
        <v>113</v>
      </c>
      <c r="E793" s="6" t="s">
        <v>60</v>
      </c>
      <c r="F793" s="6" t="s">
        <v>58</v>
      </c>
      <c r="G793" s="6" t="n">
        <v>8</v>
      </c>
      <c r="H793" s="6" t="n">
        <v>1024900</v>
      </c>
      <c r="I793" s="6" t="n">
        <v>313200</v>
      </c>
      <c r="J793" s="6" t="n">
        <v>1307000</v>
      </c>
      <c r="K793" s="6" t="n">
        <v>282100</v>
      </c>
      <c r="L793" s="6" t="n">
        <v>7</v>
      </c>
      <c r="M793" s="6" t="n">
        <v>0</v>
      </c>
      <c r="N793" s="6" t="n">
        <v>274.3</v>
      </c>
    </row>
    <row r="794" customFormat="false" ht="15" hidden="false" customHeight="false" outlineLevel="0" collapsed="false">
      <c r="A794" s="6" t="s">
        <v>40</v>
      </c>
      <c r="B794" s="6" t="s">
        <v>40</v>
      </c>
      <c r="C794" s="6" t="s">
        <v>51</v>
      </c>
      <c r="D794" s="6" t="s">
        <v>113</v>
      </c>
      <c r="E794" s="6" t="s">
        <v>60</v>
      </c>
      <c r="F794" s="6" t="s">
        <v>60</v>
      </c>
      <c r="G794" s="6" t="n">
        <v>9</v>
      </c>
      <c r="H794" s="6" t="n">
        <v>757400</v>
      </c>
      <c r="I794" s="6" t="n">
        <v>400400</v>
      </c>
      <c r="J794" s="6" t="n">
        <v>891000</v>
      </c>
      <c r="K794" s="6" t="n">
        <v>133700</v>
      </c>
      <c r="L794" s="6" t="n">
        <v>5</v>
      </c>
      <c r="M794" s="6" t="n">
        <v>0</v>
      </c>
      <c r="N794" s="6" t="n">
        <v>176.7</v>
      </c>
    </row>
    <row r="795" customFormat="false" ht="15" hidden="false" customHeight="false" outlineLevel="0" collapsed="false">
      <c r="A795" s="6" t="s">
        <v>40</v>
      </c>
      <c r="B795" s="6" t="s">
        <v>40</v>
      </c>
      <c r="C795" s="6" t="s">
        <v>51</v>
      </c>
      <c r="D795" s="6" t="s">
        <v>114</v>
      </c>
      <c r="E795" s="6" t="s">
        <v>58</v>
      </c>
      <c r="F795" s="6" t="s">
        <v>58</v>
      </c>
      <c r="G795" s="6" t="n">
        <v>13</v>
      </c>
      <c r="H795" s="6" t="n">
        <v>1397800</v>
      </c>
      <c r="I795" s="6" t="n">
        <v>464900</v>
      </c>
      <c r="J795" s="6" t="n">
        <v>1322100</v>
      </c>
      <c r="K795" s="6" t="n">
        <v>-75700</v>
      </c>
      <c r="L795" s="6" t="n">
        <v>5</v>
      </c>
      <c r="M795" s="6" t="n">
        <v>0</v>
      </c>
      <c r="N795" s="6" t="n">
        <v>-23.4</v>
      </c>
    </row>
    <row r="796" customFormat="false" ht="15" hidden="false" customHeight="false" outlineLevel="0" collapsed="false">
      <c r="A796" s="6" t="s">
        <v>40</v>
      </c>
      <c r="B796" s="6" t="s">
        <v>40</v>
      </c>
      <c r="C796" s="6" t="s">
        <v>51</v>
      </c>
      <c r="D796" s="6" t="s">
        <v>114</v>
      </c>
      <c r="E796" s="6" t="s">
        <v>58</v>
      </c>
      <c r="F796" s="6" t="s">
        <v>60</v>
      </c>
      <c r="G796" s="6" t="n">
        <v>25</v>
      </c>
      <c r="H796" s="6" t="n">
        <v>2233400</v>
      </c>
      <c r="I796" s="6" t="n">
        <v>1191900</v>
      </c>
      <c r="J796" s="6" t="n">
        <v>3203100</v>
      </c>
      <c r="K796" s="6" t="n">
        <v>969700</v>
      </c>
      <c r="L796" s="6" t="n">
        <v>20</v>
      </c>
      <c r="M796" s="6" t="n">
        <v>0</v>
      </c>
      <c r="N796" s="6" t="n">
        <v>1235.2</v>
      </c>
    </row>
    <row r="797" customFormat="false" ht="15" hidden="false" customHeight="false" outlineLevel="0" collapsed="false">
      <c r="A797" s="6" t="s">
        <v>40</v>
      </c>
      <c r="B797" s="6" t="s">
        <v>40</v>
      </c>
      <c r="C797" s="6" t="s">
        <v>51</v>
      </c>
      <c r="D797" s="6" t="s">
        <v>114</v>
      </c>
      <c r="E797" s="6" t="s">
        <v>60</v>
      </c>
      <c r="F797" s="6" t="s">
        <v>58</v>
      </c>
      <c r="G797" s="6" t="n">
        <v>3</v>
      </c>
      <c r="H797" s="6" t="n">
        <v>411400</v>
      </c>
      <c r="I797" s="6" t="n">
        <v>158200</v>
      </c>
      <c r="J797" s="6" t="n">
        <v>353900</v>
      </c>
      <c r="K797" s="6" t="n">
        <v>-57500</v>
      </c>
      <c r="L797" s="6" t="n">
        <v>2</v>
      </c>
      <c r="M797" s="6" t="n">
        <v>0</v>
      </c>
      <c r="N797" s="6" t="n">
        <v>-28.7</v>
      </c>
    </row>
    <row r="798" customFormat="false" ht="15" hidden="false" customHeight="false" outlineLevel="0" collapsed="false">
      <c r="A798" s="6" t="s">
        <v>40</v>
      </c>
      <c r="B798" s="6" t="s">
        <v>40</v>
      </c>
      <c r="C798" s="6" t="s">
        <v>51</v>
      </c>
      <c r="D798" s="6" t="s">
        <v>114</v>
      </c>
      <c r="E798" s="6" t="s">
        <v>60</v>
      </c>
      <c r="F798" s="6" t="s">
        <v>60</v>
      </c>
      <c r="G798" s="6" t="n">
        <v>11</v>
      </c>
      <c r="H798" s="6" t="n">
        <v>896500</v>
      </c>
      <c r="I798" s="6" t="n">
        <v>472300</v>
      </c>
      <c r="J798" s="6" t="n">
        <v>1446500</v>
      </c>
      <c r="K798" s="6" t="n">
        <v>550200</v>
      </c>
      <c r="L798" s="6" t="n">
        <v>9</v>
      </c>
      <c r="M798" s="6" t="n">
        <v>0</v>
      </c>
      <c r="N798" s="6" t="n">
        <v>733.6</v>
      </c>
    </row>
    <row r="799" customFormat="false" ht="15" hidden="false" customHeight="false" outlineLevel="0" collapsed="false">
      <c r="A799" s="6" t="s">
        <v>23</v>
      </c>
      <c r="B799" s="6" t="s">
        <v>24</v>
      </c>
      <c r="C799" s="6" t="s">
        <v>54</v>
      </c>
      <c r="D799" s="6" t="s">
        <v>111</v>
      </c>
      <c r="E799" s="6" t="s">
        <v>58</v>
      </c>
      <c r="F799" s="6" t="s">
        <v>58</v>
      </c>
      <c r="G799" s="6" t="n">
        <v>6</v>
      </c>
      <c r="H799" s="6" t="n">
        <v>910000</v>
      </c>
      <c r="I799" s="6" t="n">
        <v>338200</v>
      </c>
      <c r="J799" s="6" t="n">
        <v>2031400</v>
      </c>
      <c r="K799" s="6" t="n">
        <v>1121400</v>
      </c>
      <c r="L799" s="6" t="n">
        <v>6</v>
      </c>
      <c r="M799" s="6" t="n">
        <v>1</v>
      </c>
      <c r="N799" s="6" t="n">
        <v>768.7</v>
      </c>
    </row>
    <row r="800" customFormat="false" ht="15" hidden="false" customHeight="false" outlineLevel="0" collapsed="false">
      <c r="A800" s="6" t="s">
        <v>23</v>
      </c>
      <c r="B800" s="6" t="s">
        <v>24</v>
      </c>
      <c r="C800" s="6" t="s">
        <v>54</v>
      </c>
      <c r="D800" s="6" t="s">
        <v>111</v>
      </c>
      <c r="E800" s="6" t="s">
        <v>58</v>
      </c>
      <c r="F800" s="6" t="s">
        <v>60</v>
      </c>
      <c r="G800" s="6" t="n">
        <v>14</v>
      </c>
      <c r="H800" s="6" t="n">
        <v>1465700</v>
      </c>
      <c r="I800" s="6" t="n">
        <v>843900</v>
      </c>
      <c r="J800" s="6" t="n">
        <v>5498900</v>
      </c>
      <c r="K800" s="6" t="n">
        <v>4033100</v>
      </c>
      <c r="L800" s="6" t="n">
        <v>14</v>
      </c>
      <c r="M800" s="6" t="n">
        <v>3</v>
      </c>
      <c r="N800" s="6" t="n">
        <v>4060.9</v>
      </c>
    </row>
    <row r="801" customFormat="false" ht="15" hidden="false" customHeight="false" outlineLevel="0" collapsed="false">
      <c r="A801" s="6" t="s">
        <v>23</v>
      </c>
      <c r="B801" s="6" t="s">
        <v>24</v>
      </c>
      <c r="C801" s="6" t="s">
        <v>54</v>
      </c>
      <c r="D801" s="6" t="s">
        <v>111</v>
      </c>
      <c r="E801" s="6" t="s">
        <v>60</v>
      </c>
      <c r="F801" s="6" t="s">
        <v>58</v>
      </c>
      <c r="G801" s="6" t="n">
        <v>2</v>
      </c>
      <c r="H801" s="6" t="n">
        <v>307200</v>
      </c>
      <c r="I801" s="6" t="n">
        <v>146500</v>
      </c>
      <c r="J801" s="6" t="n">
        <v>1271700</v>
      </c>
      <c r="K801" s="6" t="n">
        <v>964500</v>
      </c>
      <c r="L801" s="6" t="n">
        <v>2</v>
      </c>
      <c r="M801" s="6" t="n">
        <v>1</v>
      </c>
      <c r="N801" s="6" t="n">
        <v>634.2</v>
      </c>
    </row>
    <row r="802" customFormat="false" ht="15" hidden="false" customHeight="false" outlineLevel="0" collapsed="false">
      <c r="A802" s="6" t="s">
        <v>23</v>
      </c>
      <c r="B802" s="6" t="s">
        <v>24</v>
      </c>
      <c r="C802" s="6" t="s">
        <v>54</v>
      </c>
      <c r="D802" s="6" t="s">
        <v>111</v>
      </c>
      <c r="E802" s="6" t="s">
        <v>60</v>
      </c>
      <c r="F802" s="6" t="s">
        <v>60</v>
      </c>
      <c r="G802" s="6" t="n">
        <v>12</v>
      </c>
      <c r="H802" s="6" t="n">
        <v>1284500</v>
      </c>
      <c r="I802" s="6" t="n">
        <v>663000</v>
      </c>
      <c r="J802" s="6" t="n">
        <v>4703900</v>
      </c>
      <c r="K802" s="6" t="n">
        <v>3419500</v>
      </c>
      <c r="L802" s="6" t="n">
        <v>12</v>
      </c>
      <c r="M802" s="6" t="n">
        <v>2</v>
      </c>
      <c r="N802" s="6" t="n">
        <v>3248.8</v>
      </c>
    </row>
    <row r="803" customFormat="false" ht="15" hidden="false" customHeight="false" outlineLevel="0" collapsed="false">
      <c r="A803" s="6" t="s">
        <v>23</v>
      </c>
      <c r="B803" s="6" t="s">
        <v>24</v>
      </c>
      <c r="C803" s="6" t="s">
        <v>54</v>
      </c>
      <c r="D803" s="6" t="s">
        <v>112</v>
      </c>
      <c r="E803" s="6" t="s">
        <v>58</v>
      </c>
      <c r="F803" s="6" t="s">
        <v>58</v>
      </c>
      <c r="G803" s="6" t="n">
        <v>8</v>
      </c>
      <c r="H803" s="6" t="n">
        <v>1201700</v>
      </c>
      <c r="I803" s="6" t="n">
        <v>570500</v>
      </c>
      <c r="J803" s="6" t="n">
        <v>2802200</v>
      </c>
      <c r="K803" s="6" t="n">
        <v>1600600</v>
      </c>
      <c r="L803" s="6" t="n">
        <v>8</v>
      </c>
      <c r="M803" s="6" t="n">
        <v>0</v>
      </c>
      <c r="N803" s="6" t="n">
        <v>1145.6</v>
      </c>
    </row>
    <row r="804" customFormat="false" ht="15" hidden="false" customHeight="false" outlineLevel="0" collapsed="false">
      <c r="A804" s="6" t="s">
        <v>23</v>
      </c>
      <c r="B804" s="6" t="s">
        <v>24</v>
      </c>
      <c r="C804" s="6" t="s">
        <v>54</v>
      </c>
      <c r="D804" s="6" t="s">
        <v>112</v>
      </c>
      <c r="E804" s="6" t="s">
        <v>58</v>
      </c>
      <c r="F804" s="6" t="s">
        <v>60</v>
      </c>
      <c r="G804" s="6" t="n">
        <v>9</v>
      </c>
      <c r="H804" s="6" t="n">
        <v>958300</v>
      </c>
      <c r="I804" s="6" t="n">
        <v>394600</v>
      </c>
      <c r="J804" s="6" t="n">
        <v>4649100</v>
      </c>
      <c r="K804" s="6" t="n">
        <v>3690700</v>
      </c>
      <c r="L804" s="6" t="n">
        <v>9</v>
      </c>
      <c r="M804" s="6" t="n">
        <v>3</v>
      </c>
      <c r="N804" s="6" t="n">
        <v>3526.4</v>
      </c>
    </row>
    <row r="805" customFormat="false" ht="15" hidden="false" customHeight="false" outlineLevel="0" collapsed="false">
      <c r="A805" s="6" t="s">
        <v>23</v>
      </c>
      <c r="B805" s="6" t="s">
        <v>24</v>
      </c>
      <c r="C805" s="6" t="s">
        <v>54</v>
      </c>
      <c r="D805" s="6" t="s">
        <v>112</v>
      </c>
      <c r="E805" s="6" t="s">
        <v>60</v>
      </c>
      <c r="F805" s="6" t="s">
        <v>58</v>
      </c>
      <c r="G805" s="6" t="n">
        <v>6</v>
      </c>
      <c r="H805" s="6" t="n">
        <v>1007100</v>
      </c>
      <c r="I805" s="6" t="n">
        <v>111200</v>
      </c>
      <c r="J805" s="6" t="n">
        <v>2633400</v>
      </c>
      <c r="K805" s="6" t="n">
        <v>1626300</v>
      </c>
      <c r="L805" s="6" t="n">
        <v>6</v>
      </c>
      <c r="M805" s="6" t="n">
        <v>1</v>
      </c>
      <c r="N805" s="6" t="n">
        <v>1018</v>
      </c>
    </row>
    <row r="806" customFormat="false" ht="15" hidden="false" customHeight="false" outlineLevel="0" collapsed="false">
      <c r="A806" s="6" t="s">
        <v>23</v>
      </c>
      <c r="B806" s="6" t="s">
        <v>24</v>
      </c>
      <c r="C806" s="6" t="s">
        <v>54</v>
      </c>
      <c r="D806" s="6" t="s">
        <v>112</v>
      </c>
      <c r="E806" s="6" t="s">
        <v>60</v>
      </c>
      <c r="F806" s="6" t="s">
        <v>60</v>
      </c>
      <c r="G806" s="6" t="n">
        <v>12</v>
      </c>
      <c r="H806" s="6" t="n">
        <v>1140100</v>
      </c>
      <c r="I806" s="6" t="n">
        <v>540200</v>
      </c>
      <c r="J806" s="6" t="n">
        <v>5328500</v>
      </c>
      <c r="K806" s="6" t="n">
        <v>4188400</v>
      </c>
      <c r="L806" s="6" t="n">
        <v>12</v>
      </c>
      <c r="M806" s="6" t="n">
        <v>3</v>
      </c>
      <c r="N806" s="6" t="n">
        <v>4585</v>
      </c>
    </row>
    <row r="807" customFormat="false" ht="15" hidden="false" customHeight="false" outlineLevel="0" collapsed="false">
      <c r="A807" s="6" t="s">
        <v>23</v>
      </c>
      <c r="B807" s="6" t="s">
        <v>24</v>
      </c>
      <c r="C807" s="6" t="s">
        <v>54</v>
      </c>
      <c r="D807" s="6" t="s">
        <v>113</v>
      </c>
      <c r="E807" s="6" t="s">
        <v>58</v>
      </c>
      <c r="F807" s="6" t="s">
        <v>58</v>
      </c>
      <c r="G807" s="6" t="n">
        <v>10</v>
      </c>
      <c r="H807" s="6" t="n">
        <v>1501400</v>
      </c>
      <c r="I807" s="6" t="n">
        <v>588700</v>
      </c>
      <c r="J807" s="6" t="n">
        <v>3399400</v>
      </c>
      <c r="K807" s="6" t="n">
        <v>1898100</v>
      </c>
      <c r="L807" s="6" t="n">
        <v>10</v>
      </c>
      <c r="M807" s="6" t="n">
        <v>1</v>
      </c>
      <c r="N807" s="6" t="n">
        <v>1262</v>
      </c>
    </row>
    <row r="808" customFormat="false" ht="15" hidden="false" customHeight="false" outlineLevel="0" collapsed="false">
      <c r="A808" s="6" t="s">
        <v>23</v>
      </c>
      <c r="B808" s="6" t="s">
        <v>24</v>
      </c>
      <c r="C808" s="6" t="s">
        <v>54</v>
      </c>
      <c r="D808" s="6" t="s">
        <v>113</v>
      </c>
      <c r="E808" s="6" t="s">
        <v>58</v>
      </c>
      <c r="F808" s="6" t="s">
        <v>60</v>
      </c>
      <c r="G808" s="6" t="n">
        <v>17</v>
      </c>
      <c r="H808" s="6" t="n">
        <v>1800100</v>
      </c>
      <c r="I808" s="6" t="n">
        <v>1003700</v>
      </c>
      <c r="J808" s="6" t="n">
        <v>6457200</v>
      </c>
      <c r="K808" s="6" t="n">
        <v>4657000</v>
      </c>
      <c r="L808" s="6" t="n">
        <v>17</v>
      </c>
      <c r="M808" s="6" t="n">
        <v>3</v>
      </c>
      <c r="N808" s="6" t="n">
        <v>4650.9</v>
      </c>
    </row>
    <row r="809" customFormat="false" ht="15" hidden="false" customHeight="false" outlineLevel="0" collapsed="false">
      <c r="A809" s="6" t="s">
        <v>23</v>
      </c>
      <c r="B809" s="6" t="s">
        <v>24</v>
      </c>
      <c r="C809" s="6" t="s">
        <v>54</v>
      </c>
      <c r="D809" s="6" t="s">
        <v>113</v>
      </c>
      <c r="E809" s="6" t="s">
        <v>60</v>
      </c>
      <c r="F809" s="6" t="s">
        <v>58</v>
      </c>
      <c r="G809" s="6" t="n">
        <v>7</v>
      </c>
      <c r="H809" s="6" t="n">
        <v>1043900</v>
      </c>
      <c r="I809" s="6" t="n">
        <v>277300</v>
      </c>
      <c r="J809" s="6" t="n">
        <v>3113800</v>
      </c>
      <c r="K809" s="6" t="n">
        <v>2069900</v>
      </c>
      <c r="L809" s="6" t="n">
        <v>7</v>
      </c>
      <c r="M809" s="6" t="n">
        <v>1</v>
      </c>
      <c r="N809" s="6" t="n">
        <v>1588</v>
      </c>
    </row>
    <row r="810" customFormat="false" ht="15" hidden="false" customHeight="false" outlineLevel="0" collapsed="false">
      <c r="A810" s="6" t="s">
        <v>23</v>
      </c>
      <c r="B810" s="6" t="s">
        <v>24</v>
      </c>
      <c r="C810" s="6" t="s">
        <v>54</v>
      </c>
      <c r="D810" s="6" t="s">
        <v>113</v>
      </c>
      <c r="E810" s="6" t="s">
        <v>60</v>
      </c>
      <c r="F810" s="6" t="s">
        <v>60</v>
      </c>
      <c r="G810" s="6" t="n">
        <v>24</v>
      </c>
      <c r="H810" s="6" t="n">
        <v>2496600</v>
      </c>
      <c r="I810" s="6" t="n">
        <v>874100</v>
      </c>
      <c r="J810" s="6" t="n">
        <v>10190000</v>
      </c>
      <c r="K810" s="6" t="n">
        <v>7693800</v>
      </c>
      <c r="L810" s="6" t="n">
        <v>24</v>
      </c>
      <c r="M810" s="6" t="n">
        <v>5</v>
      </c>
      <c r="N810" s="6" t="n">
        <v>7332.1</v>
      </c>
    </row>
    <row r="811" customFormat="false" ht="15" hidden="false" customHeight="false" outlineLevel="0" collapsed="false">
      <c r="A811" s="6" t="s">
        <v>23</v>
      </c>
      <c r="B811" s="6" t="s">
        <v>24</v>
      </c>
      <c r="C811" s="6" t="s">
        <v>54</v>
      </c>
      <c r="D811" s="6" t="s">
        <v>114</v>
      </c>
      <c r="E811" s="6" t="s">
        <v>58</v>
      </c>
      <c r="F811" s="6" t="s">
        <v>58</v>
      </c>
      <c r="G811" s="6" t="n">
        <v>9</v>
      </c>
      <c r="H811" s="6" t="n">
        <v>1346000</v>
      </c>
      <c r="I811" s="6" t="n">
        <v>547700</v>
      </c>
      <c r="J811" s="6" t="n">
        <v>2828600</v>
      </c>
      <c r="K811" s="6" t="n">
        <v>1482600</v>
      </c>
      <c r="L811" s="6" t="n">
        <v>9</v>
      </c>
      <c r="M811" s="6" t="n">
        <v>0</v>
      </c>
      <c r="N811" s="6" t="n">
        <v>1142.5</v>
      </c>
    </row>
    <row r="812" customFormat="false" ht="15" hidden="false" customHeight="false" outlineLevel="0" collapsed="false">
      <c r="A812" s="6" t="s">
        <v>23</v>
      </c>
      <c r="B812" s="6" t="s">
        <v>24</v>
      </c>
      <c r="C812" s="6" t="s">
        <v>54</v>
      </c>
      <c r="D812" s="6" t="s">
        <v>114</v>
      </c>
      <c r="E812" s="6" t="s">
        <v>58</v>
      </c>
      <c r="F812" s="6" t="s">
        <v>60</v>
      </c>
      <c r="G812" s="6" t="n">
        <v>7</v>
      </c>
      <c r="H812" s="6" t="n">
        <v>742800</v>
      </c>
      <c r="I812" s="6" t="n">
        <v>419200</v>
      </c>
      <c r="J812" s="6" t="n">
        <v>3211700</v>
      </c>
      <c r="K812" s="6" t="n">
        <v>2468800</v>
      </c>
      <c r="L812" s="6" t="n">
        <v>7</v>
      </c>
      <c r="M812" s="6" t="n">
        <v>2</v>
      </c>
      <c r="N812" s="6" t="n">
        <v>2356.5</v>
      </c>
    </row>
    <row r="813" customFormat="false" ht="15" hidden="false" customHeight="false" outlineLevel="0" collapsed="false">
      <c r="A813" s="6" t="s">
        <v>23</v>
      </c>
      <c r="B813" s="6" t="s">
        <v>24</v>
      </c>
      <c r="C813" s="6" t="s">
        <v>54</v>
      </c>
      <c r="D813" s="6" t="s">
        <v>114</v>
      </c>
      <c r="E813" s="6" t="s">
        <v>60</v>
      </c>
      <c r="F813" s="6" t="s">
        <v>58</v>
      </c>
      <c r="G813" s="6" t="n">
        <v>3</v>
      </c>
      <c r="H813" s="6" t="n">
        <v>443100</v>
      </c>
      <c r="I813" s="6" t="n">
        <v>176300</v>
      </c>
      <c r="J813" s="6" t="n">
        <v>1960300</v>
      </c>
      <c r="K813" s="6" t="n">
        <v>1517200</v>
      </c>
      <c r="L813" s="6" t="n">
        <v>3</v>
      </c>
      <c r="M813" s="6" t="n">
        <v>2</v>
      </c>
      <c r="N813" s="6" t="n">
        <v>1023</v>
      </c>
    </row>
    <row r="814" customFormat="false" ht="15" hidden="false" customHeight="false" outlineLevel="0" collapsed="false">
      <c r="A814" s="6" t="s">
        <v>23</v>
      </c>
      <c r="B814" s="6" t="s">
        <v>24</v>
      </c>
      <c r="C814" s="6" t="s">
        <v>54</v>
      </c>
      <c r="D814" s="6" t="s">
        <v>114</v>
      </c>
      <c r="E814" s="6" t="s">
        <v>60</v>
      </c>
      <c r="F814" s="6" t="s">
        <v>60</v>
      </c>
      <c r="G814" s="6" t="n">
        <v>17</v>
      </c>
      <c r="H814" s="6" t="n">
        <v>1863000</v>
      </c>
      <c r="I814" s="6" t="n">
        <v>698900</v>
      </c>
      <c r="J814" s="6" t="n">
        <v>7496700</v>
      </c>
      <c r="K814" s="6" t="n">
        <v>5633800</v>
      </c>
      <c r="L814" s="6" t="n">
        <v>16</v>
      </c>
      <c r="M814" s="6" t="n">
        <v>2</v>
      </c>
      <c r="N814" s="6" t="n">
        <v>5272.7</v>
      </c>
    </row>
    <row r="815" customFormat="false" ht="15" hidden="false" customHeight="false" outlineLevel="0" collapsed="false">
      <c r="A815" s="6" t="s">
        <v>23</v>
      </c>
      <c r="B815" s="6" t="s">
        <v>24</v>
      </c>
      <c r="C815" s="6" t="s">
        <v>50</v>
      </c>
      <c r="D815" s="6" t="s">
        <v>111</v>
      </c>
      <c r="E815" s="6" t="s">
        <v>58</v>
      </c>
      <c r="F815" s="6" t="s">
        <v>58</v>
      </c>
      <c r="G815" s="6" t="n">
        <v>5</v>
      </c>
      <c r="H815" s="6" t="n">
        <v>1045900</v>
      </c>
      <c r="I815" s="6" t="n">
        <v>352900</v>
      </c>
      <c r="J815" s="6" t="n">
        <v>3970300</v>
      </c>
      <c r="K815" s="6" t="n">
        <v>2924400</v>
      </c>
      <c r="L815" s="6" t="n">
        <v>5</v>
      </c>
      <c r="M815" s="6" t="n">
        <v>3</v>
      </c>
      <c r="N815" s="6" t="n">
        <v>1446.5</v>
      </c>
    </row>
    <row r="816" customFormat="false" ht="15" hidden="false" customHeight="false" outlineLevel="0" collapsed="false">
      <c r="A816" s="6" t="s">
        <v>23</v>
      </c>
      <c r="B816" s="6" t="s">
        <v>24</v>
      </c>
      <c r="C816" s="6" t="s">
        <v>50</v>
      </c>
      <c r="D816" s="6" t="s">
        <v>111</v>
      </c>
      <c r="E816" s="6" t="s">
        <v>58</v>
      </c>
      <c r="F816" s="6" t="s">
        <v>60</v>
      </c>
      <c r="G816" s="6" t="n">
        <v>8</v>
      </c>
      <c r="H816" s="6" t="n">
        <v>1084200</v>
      </c>
      <c r="I816" s="6" t="n">
        <v>446400</v>
      </c>
      <c r="J816" s="6" t="n">
        <v>11457300</v>
      </c>
      <c r="K816" s="6" t="n">
        <v>10373100</v>
      </c>
      <c r="L816" s="6" t="n">
        <v>8</v>
      </c>
      <c r="M816" s="6" t="n">
        <v>8</v>
      </c>
      <c r="N816" s="6" t="n">
        <v>7786.2</v>
      </c>
    </row>
    <row r="817" customFormat="false" ht="15" hidden="false" customHeight="false" outlineLevel="0" collapsed="false">
      <c r="A817" s="6" t="s">
        <v>23</v>
      </c>
      <c r="B817" s="6" t="s">
        <v>24</v>
      </c>
      <c r="C817" s="6" t="s">
        <v>50</v>
      </c>
      <c r="D817" s="6" t="s">
        <v>111</v>
      </c>
      <c r="E817" s="6" t="s">
        <v>60</v>
      </c>
      <c r="F817" s="6" t="s">
        <v>58</v>
      </c>
      <c r="G817" s="6" t="n">
        <v>5</v>
      </c>
      <c r="H817" s="6" t="n">
        <v>1012400</v>
      </c>
      <c r="I817" s="6" t="n">
        <v>215700</v>
      </c>
      <c r="J817" s="6" t="n">
        <v>5029200</v>
      </c>
      <c r="K817" s="6" t="n">
        <v>4016800</v>
      </c>
      <c r="L817" s="6" t="n">
        <v>5</v>
      </c>
      <c r="M817" s="6" t="n">
        <v>4</v>
      </c>
      <c r="N817" s="6" t="n">
        <v>2021.1</v>
      </c>
    </row>
    <row r="818" customFormat="false" ht="15" hidden="false" customHeight="false" outlineLevel="0" collapsed="false">
      <c r="A818" s="6" t="s">
        <v>23</v>
      </c>
      <c r="B818" s="6" t="s">
        <v>24</v>
      </c>
      <c r="C818" s="6" t="s">
        <v>50</v>
      </c>
      <c r="D818" s="6" t="s">
        <v>111</v>
      </c>
      <c r="E818" s="6" t="s">
        <v>60</v>
      </c>
      <c r="F818" s="6" t="s">
        <v>60</v>
      </c>
      <c r="G818" s="6" t="n">
        <v>11</v>
      </c>
      <c r="H818" s="6" t="n">
        <v>1513000</v>
      </c>
      <c r="I818" s="6" t="n">
        <v>688000</v>
      </c>
      <c r="J818" s="6" t="n">
        <v>13409500</v>
      </c>
      <c r="K818" s="6" t="n">
        <v>11896400</v>
      </c>
      <c r="L818" s="6" t="n">
        <v>11</v>
      </c>
      <c r="M818" s="6" t="n">
        <v>11</v>
      </c>
      <c r="N818" s="6" t="n">
        <v>9134.7</v>
      </c>
    </row>
    <row r="819" customFormat="false" ht="15" hidden="false" customHeight="false" outlineLevel="0" collapsed="false">
      <c r="A819" s="6" t="s">
        <v>23</v>
      </c>
      <c r="B819" s="6" t="s">
        <v>24</v>
      </c>
      <c r="C819" s="6" t="s">
        <v>50</v>
      </c>
      <c r="D819" s="6" t="s">
        <v>112</v>
      </c>
      <c r="E819" s="6" t="s">
        <v>58</v>
      </c>
      <c r="F819" s="6" t="s">
        <v>58</v>
      </c>
      <c r="G819" s="6" t="n">
        <v>5</v>
      </c>
      <c r="H819" s="6" t="n">
        <v>1098600</v>
      </c>
      <c r="I819" s="6" t="n">
        <v>438200</v>
      </c>
      <c r="J819" s="6" t="n">
        <v>5073900</v>
      </c>
      <c r="K819" s="6" t="n">
        <v>3975500</v>
      </c>
      <c r="L819" s="6" t="n">
        <v>5</v>
      </c>
      <c r="M819" s="6" t="n">
        <v>5</v>
      </c>
      <c r="N819" s="6" t="n">
        <v>1931.2</v>
      </c>
    </row>
    <row r="820" customFormat="false" ht="15" hidden="false" customHeight="false" outlineLevel="0" collapsed="false">
      <c r="A820" s="6" t="s">
        <v>23</v>
      </c>
      <c r="B820" s="6" t="s">
        <v>24</v>
      </c>
      <c r="C820" s="6" t="s">
        <v>50</v>
      </c>
      <c r="D820" s="6" t="s">
        <v>112</v>
      </c>
      <c r="E820" s="6" t="s">
        <v>58</v>
      </c>
      <c r="F820" s="6" t="s">
        <v>60</v>
      </c>
      <c r="G820" s="6" t="n">
        <v>8</v>
      </c>
      <c r="H820" s="6" t="n">
        <v>1102700</v>
      </c>
      <c r="I820" s="6" t="n">
        <v>443100</v>
      </c>
      <c r="J820" s="6" t="n">
        <v>7585600</v>
      </c>
      <c r="K820" s="6" t="n">
        <v>6482700</v>
      </c>
      <c r="L820" s="6" t="n">
        <v>8</v>
      </c>
      <c r="M820" s="6" t="n">
        <v>7</v>
      </c>
      <c r="N820" s="6" t="n">
        <v>4898.6</v>
      </c>
    </row>
    <row r="821" customFormat="false" ht="15" hidden="false" customHeight="false" outlineLevel="0" collapsed="false">
      <c r="A821" s="6" t="s">
        <v>23</v>
      </c>
      <c r="B821" s="6" t="s">
        <v>24</v>
      </c>
      <c r="C821" s="6" t="s">
        <v>50</v>
      </c>
      <c r="D821" s="6" t="s">
        <v>112</v>
      </c>
      <c r="E821" s="6" t="s">
        <v>60</v>
      </c>
      <c r="F821" s="6" t="s">
        <v>58</v>
      </c>
      <c r="G821" s="6" t="n">
        <v>3</v>
      </c>
      <c r="H821" s="6" t="n">
        <v>557800</v>
      </c>
      <c r="I821" s="6" t="n">
        <v>217500</v>
      </c>
      <c r="J821" s="6" t="n">
        <v>3005200</v>
      </c>
      <c r="K821" s="6" t="n">
        <v>2447400</v>
      </c>
      <c r="L821" s="6" t="n">
        <v>3</v>
      </c>
      <c r="M821" s="6" t="n">
        <v>3</v>
      </c>
      <c r="N821" s="6" t="n">
        <v>1359.4</v>
      </c>
    </row>
    <row r="822" customFormat="false" ht="15" hidden="false" customHeight="false" outlineLevel="0" collapsed="false">
      <c r="A822" s="6" t="s">
        <v>23</v>
      </c>
      <c r="B822" s="6" t="s">
        <v>24</v>
      </c>
      <c r="C822" s="6" t="s">
        <v>50</v>
      </c>
      <c r="D822" s="6" t="s">
        <v>112</v>
      </c>
      <c r="E822" s="6" t="s">
        <v>60</v>
      </c>
      <c r="F822" s="6" t="s">
        <v>60</v>
      </c>
      <c r="G822" s="6" t="n">
        <v>12</v>
      </c>
      <c r="H822" s="6" t="n">
        <v>1669000</v>
      </c>
      <c r="I822" s="6" t="n">
        <v>563400</v>
      </c>
      <c r="J822" s="6" t="n">
        <v>12143300</v>
      </c>
      <c r="K822" s="6" t="n">
        <v>10474300</v>
      </c>
      <c r="L822" s="6" t="n">
        <v>12</v>
      </c>
      <c r="M822" s="6" t="n">
        <v>10</v>
      </c>
      <c r="N822" s="6" t="n">
        <v>7404.4</v>
      </c>
    </row>
    <row r="823" customFormat="false" ht="15" hidden="false" customHeight="false" outlineLevel="0" collapsed="false">
      <c r="A823" s="6" t="s">
        <v>23</v>
      </c>
      <c r="B823" s="6" t="s">
        <v>24</v>
      </c>
      <c r="C823" s="6" t="s">
        <v>50</v>
      </c>
      <c r="D823" s="6" t="s">
        <v>113</v>
      </c>
      <c r="E823" s="6" t="s">
        <v>58</v>
      </c>
      <c r="F823" s="6" t="s">
        <v>58</v>
      </c>
      <c r="G823" s="6" t="n">
        <v>8</v>
      </c>
      <c r="H823" s="6" t="n">
        <v>1446300</v>
      </c>
      <c r="I823" s="6" t="n">
        <v>562000</v>
      </c>
      <c r="J823" s="6" t="n">
        <v>8968800</v>
      </c>
      <c r="K823" s="6" t="n">
        <v>7522400</v>
      </c>
      <c r="L823" s="6" t="n">
        <v>8</v>
      </c>
      <c r="M823" s="6" t="n">
        <v>8</v>
      </c>
      <c r="N823" s="6" t="n">
        <v>4315.5</v>
      </c>
    </row>
    <row r="824" customFormat="false" ht="15" hidden="false" customHeight="false" outlineLevel="0" collapsed="false">
      <c r="A824" s="6" t="s">
        <v>23</v>
      </c>
      <c r="B824" s="6" t="s">
        <v>24</v>
      </c>
      <c r="C824" s="6" t="s">
        <v>50</v>
      </c>
      <c r="D824" s="6" t="s">
        <v>113</v>
      </c>
      <c r="E824" s="6" t="s">
        <v>58</v>
      </c>
      <c r="F824" s="6" t="s">
        <v>60</v>
      </c>
      <c r="G824" s="6" t="n">
        <v>10</v>
      </c>
      <c r="H824" s="6" t="n">
        <v>1373900</v>
      </c>
      <c r="I824" s="6" t="n">
        <v>613700</v>
      </c>
      <c r="J824" s="6" t="n">
        <v>6821900</v>
      </c>
      <c r="K824" s="6" t="n">
        <v>5448000</v>
      </c>
      <c r="L824" s="6" t="n">
        <v>10</v>
      </c>
      <c r="M824" s="6" t="n">
        <v>6</v>
      </c>
      <c r="N824" s="6" t="n">
        <v>4152.9</v>
      </c>
    </row>
    <row r="825" customFormat="false" ht="15" hidden="false" customHeight="false" outlineLevel="0" collapsed="false">
      <c r="A825" s="6" t="s">
        <v>23</v>
      </c>
      <c r="B825" s="6" t="s">
        <v>24</v>
      </c>
      <c r="C825" s="6" t="s">
        <v>50</v>
      </c>
      <c r="D825" s="6" t="s">
        <v>113</v>
      </c>
      <c r="E825" s="6" t="s">
        <v>60</v>
      </c>
      <c r="F825" s="6" t="s">
        <v>58</v>
      </c>
      <c r="G825" s="6" t="n">
        <v>10</v>
      </c>
      <c r="H825" s="6" t="n">
        <v>2037000</v>
      </c>
      <c r="I825" s="6" t="n">
        <v>447800</v>
      </c>
      <c r="J825" s="6" t="n">
        <v>10870400</v>
      </c>
      <c r="K825" s="6" t="n">
        <v>8833500</v>
      </c>
      <c r="L825" s="6" t="n">
        <v>10</v>
      </c>
      <c r="M825" s="6" t="n">
        <v>8</v>
      </c>
      <c r="N825" s="6" t="n">
        <v>4367.6</v>
      </c>
    </row>
    <row r="826" customFormat="false" ht="15" hidden="false" customHeight="false" outlineLevel="0" collapsed="false">
      <c r="A826" s="6" t="s">
        <v>23</v>
      </c>
      <c r="B826" s="6" t="s">
        <v>24</v>
      </c>
      <c r="C826" s="6" t="s">
        <v>50</v>
      </c>
      <c r="D826" s="6" t="s">
        <v>113</v>
      </c>
      <c r="E826" s="6" t="s">
        <v>60</v>
      </c>
      <c r="F826" s="6" t="s">
        <v>60</v>
      </c>
      <c r="G826" s="6" t="n">
        <v>9</v>
      </c>
      <c r="H826" s="6" t="n">
        <v>1307100</v>
      </c>
      <c r="I826" s="6" t="n">
        <v>644400</v>
      </c>
      <c r="J826" s="6" t="n">
        <v>10115300</v>
      </c>
      <c r="K826" s="6" t="n">
        <v>8808000</v>
      </c>
      <c r="L826" s="6" t="n">
        <v>9</v>
      </c>
      <c r="M826" s="6" t="n">
        <v>9</v>
      </c>
      <c r="N826" s="6" t="n">
        <v>6541.6</v>
      </c>
    </row>
    <row r="827" customFormat="false" ht="15" hidden="false" customHeight="false" outlineLevel="0" collapsed="false">
      <c r="A827" s="6" t="s">
        <v>23</v>
      </c>
      <c r="B827" s="6" t="s">
        <v>24</v>
      </c>
      <c r="C827" s="6" t="s">
        <v>50</v>
      </c>
      <c r="D827" s="6" t="s">
        <v>114</v>
      </c>
      <c r="E827" s="6" t="s">
        <v>58</v>
      </c>
      <c r="F827" s="6" t="s">
        <v>58</v>
      </c>
      <c r="G827" s="6" t="n">
        <v>5</v>
      </c>
      <c r="H827" s="6" t="n">
        <v>1111900</v>
      </c>
      <c r="I827" s="6" t="n">
        <v>498700</v>
      </c>
      <c r="J827" s="6" t="n">
        <v>5361200</v>
      </c>
      <c r="K827" s="6" t="n">
        <v>4249200</v>
      </c>
      <c r="L827" s="6" t="n">
        <v>5</v>
      </c>
      <c r="M827" s="6" t="n">
        <v>4</v>
      </c>
      <c r="N827" s="6" t="n">
        <v>2048.9</v>
      </c>
    </row>
    <row r="828" customFormat="false" ht="15" hidden="false" customHeight="false" outlineLevel="0" collapsed="false">
      <c r="A828" s="6" t="s">
        <v>23</v>
      </c>
      <c r="B828" s="6" t="s">
        <v>24</v>
      </c>
      <c r="C828" s="6" t="s">
        <v>50</v>
      </c>
      <c r="D828" s="6" t="s">
        <v>114</v>
      </c>
      <c r="E828" s="6" t="s">
        <v>58</v>
      </c>
      <c r="F828" s="6" t="s">
        <v>60</v>
      </c>
      <c r="G828" s="6" t="n">
        <v>6</v>
      </c>
      <c r="H828" s="6" t="n">
        <v>753600</v>
      </c>
      <c r="I828" s="6" t="n">
        <v>467800</v>
      </c>
      <c r="J828" s="6" t="n">
        <v>6240300</v>
      </c>
      <c r="K828" s="6" t="n">
        <v>5486700</v>
      </c>
      <c r="L828" s="6" t="n">
        <v>6</v>
      </c>
      <c r="M828" s="6" t="n">
        <v>5</v>
      </c>
      <c r="N828" s="6" t="n">
        <v>4597.1</v>
      </c>
    </row>
    <row r="829" customFormat="false" ht="15" hidden="false" customHeight="false" outlineLevel="0" collapsed="false">
      <c r="A829" s="6" t="s">
        <v>23</v>
      </c>
      <c r="B829" s="6" t="s">
        <v>24</v>
      </c>
      <c r="C829" s="6" t="s">
        <v>50</v>
      </c>
      <c r="D829" s="6" t="s">
        <v>114</v>
      </c>
      <c r="E829" s="6" t="s">
        <v>60</v>
      </c>
      <c r="F829" s="6" t="s">
        <v>58</v>
      </c>
      <c r="G829" s="6" t="n">
        <v>3</v>
      </c>
      <c r="H829" s="6" t="n">
        <v>576900</v>
      </c>
      <c r="I829" s="6" t="n">
        <v>112300</v>
      </c>
      <c r="J829" s="6" t="n">
        <v>2027400</v>
      </c>
      <c r="K829" s="6" t="n">
        <v>1450500</v>
      </c>
      <c r="L829" s="6" t="n">
        <v>3</v>
      </c>
      <c r="M829" s="6" t="n">
        <v>2</v>
      </c>
      <c r="N829" s="6" t="n">
        <v>786.4</v>
      </c>
    </row>
    <row r="830" customFormat="false" ht="15" hidden="false" customHeight="false" outlineLevel="0" collapsed="false">
      <c r="A830" s="6" t="s">
        <v>23</v>
      </c>
      <c r="B830" s="6" t="s">
        <v>24</v>
      </c>
      <c r="C830" s="6" t="s">
        <v>50</v>
      </c>
      <c r="D830" s="6" t="s">
        <v>114</v>
      </c>
      <c r="E830" s="6" t="s">
        <v>60</v>
      </c>
      <c r="F830" s="6" t="s">
        <v>60</v>
      </c>
      <c r="G830" s="6" t="n">
        <v>5</v>
      </c>
      <c r="H830" s="6" t="n">
        <v>708600</v>
      </c>
      <c r="I830" s="6" t="n">
        <v>407600</v>
      </c>
      <c r="J830" s="6" t="n">
        <v>5937000</v>
      </c>
      <c r="K830" s="6" t="n">
        <v>5228400</v>
      </c>
      <c r="L830" s="6" t="n">
        <v>5</v>
      </c>
      <c r="M830" s="6" t="n">
        <v>5</v>
      </c>
      <c r="N830" s="6" t="n">
        <v>3688.6</v>
      </c>
    </row>
    <row r="831" customFormat="false" ht="15" hidden="false" customHeight="false" outlineLevel="0" collapsed="false">
      <c r="A831" s="6" t="s">
        <v>23</v>
      </c>
      <c r="B831" s="6" t="s">
        <v>24</v>
      </c>
      <c r="C831" s="6" t="s">
        <v>52</v>
      </c>
      <c r="D831" s="6" t="s">
        <v>111</v>
      </c>
      <c r="E831" s="6" t="s">
        <v>58</v>
      </c>
      <c r="F831" s="6" t="s">
        <v>58</v>
      </c>
      <c r="G831" s="6" t="n">
        <v>36</v>
      </c>
      <c r="H831" s="6" t="n">
        <v>3701100</v>
      </c>
      <c r="I831" s="6" t="n">
        <v>2012000</v>
      </c>
      <c r="J831" s="6" t="n">
        <v>23032000</v>
      </c>
      <c r="K831" s="6" t="n">
        <v>19331100</v>
      </c>
      <c r="L831" s="6" t="n">
        <v>36</v>
      </c>
      <c r="M831" s="6" t="n">
        <v>20</v>
      </c>
      <c r="N831" s="6" t="n">
        <v>19496.7</v>
      </c>
    </row>
    <row r="832" customFormat="false" ht="15" hidden="false" customHeight="false" outlineLevel="0" collapsed="false">
      <c r="A832" s="6" t="s">
        <v>23</v>
      </c>
      <c r="B832" s="6" t="s">
        <v>24</v>
      </c>
      <c r="C832" s="6" t="s">
        <v>52</v>
      </c>
      <c r="D832" s="6" t="s">
        <v>111</v>
      </c>
      <c r="E832" s="6" t="s">
        <v>58</v>
      </c>
      <c r="F832" s="6" t="s">
        <v>60</v>
      </c>
      <c r="G832" s="6" t="n">
        <v>47</v>
      </c>
      <c r="H832" s="6" t="n">
        <v>3579700</v>
      </c>
      <c r="I832" s="6" t="n">
        <v>1778800</v>
      </c>
      <c r="J832" s="6" t="n">
        <v>32974600</v>
      </c>
      <c r="K832" s="6" t="n">
        <v>29394700</v>
      </c>
      <c r="L832" s="6" t="n">
        <v>47</v>
      </c>
      <c r="M832" s="6" t="n">
        <v>33</v>
      </c>
      <c r="N832" s="6" t="n">
        <v>40445</v>
      </c>
    </row>
    <row r="833" customFormat="false" ht="15" hidden="false" customHeight="false" outlineLevel="0" collapsed="false">
      <c r="A833" s="6" t="s">
        <v>23</v>
      </c>
      <c r="B833" s="6" t="s">
        <v>24</v>
      </c>
      <c r="C833" s="6" t="s">
        <v>52</v>
      </c>
      <c r="D833" s="6" t="s">
        <v>111</v>
      </c>
      <c r="E833" s="6" t="s">
        <v>60</v>
      </c>
      <c r="F833" s="6" t="s">
        <v>58</v>
      </c>
      <c r="G833" s="6" t="n">
        <v>15</v>
      </c>
      <c r="H833" s="6" t="n">
        <v>1590100</v>
      </c>
      <c r="I833" s="6" t="n">
        <v>507400</v>
      </c>
      <c r="J833" s="6" t="n">
        <v>9022800</v>
      </c>
      <c r="K833" s="6" t="n">
        <v>7432700</v>
      </c>
      <c r="L833" s="6" t="n">
        <v>15</v>
      </c>
      <c r="M833" s="6" t="n">
        <v>8</v>
      </c>
      <c r="N833" s="6" t="n">
        <v>7153</v>
      </c>
    </row>
    <row r="834" customFormat="false" ht="15" hidden="false" customHeight="false" outlineLevel="0" collapsed="false">
      <c r="A834" s="6" t="s">
        <v>23</v>
      </c>
      <c r="B834" s="6" t="s">
        <v>24</v>
      </c>
      <c r="C834" s="6" t="s">
        <v>52</v>
      </c>
      <c r="D834" s="6" t="s">
        <v>111</v>
      </c>
      <c r="E834" s="6" t="s">
        <v>60</v>
      </c>
      <c r="F834" s="6" t="s">
        <v>60</v>
      </c>
      <c r="G834" s="6" t="n">
        <v>40</v>
      </c>
      <c r="H834" s="6" t="n">
        <v>3058600</v>
      </c>
      <c r="I834" s="6" t="n">
        <v>1418900</v>
      </c>
      <c r="J834" s="6" t="n">
        <v>31138300</v>
      </c>
      <c r="K834" s="6" t="n">
        <v>28079700</v>
      </c>
      <c r="L834" s="6" t="n">
        <v>40</v>
      </c>
      <c r="M834" s="6" t="n">
        <v>32</v>
      </c>
      <c r="N834" s="6" t="n">
        <v>38483.1</v>
      </c>
    </row>
    <row r="835" customFormat="false" ht="15" hidden="false" customHeight="false" outlineLevel="0" collapsed="false">
      <c r="A835" s="6" t="s">
        <v>23</v>
      </c>
      <c r="B835" s="6" t="s">
        <v>24</v>
      </c>
      <c r="C835" s="6" t="s">
        <v>52</v>
      </c>
      <c r="D835" s="6" t="s">
        <v>112</v>
      </c>
      <c r="E835" s="6" t="s">
        <v>58</v>
      </c>
      <c r="F835" s="6" t="s">
        <v>58</v>
      </c>
      <c r="G835" s="6" t="n">
        <v>26</v>
      </c>
      <c r="H835" s="6" t="n">
        <v>2725600</v>
      </c>
      <c r="I835" s="6" t="n">
        <v>1151500</v>
      </c>
      <c r="J835" s="6" t="n">
        <v>14882900</v>
      </c>
      <c r="K835" s="6" t="n">
        <v>12157500</v>
      </c>
      <c r="L835" s="6" t="n">
        <v>26</v>
      </c>
      <c r="M835" s="6" t="n">
        <v>13</v>
      </c>
      <c r="N835" s="6" t="n">
        <v>12050</v>
      </c>
    </row>
    <row r="836" customFormat="false" ht="15" hidden="false" customHeight="false" outlineLevel="0" collapsed="false">
      <c r="A836" s="6" t="s">
        <v>23</v>
      </c>
      <c r="B836" s="6" t="s">
        <v>24</v>
      </c>
      <c r="C836" s="6" t="s">
        <v>52</v>
      </c>
      <c r="D836" s="6" t="s">
        <v>112</v>
      </c>
      <c r="E836" s="6" t="s">
        <v>58</v>
      </c>
      <c r="F836" s="6" t="s">
        <v>60</v>
      </c>
      <c r="G836" s="6" t="n">
        <v>40</v>
      </c>
      <c r="H836" s="6" t="n">
        <v>2949300</v>
      </c>
      <c r="I836" s="6" t="n">
        <v>1423100</v>
      </c>
      <c r="J836" s="6" t="n">
        <v>23341800</v>
      </c>
      <c r="K836" s="6" t="n">
        <v>20392600</v>
      </c>
      <c r="L836" s="6" t="n">
        <v>40</v>
      </c>
      <c r="M836" s="6" t="n">
        <v>22</v>
      </c>
      <c r="N836" s="6" t="n">
        <v>28556.5</v>
      </c>
    </row>
    <row r="837" customFormat="false" ht="15" hidden="false" customHeight="false" outlineLevel="0" collapsed="false">
      <c r="A837" s="6" t="s">
        <v>23</v>
      </c>
      <c r="B837" s="6" t="s">
        <v>24</v>
      </c>
      <c r="C837" s="6" t="s">
        <v>52</v>
      </c>
      <c r="D837" s="6" t="s">
        <v>112</v>
      </c>
      <c r="E837" s="6" t="s">
        <v>60</v>
      </c>
      <c r="F837" s="6" t="s">
        <v>58</v>
      </c>
      <c r="G837" s="6" t="n">
        <v>21</v>
      </c>
      <c r="H837" s="6" t="n">
        <v>2019200</v>
      </c>
      <c r="I837" s="6" t="n">
        <v>937000</v>
      </c>
      <c r="J837" s="6" t="n">
        <v>14247300</v>
      </c>
      <c r="K837" s="6" t="n">
        <v>12228100</v>
      </c>
      <c r="L837" s="6" t="n">
        <v>21</v>
      </c>
      <c r="M837" s="6" t="n">
        <v>12</v>
      </c>
      <c r="N837" s="6" t="n">
        <v>13589.5</v>
      </c>
    </row>
    <row r="838" customFormat="false" ht="15" hidden="false" customHeight="false" outlineLevel="0" collapsed="false">
      <c r="A838" s="6" t="s">
        <v>23</v>
      </c>
      <c r="B838" s="6" t="s">
        <v>24</v>
      </c>
      <c r="C838" s="6" t="s">
        <v>52</v>
      </c>
      <c r="D838" s="6" t="s">
        <v>112</v>
      </c>
      <c r="E838" s="6" t="s">
        <v>60</v>
      </c>
      <c r="F838" s="6" t="s">
        <v>60</v>
      </c>
      <c r="G838" s="6" t="n">
        <v>45</v>
      </c>
      <c r="H838" s="6" t="n">
        <v>3392700</v>
      </c>
      <c r="I838" s="6" t="n">
        <v>1489900</v>
      </c>
      <c r="J838" s="6" t="n">
        <v>33458600</v>
      </c>
      <c r="K838" s="6" t="n">
        <v>30065300</v>
      </c>
      <c r="L838" s="6" t="n">
        <v>45</v>
      </c>
      <c r="M838" s="6" t="n">
        <v>38</v>
      </c>
      <c r="N838" s="6" t="n">
        <v>41861.2</v>
      </c>
    </row>
    <row r="839" customFormat="false" ht="15" hidden="false" customHeight="false" outlineLevel="0" collapsed="false">
      <c r="A839" s="6" t="s">
        <v>23</v>
      </c>
      <c r="B839" s="6" t="s">
        <v>24</v>
      </c>
      <c r="C839" s="6" t="s">
        <v>52</v>
      </c>
      <c r="D839" s="6" t="s">
        <v>113</v>
      </c>
      <c r="E839" s="6" t="s">
        <v>58</v>
      </c>
      <c r="F839" s="6" t="s">
        <v>58</v>
      </c>
      <c r="G839" s="6" t="n">
        <v>22</v>
      </c>
      <c r="H839" s="6" t="n">
        <v>2239400</v>
      </c>
      <c r="I839" s="6" t="n">
        <v>1029200</v>
      </c>
      <c r="J839" s="6" t="n">
        <v>13449300</v>
      </c>
      <c r="K839" s="6" t="n">
        <v>11210000</v>
      </c>
      <c r="L839" s="6" t="n">
        <v>22</v>
      </c>
      <c r="M839" s="6" t="n">
        <v>14</v>
      </c>
      <c r="N839" s="6" t="n">
        <v>11353.4</v>
      </c>
    </row>
    <row r="840" customFormat="false" ht="15" hidden="false" customHeight="false" outlineLevel="0" collapsed="false">
      <c r="A840" s="6" t="s">
        <v>23</v>
      </c>
      <c r="B840" s="6" t="s">
        <v>24</v>
      </c>
      <c r="C840" s="6" t="s">
        <v>52</v>
      </c>
      <c r="D840" s="6" t="s">
        <v>113</v>
      </c>
      <c r="E840" s="6" t="s">
        <v>58</v>
      </c>
      <c r="F840" s="6" t="s">
        <v>60</v>
      </c>
      <c r="G840" s="6" t="n">
        <v>54</v>
      </c>
      <c r="H840" s="6" t="n">
        <v>4174800</v>
      </c>
      <c r="I840" s="6" t="n">
        <v>1557300</v>
      </c>
      <c r="J840" s="6" t="n">
        <v>36201700</v>
      </c>
      <c r="K840" s="6" t="n">
        <v>32027300</v>
      </c>
      <c r="L840" s="6" t="n">
        <v>54</v>
      </c>
      <c r="M840" s="6" t="n">
        <v>38</v>
      </c>
      <c r="N840" s="6" t="n">
        <v>42305.3</v>
      </c>
    </row>
    <row r="841" customFormat="false" ht="15" hidden="false" customHeight="false" outlineLevel="0" collapsed="false">
      <c r="A841" s="6" t="s">
        <v>23</v>
      </c>
      <c r="B841" s="6" t="s">
        <v>24</v>
      </c>
      <c r="C841" s="6" t="s">
        <v>52</v>
      </c>
      <c r="D841" s="6" t="s">
        <v>113</v>
      </c>
      <c r="E841" s="6" t="s">
        <v>60</v>
      </c>
      <c r="F841" s="6" t="s">
        <v>58</v>
      </c>
      <c r="G841" s="6" t="n">
        <v>32</v>
      </c>
      <c r="H841" s="6" t="n">
        <v>3527300</v>
      </c>
      <c r="I841" s="6" t="n">
        <v>1518200</v>
      </c>
      <c r="J841" s="6" t="n">
        <v>21219000</v>
      </c>
      <c r="K841" s="6" t="n">
        <v>17692000</v>
      </c>
      <c r="L841" s="6" t="n">
        <v>32</v>
      </c>
      <c r="M841" s="6" t="n">
        <v>22</v>
      </c>
      <c r="N841" s="6" t="n">
        <v>16469.7</v>
      </c>
    </row>
    <row r="842" customFormat="false" ht="15" hidden="false" customHeight="false" outlineLevel="0" collapsed="false">
      <c r="A842" s="6" t="s">
        <v>23</v>
      </c>
      <c r="B842" s="6" t="s">
        <v>24</v>
      </c>
      <c r="C842" s="6" t="s">
        <v>52</v>
      </c>
      <c r="D842" s="6" t="s">
        <v>113</v>
      </c>
      <c r="E842" s="6" t="s">
        <v>60</v>
      </c>
      <c r="F842" s="6" t="s">
        <v>60</v>
      </c>
      <c r="G842" s="6" t="n">
        <v>58</v>
      </c>
      <c r="H842" s="6" t="n">
        <v>4263600</v>
      </c>
      <c r="I842" s="6" t="n">
        <v>1929200</v>
      </c>
      <c r="J842" s="6" t="n">
        <v>41696400</v>
      </c>
      <c r="K842" s="6" t="n">
        <v>37433300</v>
      </c>
      <c r="L842" s="6" t="n">
        <v>58</v>
      </c>
      <c r="M842" s="6" t="n">
        <v>45</v>
      </c>
      <c r="N842" s="6" t="n">
        <v>52729.8</v>
      </c>
    </row>
    <row r="843" customFormat="false" ht="15" hidden="false" customHeight="false" outlineLevel="0" collapsed="false">
      <c r="A843" s="6" t="s">
        <v>23</v>
      </c>
      <c r="B843" s="6" t="s">
        <v>24</v>
      </c>
      <c r="C843" s="6" t="s">
        <v>52</v>
      </c>
      <c r="D843" s="6" t="s">
        <v>114</v>
      </c>
      <c r="E843" s="6" t="s">
        <v>58</v>
      </c>
      <c r="F843" s="6" t="s">
        <v>58</v>
      </c>
      <c r="G843" s="6" t="n">
        <v>24</v>
      </c>
      <c r="H843" s="6" t="n">
        <v>2466900</v>
      </c>
      <c r="I843" s="6" t="n">
        <v>936500</v>
      </c>
      <c r="J843" s="6" t="n">
        <v>14927300</v>
      </c>
      <c r="K843" s="6" t="n">
        <v>12460900</v>
      </c>
      <c r="L843" s="6" t="n">
        <v>24</v>
      </c>
      <c r="M843" s="6" t="n">
        <v>17</v>
      </c>
      <c r="N843" s="6" t="n">
        <v>12540.4</v>
      </c>
    </row>
    <row r="844" customFormat="false" ht="15" hidden="false" customHeight="false" outlineLevel="0" collapsed="false">
      <c r="A844" s="6" t="s">
        <v>23</v>
      </c>
      <c r="B844" s="6" t="s">
        <v>24</v>
      </c>
      <c r="C844" s="6" t="s">
        <v>52</v>
      </c>
      <c r="D844" s="6" t="s">
        <v>114</v>
      </c>
      <c r="E844" s="6" t="s">
        <v>58</v>
      </c>
      <c r="F844" s="6" t="s">
        <v>60</v>
      </c>
      <c r="G844" s="6" t="n">
        <v>42</v>
      </c>
      <c r="H844" s="6" t="n">
        <v>3158100</v>
      </c>
      <c r="I844" s="6" t="n">
        <v>1446100</v>
      </c>
      <c r="J844" s="6" t="n">
        <v>30719800</v>
      </c>
      <c r="K844" s="6" t="n">
        <v>27562000</v>
      </c>
      <c r="L844" s="6" t="n">
        <v>42</v>
      </c>
      <c r="M844" s="6" t="n">
        <v>35</v>
      </c>
      <c r="N844" s="6" t="n">
        <v>38649.6</v>
      </c>
    </row>
    <row r="845" customFormat="false" ht="15" hidden="false" customHeight="false" outlineLevel="0" collapsed="false">
      <c r="A845" s="6" t="s">
        <v>23</v>
      </c>
      <c r="B845" s="6" t="s">
        <v>24</v>
      </c>
      <c r="C845" s="6" t="s">
        <v>52</v>
      </c>
      <c r="D845" s="6" t="s">
        <v>114</v>
      </c>
      <c r="E845" s="6" t="s">
        <v>60</v>
      </c>
      <c r="F845" s="6" t="s">
        <v>58</v>
      </c>
      <c r="G845" s="6" t="n">
        <v>21</v>
      </c>
      <c r="H845" s="6" t="n">
        <v>2252400</v>
      </c>
      <c r="I845" s="6" t="n">
        <v>851400</v>
      </c>
      <c r="J845" s="6" t="n">
        <v>14009500</v>
      </c>
      <c r="K845" s="6" t="n">
        <v>11757400</v>
      </c>
      <c r="L845" s="6" t="n">
        <v>21</v>
      </c>
      <c r="M845" s="6" t="n">
        <v>14</v>
      </c>
      <c r="N845" s="6" t="n">
        <v>11705.8</v>
      </c>
    </row>
    <row r="846" customFormat="false" ht="15" hidden="false" customHeight="false" outlineLevel="0" collapsed="false">
      <c r="A846" s="6" t="s">
        <v>23</v>
      </c>
      <c r="B846" s="6" t="s">
        <v>24</v>
      </c>
      <c r="C846" s="6" t="s">
        <v>52</v>
      </c>
      <c r="D846" s="6" t="s">
        <v>114</v>
      </c>
      <c r="E846" s="6" t="s">
        <v>60</v>
      </c>
      <c r="F846" s="6" t="s">
        <v>60</v>
      </c>
      <c r="G846" s="6" t="n">
        <v>40</v>
      </c>
      <c r="H846" s="6" t="n">
        <v>2985100</v>
      </c>
      <c r="I846" s="6" t="n">
        <v>1322500</v>
      </c>
      <c r="J846" s="6" t="n">
        <v>35695300</v>
      </c>
      <c r="K846" s="6" t="n">
        <v>32710200</v>
      </c>
      <c r="L846" s="6" t="n">
        <v>40</v>
      </c>
      <c r="M846" s="6" t="n">
        <v>36</v>
      </c>
      <c r="N846" s="6" t="n">
        <v>46432.7</v>
      </c>
    </row>
    <row r="847" customFormat="false" ht="15" hidden="false" customHeight="false" outlineLevel="0" collapsed="false">
      <c r="A847" s="6" t="s">
        <v>23</v>
      </c>
      <c r="B847" s="6" t="s">
        <v>24</v>
      </c>
      <c r="C847" s="6" t="s">
        <v>53</v>
      </c>
      <c r="D847" s="6" t="s">
        <v>111</v>
      </c>
      <c r="E847" s="6" t="s">
        <v>58</v>
      </c>
      <c r="F847" s="6" t="s">
        <v>58</v>
      </c>
      <c r="G847" s="6" t="n">
        <v>15</v>
      </c>
      <c r="H847" s="6" t="n">
        <v>1199400</v>
      </c>
      <c r="I847" s="6" t="n">
        <v>608000</v>
      </c>
      <c r="J847" s="6" t="n">
        <v>9093100</v>
      </c>
      <c r="K847" s="6" t="n">
        <v>7893900</v>
      </c>
      <c r="L847" s="6" t="n">
        <v>15</v>
      </c>
      <c r="M847" s="6" t="n">
        <v>8</v>
      </c>
      <c r="N847" s="6" t="n">
        <v>10835.2</v>
      </c>
    </row>
    <row r="848" customFormat="false" ht="15" hidden="false" customHeight="false" outlineLevel="0" collapsed="false">
      <c r="A848" s="6" t="s">
        <v>23</v>
      </c>
      <c r="B848" s="6" t="s">
        <v>24</v>
      </c>
      <c r="C848" s="6" t="s">
        <v>53</v>
      </c>
      <c r="D848" s="6" t="s">
        <v>111</v>
      </c>
      <c r="E848" s="6" t="s">
        <v>58</v>
      </c>
      <c r="F848" s="6" t="s">
        <v>60</v>
      </c>
      <c r="G848" s="6" t="n">
        <v>29</v>
      </c>
      <c r="H848" s="6" t="n">
        <v>1681800</v>
      </c>
      <c r="I848" s="6" t="n">
        <v>692800</v>
      </c>
      <c r="J848" s="6" t="n">
        <v>19249200</v>
      </c>
      <c r="K848" s="6" t="n">
        <v>17567200</v>
      </c>
      <c r="L848" s="6" t="n">
        <v>29</v>
      </c>
      <c r="M848" s="6" t="n">
        <v>23</v>
      </c>
      <c r="N848" s="6" t="n">
        <v>31905.7</v>
      </c>
    </row>
    <row r="849" customFormat="false" ht="15" hidden="false" customHeight="false" outlineLevel="0" collapsed="false">
      <c r="A849" s="6" t="s">
        <v>23</v>
      </c>
      <c r="B849" s="6" t="s">
        <v>24</v>
      </c>
      <c r="C849" s="6" t="s">
        <v>53</v>
      </c>
      <c r="D849" s="6" t="s">
        <v>111</v>
      </c>
      <c r="E849" s="6" t="s">
        <v>60</v>
      </c>
      <c r="F849" s="6" t="s">
        <v>58</v>
      </c>
      <c r="G849" s="6" t="n">
        <v>17</v>
      </c>
      <c r="H849" s="6" t="n">
        <v>1350500</v>
      </c>
      <c r="I849" s="6" t="n">
        <v>565000</v>
      </c>
      <c r="J849" s="6" t="n">
        <v>9425400</v>
      </c>
      <c r="K849" s="6" t="n">
        <v>8074800</v>
      </c>
      <c r="L849" s="6" t="n">
        <v>17</v>
      </c>
      <c r="M849" s="6" t="n">
        <v>10</v>
      </c>
      <c r="N849" s="6" t="n">
        <v>10591.5</v>
      </c>
    </row>
    <row r="850" customFormat="false" ht="15" hidden="false" customHeight="false" outlineLevel="0" collapsed="false">
      <c r="A850" s="6" t="s">
        <v>23</v>
      </c>
      <c r="B850" s="6" t="s">
        <v>24</v>
      </c>
      <c r="C850" s="6" t="s">
        <v>53</v>
      </c>
      <c r="D850" s="6" t="s">
        <v>111</v>
      </c>
      <c r="E850" s="6" t="s">
        <v>60</v>
      </c>
      <c r="F850" s="6" t="s">
        <v>60</v>
      </c>
      <c r="G850" s="6" t="n">
        <v>43</v>
      </c>
      <c r="H850" s="6" t="n">
        <v>2454200</v>
      </c>
      <c r="I850" s="6" t="n">
        <v>1216500</v>
      </c>
      <c r="J850" s="6" t="n">
        <v>30381400</v>
      </c>
      <c r="K850" s="6" t="n">
        <v>27927800</v>
      </c>
      <c r="L850" s="6" t="n">
        <v>43</v>
      </c>
      <c r="M850" s="6" t="n">
        <v>32</v>
      </c>
      <c r="N850" s="6" t="n">
        <v>50512.6</v>
      </c>
    </row>
    <row r="851" customFormat="false" ht="15" hidden="false" customHeight="false" outlineLevel="0" collapsed="false">
      <c r="A851" s="6" t="s">
        <v>23</v>
      </c>
      <c r="B851" s="6" t="s">
        <v>24</v>
      </c>
      <c r="C851" s="6" t="s">
        <v>53</v>
      </c>
      <c r="D851" s="6" t="s">
        <v>112</v>
      </c>
      <c r="E851" s="6" t="s">
        <v>58</v>
      </c>
      <c r="F851" s="6" t="s">
        <v>58</v>
      </c>
      <c r="G851" s="6" t="n">
        <v>17</v>
      </c>
      <c r="H851" s="6" t="n">
        <v>1442100</v>
      </c>
      <c r="I851" s="6" t="n">
        <v>693900</v>
      </c>
      <c r="J851" s="6" t="n">
        <v>7362600</v>
      </c>
      <c r="K851" s="6" t="n">
        <v>5920300</v>
      </c>
      <c r="L851" s="6" t="n">
        <v>17</v>
      </c>
      <c r="M851" s="6" t="n">
        <v>4</v>
      </c>
      <c r="N851" s="6" t="n">
        <v>7439.4</v>
      </c>
    </row>
    <row r="852" customFormat="false" ht="15" hidden="false" customHeight="false" outlineLevel="0" collapsed="false">
      <c r="A852" s="6" t="s">
        <v>23</v>
      </c>
      <c r="B852" s="6" t="s">
        <v>24</v>
      </c>
      <c r="C852" s="6" t="s">
        <v>53</v>
      </c>
      <c r="D852" s="6" t="s">
        <v>112</v>
      </c>
      <c r="E852" s="6" t="s">
        <v>58</v>
      </c>
      <c r="F852" s="6" t="s">
        <v>60</v>
      </c>
      <c r="G852" s="6" t="n">
        <v>43</v>
      </c>
      <c r="H852" s="6" t="n">
        <v>2507000</v>
      </c>
      <c r="I852" s="6" t="n">
        <v>1146600</v>
      </c>
      <c r="J852" s="6" t="n">
        <v>23888100</v>
      </c>
      <c r="K852" s="6" t="n">
        <v>21381800</v>
      </c>
      <c r="L852" s="6" t="n">
        <v>43</v>
      </c>
      <c r="M852" s="6" t="n">
        <v>25</v>
      </c>
      <c r="N852" s="6" t="n">
        <v>38782.2</v>
      </c>
    </row>
    <row r="853" customFormat="false" ht="15" hidden="false" customHeight="false" outlineLevel="0" collapsed="false">
      <c r="A853" s="6" t="s">
        <v>23</v>
      </c>
      <c r="B853" s="6" t="s">
        <v>24</v>
      </c>
      <c r="C853" s="6" t="s">
        <v>53</v>
      </c>
      <c r="D853" s="6" t="s">
        <v>112</v>
      </c>
      <c r="E853" s="6" t="s">
        <v>60</v>
      </c>
      <c r="F853" s="6" t="s">
        <v>58</v>
      </c>
      <c r="G853" s="6" t="n">
        <v>22</v>
      </c>
      <c r="H853" s="6" t="n">
        <v>1816700</v>
      </c>
      <c r="I853" s="6" t="n">
        <v>739000</v>
      </c>
      <c r="J853" s="6" t="n">
        <v>14024900</v>
      </c>
      <c r="K853" s="6" t="n">
        <v>12208600</v>
      </c>
      <c r="L853" s="6" t="n">
        <v>22</v>
      </c>
      <c r="M853" s="6" t="n">
        <v>16</v>
      </c>
      <c r="N853" s="6" t="n">
        <v>15578.2</v>
      </c>
    </row>
    <row r="854" customFormat="false" ht="15" hidden="false" customHeight="false" outlineLevel="0" collapsed="false">
      <c r="A854" s="6" t="s">
        <v>23</v>
      </c>
      <c r="B854" s="6" t="s">
        <v>24</v>
      </c>
      <c r="C854" s="6" t="s">
        <v>53</v>
      </c>
      <c r="D854" s="6" t="s">
        <v>112</v>
      </c>
      <c r="E854" s="6" t="s">
        <v>60</v>
      </c>
      <c r="F854" s="6" t="s">
        <v>60</v>
      </c>
      <c r="G854" s="6" t="n">
        <v>41</v>
      </c>
      <c r="H854" s="6" t="n">
        <v>2306300</v>
      </c>
      <c r="I854" s="6" t="n">
        <v>1010500</v>
      </c>
      <c r="J854" s="6" t="n">
        <v>25632100</v>
      </c>
      <c r="K854" s="6" t="n">
        <v>23326200</v>
      </c>
      <c r="L854" s="6" t="n">
        <v>41</v>
      </c>
      <c r="M854" s="6" t="n">
        <v>30</v>
      </c>
      <c r="N854" s="6" t="n">
        <v>42144.6</v>
      </c>
    </row>
    <row r="855" customFormat="false" ht="15" hidden="false" customHeight="false" outlineLevel="0" collapsed="false">
      <c r="A855" s="6" t="s">
        <v>23</v>
      </c>
      <c r="B855" s="6" t="s">
        <v>24</v>
      </c>
      <c r="C855" s="6" t="s">
        <v>53</v>
      </c>
      <c r="D855" s="6" t="s">
        <v>113</v>
      </c>
      <c r="E855" s="6" t="s">
        <v>58</v>
      </c>
      <c r="F855" s="6" t="s">
        <v>58</v>
      </c>
      <c r="G855" s="6" t="n">
        <v>15</v>
      </c>
      <c r="H855" s="6" t="n">
        <v>1067300</v>
      </c>
      <c r="I855" s="6" t="n">
        <v>409300</v>
      </c>
      <c r="J855" s="6" t="n">
        <v>8405800</v>
      </c>
      <c r="K855" s="6" t="n">
        <v>7338300</v>
      </c>
      <c r="L855" s="6" t="n">
        <v>15</v>
      </c>
      <c r="M855" s="6" t="n">
        <v>8</v>
      </c>
      <c r="N855" s="6" t="n">
        <v>11094.2</v>
      </c>
    </row>
    <row r="856" customFormat="false" ht="15" hidden="false" customHeight="false" outlineLevel="0" collapsed="false">
      <c r="A856" s="6" t="s">
        <v>23</v>
      </c>
      <c r="B856" s="6" t="s">
        <v>24</v>
      </c>
      <c r="C856" s="6" t="s">
        <v>53</v>
      </c>
      <c r="D856" s="6" t="s">
        <v>113</v>
      </c>
      <c r="E856" s="6" t="s">
        <v>58</v>
      </c>
      <c r="F856" s="6" t="s">
        <v>60</v>
      </c>
      <c r="G856" s="6" t="n">
        <v>49</v>
      </c>
      <c r="H856" s="6" t="n">
        <v>2846200</v>
      </c>
      <c r="I856" s="6" t="n">
        <v>1386800</v>
      </c>
      <c r="J856" s="6" t="n">
        <v>30995500</v>
      </c>
      <c r="K856" s="6" t="n">
        <v>28149100</v>
      </c>
      <c r="L856" s="6" t="n">
        <v>49</v>
      </c>
      <c r="M856" s="6" t="n">
        <v>35</v>
      </c>
      <c r="N856" s="6" t="n">
        <v>49805.5</v>
      </c>
    </row>
    <row r="857" customFormat="false" ht="15" hidden="false" customHeight="false" outlineLevel="0" collapsed="false">
      <c r="A857" s="6" t="s">
        <v>23</v>
      </c>
      <c r="B857" s="6" t="s">
        <v>24</v>
      </c>
      <c r="C857" s="6" t="s">
        <v>53</v>
      </c>
      <c r="D857" s="6" t="s">
        <v>113</v>
      </c>
      <c r="E857" s="6" t="s">
        <v>60</v>
      </c>
      <c r="F857" s="6" t="s">
        <v>58</v>
      </c>
      <c r="G857" s="6" t="n">
        <v>30</v>
      </c>
      <c r="H857" s="6" t="n">
        <v>2513100</v>
      </c>
      <c r="I857" s="6" t="n">
        <v>1307200</v>
      </c>
      <c r="J857" s="6" t="n">
        <v>18968000</v>
      </c>
      <c r="K857" s="6" t="n">
        <v>16454700</v>
      </c>
      <c r="L857" s="6" t="n">
        <v>30</v>
      </c>
      <c r="M857" s="6" t="n">
        <v>18</v>
      </c>
      <c r="N857" s="6" t="n">
        <v>20561.9</v>
      </c>
    </row>
    <row r="858" customFormat="false" ht="15" hidden="false" customHeight="false" outlineLevel="0" collapsed="false">
      <c r="A858" s="6" t="s">
        <v>23</v>
      </c>
      <c r="B858" s="6" t="s">
        <v>24</v>
      </c>
      <c r="C858" s="6" t="s">
        <v>53</v>
      </c>
      <c r="D858" s="6" t="s">
        <v>113</v>
      </c>
      <c r="E858" s="6" t="s">
        <v>60</v>
      </c>
      <c r="F858" s="6" t="s">
        <v>60</v>
      </c>
      <c r="G858" s="6" t="n">
        <v>58</v>
      </c>
      <c r="H858" s="6" t="n">
        <v>3197300</v>
      </c>
      <c r="I858" s="6" t="n">
        <v>1571000</v>
      </c>
      <c r="J858" s="6" t="n">
        <v>34774200</v>
      </c>
      <c r="K858" s="6" t="n">
        <v>31576300</v>
      </c>
      <c r="L858" s="6" t="n">
        <v>58</v>
      </c>
      <c r="M858" s="6" t="n">
        <v>38</v>
      </c>
      <c r="N858" s="6" t="n">
        <v>60359.3</v>
      </c>
    </row>
    <row r="859" customFormat="false" ht="15" hidden="false" customHeight="false" outlineLevel="0" collapsed="false">
      <c r="A859" s="6" t="s">
        <v>23</v>
      </c>
      <c r="B859" s="6" t="s">
        <v>24</v>
      </c>
      <c r="C859" s="6" t="s">
        <v>53</v>
      </c>
      <c r="D859" s="6" t="s">
        <v>114</v>
      </c>
      <c r="E859" s="6" t="s">
        <v>58</v>
      </c>
      <c r="F859" s="6" t="s">
        <v>58</v>
      </c>
      <c r="G859" s="6" t="n">
        <v>14</v>
      </c>
      <c r="H859" s="6" t="n">
        <v>1163800</v>
      </c>
      <c r="I859" s="6" t="n">
        <v>629900</v>
      </c>
      <c r="J859" s="6" t="n">
        <v>7282000</v>
      </c>
      <c r="K859" s="6" t="n">
        <v>6118100</v>
      </c>
      <c r="L859" s="6" t="n">
        <v>14</v>
      </c>
      <c r="M859" s="6" t="n">
        <v>7</v>
      </c>
      <c r="N859" s="6" t="n">
        <v>7447.4</v>
      </c>
    </row>
    <row r="860" customFormat="false" ht="15" hidden="false" customHeight="false" outlineLevel="0" collapsed="false">
      <c r="A860" s="6" t="s">
        <v>23</v>
      </c>
      <c r="B860" s="6" t="s">
        <v>24</v>
      </c>
      <c r="C860" s="6" t="s">
        <v>53</v>
      </c>
      <c r="D860" s="6" t="s">
        <v>114</v>
      </c>
      <c r="E860" s="6" t="s">
        <v>58</v>
      </c>
      <c r="F860" s="6" t="s">
        <v>60</v>
      </c>
      <c r="G860" s="6" t="n">
        <v>32</v>
      </c>
      <c r="H860" s="6" t="n">
        <v>1815100</v>
      </c>
      <c r="I860" s="6" t="n">
        <v>915300</v>
      </c>
      <c r="J860" s="6" t="n">
        <v>16500200</v>
      </c>
      <c r="K860" s="6" t="n">
        <v>14685600</v>
      </c>
      <c r="L860" s="6" t="n">
        <v>32</v>
      </c>
      <c r="M860" s="6" t="n">
        <v>17</v>
      </c>
      <c r="N860" s="6" t="n">
        <v>26869.7</v>
      </c>
    </row>
    <row r="861" customFormat="false" ht="15" hidden="false" customHeight="false" outlineLevel="0" collapsed="false">
      <c r="A861" s="6" t="s">
        <v>23</v>
      </c>
      <c r="B861" s="6" t="s">
        <v>24</v>
      </c>
      <c r="C861" s="6" t="s">
        <v>53</v>
      </c>
      <c r="D861" s="6" t="s">
        <v>114</v>
      </c>
      <c r="E861" s="6" t="s">
        <v>60</v>
      </c>
      <c r="F861" s="6" t="s">
        <v>58</v>
      </c>
      <c r="G861" s="6" t="n">
        <v>11</v>
      </c>
      <c r="H861" s="6" t="n">
        <v>917000</v>
      </c>
      <c r="I861" s="6" t="n">
        <v>400100</v>
      </c>
      <c r="J861" s="6" t="n">
        <v>6155900</v>
      </c>
      <c r="K861" s="6" t="n">
        <v>5238800</v>
      </c>
      <c r="L861" s="6" t="n">
        <v>11</v>
      </c>
      <c r="M861" s="6" t="n">
        <v>6</v>
      </c>
      <c r="N861" s="6" t="n">
        <v>6524</v>
      </c>
    </row>
    <row r="862" customFormat="false" ht="15" hidden="false" customHeight="false" outlineLevel="0" collapsed="false">
      <c r="A862" s="6" t="s">
        <v>23</v>
      </c>
      <c r="B862" s="6" t="s">
        <v>24</v>
      </c>
      <c r="C862" s="6" t="s">
        <v>53</v>
      </c>
      <c r="D862" s="6" t="s">
        <v>114</v>
      </c>
      <c r="E862" s="6" t="s">
        <v>60</v>
      </c>
      <c r="F862" s="6" t="s">
        <v>60</v>
      </c>
      <c r="G862" s="6" t="n">
        <v>33</v>
      </c>
      <c r="H862" s="6" t="n">
        <v>1866900</v>
      </c>
      <c r="I862" s="6" t="n">
        <v>736200</v>
      </c>
      <c r="J862" s="6" t="n">
        <v>21058700</v>
      </c>
      <c r="K862" s="6" t="n">
        <v>19191600</v>
      </c>
      <c r="L862" s="6" t="n">
        <v>33</v>
      </c>
      <c r="M862" s="6" t="n">
        <v>21</v>
      </c>
      <c r="N862" s="6" t="n">
        <v>35340.2</v>
      </c>
    </row>
    <row r="863" customFormat="false" ht="15" hidden="false" customHeight="false" outlineLevel="0" collapsed="false">
      <c r="A863" s="6" t="s">
        <v>23</v>
      </c>
      <c r="B863" s="6" t="s">
        <v>24</v>
      </c>
      <c r="C863" s="6" t="s">
        <v>51</v>
      </c>
      <c r="D863" s="6" t="s">
        <v>111</v>
      </c>
      <c r="E863" s="6" t="s">
        <v>58</v>
      </c>
      <c r="F863" s="6" t="s">
        <v>58</v>
      </c>
      <c r="G863" s="6" t="n">
        <v>12</v>
      </c>
      <c r="H863" s="6" t="n">
        <v>1441400</v>
      </c>
      <c r="I863" s="6" t="n">
        <v>526100</v>
      </c>
      <c r="J863" s="6" t="n">
        <v>7908700</v>
      </c>
      <c r="K863" s="6" t="n">
        <v>6467300</v>
      </c>
      <c r="L863" s="6" t="n">
        <v>12</v>
      </c>
      <c r="M863" s="6" t="n">
        <v>7</v>
      </c>
      <c r="N863" s="6" t="n">
        <v>5746.1</v>
      </c>
    </row>
    <row r="864" customFormat="false" ht="15" hidden="false" customHeight="false" outlineLevel="0" collapsed="false">
      <c r="A864" s="6" t="s">
        <v>23</v>
      </c>
      <c r="B864" s="6" t="s">
        <v>24</v>
      </c>
      <c r="C864" s="6" t="s">
        <v>51</v>
      </c>
      <c r="D864" s="6" t="s">
        <v>111</v>
      </c>
      <c r="E864" s="6" t="s">
        <v>58</v>
      </c>
      <c r="F864" s="6" t="s">
        <v>60</v>
      </c>
      <c r="G864" s="6" t="n">
        <v>18</v>
      </c>
      <c r="H864" s="6" t="n">
        <v>1448300</v>
      </c>
      <c r="I864" s="6" t="n">
        <v>732000</v>
      </c>
      <c r="J864" s="6" t="n">
        <v>16285700</v>
      </c>
      <c r="K864" s="6" t="n">
        <v>14837500</v>
      </c>
      <c r="L864" s="6" t="n">
        <v>18</v>
      </c>
      <c r="M864" s="6" t="n">
        <v>15</v>
      </c>
      <c r="N864" s="6" t="n">
        <v>19093.8</v>
      </c>
    </row>
    <row r="865" customFormat="false" ht="15" hidden="false" customHeight="false" outlineLevel="0" collapsed="false">
      <c r="A865" s="6" t="s">
        <v>23</v>
      </c>
      <c r="B865" s="6" t="s">
        <v>24</v>
      </c>
      <c r="C865" s="6" t="s">
        <v>51</v>
      </c>
      <c r="D865" s="6" t="s">
        <v>111</v>
      </c>
      <c r="E865" s="6" t="s">
        <v>60</v>
      </c>
      <c r="F865" s="6" t="s">
        <v>58</v>
      </c>
      <c r="G865" s="6" t="n">
        <v>9</v>
      </c>
      <c r="H865" s="6" t="n">
        <v>973500</v>
      </c>
      <c r="I865" s="6" t="n">
        <v>557000</v>
      </c>
      <c r="J865" s="6" t="n">
        <v>7355900</v>
      </c>
      <c r="K865" s="6" t="n">
        <v>6382300</v>
      </c>
      <c r="L865" s="6" t="n">
        <v>9</v>
      </c>
      <c r="M865" s="6" t="n">
        <v>6</v>
      </c>
      <c r="N865" s="6" t="n">
        <v>5973.6</v>
      </c>
    </row>
    <row r="866" customFormat="false" ht="15" hidden="false" customHeight="false" outlineLevel="0" collapsed="false">
      <c r="A866" s="6" t="s">
        <v>23</v>
      </c>
      <c r="B866" s="6" t="s">
        <v>24</v>
      </c>
      <c r="C866" s="6" t="s">
        <v>51</v>
      </c>
      <c r="D866" s="6" t="s">
        <v>111</v>
      </c>
      <c r="E866" s="6" t="s">
        <v>60</v>
      </c>
      <c r="F866" s="6" t="s">
        <v>60</v>
      </c>
      <c r="G866" s="6" t="n">
        <v>26</v>
      </c>
      <c r="H866" s="6" t="n">
        <v>2112800</v>
      </c>
      <c r="I866" s="6" t="n">
        <v>1102300</v>
      </c>
      <c r="J866" s="6" t="n">
        <v>22986200</v>
      </c>
      <c r="K866" s="6" t="n">
        <v>20873300</v>
      </c>
      <c r="L866" s="6" t="n">
        <v>26</v>
      </c>
      <c r="M866" s="6" t="n">
        <v>22</v>
      </c>
      <c r="N866" s="6" t="n">
        <v>26642</v>
      </c>
    </row>
    <row r="867" customFormat="false" ht="15" hidden="false" customHeight="false" outlineLevel="0" collapsed="false">
      <c r="A867" s="6" t="s">
        <v>23</v>
      </c>
      <c r="B867" s="6" t="s">
        <v>24</v>
      </c>
      <c r="C867" s="6" t="s">
        <v>51</v>
      </c>
      <c r="D867" s="6" t="s">
        <v>112</v>
      </c>
      <c r="E867" s="6" t="s">
        <v>58</v>
      </c>
      <c r="F867" s="6" t="s">
        <v>58</v>
      </c>
      <c r="G867" s="6" t="n">
        <v>11</v>
      </c>
      <c r="H867" s="6" t="n">
        <v>1395600</v>
      </c>
      <c r="I867" s="6" t="n">
        <v>542900</v>
      </c>
      <c r="J867" s="6" t="n">
        <v>7192700</v>
      </c>
      <c r="K867" s="6" t="n">
        <v>5796900</v>
      </c>
      <c r="L867" s="6" t="n">
        <v>11</v>
      </c>
      <c r="M867" s="6" t="n">
        <v>5</v>
      </c>
      <c r="N867" s="6" t="n">
        <v>4598.1</v>
      </c>
    </row>
    <row r="868" customFormat="false" ht="15" hidden="false" customHeight="false" outlineLevel="0" collapsed="false">
      <c r="A868" s="6" t="s">
        <v>23</v>
      </c>
      <c r="B868" s="6" t="s">
        <v>24</v>
      </c>
      <c r="C868" s="6" t="s">
        <v>51</v>
      </c>
      <c r="D868" s="6" t="s">
        <v>112</v>
      </c>
      <c r="E868" s="6" t="s">
        <v>58</v>
      </c>
      <c r="F868" s="6" t="s">
        <v>60</v>
      </c>
      <c r="G868" s="6" t="n">
        <v>36</v>
      </c>
      <c r="H868" s="6" t="n">
        <v>2967300</v>
      </c>
      <c r="I868" s="6" t="n">
        <v>1627400</v>
      </c>
      <c r="J868" s="6" t="n">
        <v>34734500</v>
      </c>
      <c r="K868" s="6" t="n">
        <v>31767400</v>
      </c>
      <c r="L868" s="6" t="n">
        <v>36</v>
      </c>
      <c r="M868" s="6" t="n">
        <v>31</v>
      </c>
      <c r="N868" s="6" t="n">
        <v>39290</v>
      </c>
    </row>
    <row r="869" customFormat="false" ht="15" hidden="false" customHeight="false" outlineLevel="0" collapsed="false">
      <c r="A869" s="6" t="s">
        <v>23</v>
      </c>
      <c r="B869" s="6" t="s">
        <v>24</v>
      </c>
      <c r="C869" s="6" t="s">
        <v>51</v>
      </c>
      <c r="D869" s="6" t="s">
        <v>112</v>
      </c>
      <c r="E869" s="6" t="s">
        <v>60</v>
      </c>
      <c r="F869" s="6" t="s">
        <v>58</v>
      </c>
      <c r="G869" s="6" t="n">
        <v>14</v>
      </c>
      <c r="H869" s="6" t="n">
        <v>1669900</v>
      </c>
      <c r="I869" s="6" t="n">
        <v>716500</v>
      </c>
      <c r="J869" s="6" t="n">
        <v>11399500</v>
      </c>
      <c r="K869" s="6" t="n">
        <v>9729600</v>
      </c>
      <c r="L869" s="6" t="n">
        <v>14</v>
      </c>
      <c r="M869" s="6" t="n">
        <v>11</v>
      </c>
      <c r="N869" s="6" t="n">
        <v>8679.9</v>
      </c>
    </row>
    <row r="870" customFormat="false" ht="15" hidden="false" customHeight="false" outlineLevel="0" collapsed="false">
      <c r="A870" s="6" t="s">
        <v>23</v>
      </c>
      <c r="B870" s="6" t="s">
        <v>24</v>
      </c>
      <c r="C870" s="6" t="s">
        <v>51</v>
      </c>
      <c r="D870" s="6" t="s">
        <v>112</v>
      </c>
      <c r="E870" s="6" t="s">
        <v>60</v>
      </c>
      <c r="F870" s="6" t="s">
        <v>60</v>
      </c>
      <c r="G870" s="6" t="n">
        <v>25</v>
      </c>
      <c r="H870" s="6" t="n">
        <v>2047500</v>
      </c>
      <c r="I870" s="6" t="n">
        <v>836200</v>
      </c>
      <c r="J870" s="6" t="n">
        <v>19900700</v>
      </c>
      <c r="K870" s="6" t="n">
        <v>17853400</v>
      </c>
      <c r="L870" s="6" t="n">
        <v>25</v>
      </c>
      <c r="M870" s="6" t="n">
        <v>22</v>
      </c>
      <c r="N870" s="6" t="n">
        <v>22512.1</v>
      </c>
    </row>
    <row r="871" customFormat="false" ht="15" hidden="false" customHeight="false" outlineLevel="0" collapsed="false">
      <c r="A871" s="6" t="s">
        <v>23</v>
      </c>
      <c r="B871" s="6" t="s">
        <v>24</v>
      </c>
      <c r="C871" s="6" t="s">
        <v>51</v>
      </c>
      <c r="D871" s="6" t="s">
        <v>113</v>
      </c>
      <c r="E871" s="6" t="s">
        <v>58</v>
      </c>
      <c r="F871" s="6" t="s">
        <v>58</v>
      </c>
      <c r="G871" s="6" t="n">
        <v>19</v>
      </c>
      <c r="H871" s="6" t="n">
        <v>2238300</v>
      </c>
      <c r="I871" s="6" t="n">
        <v>1234100</v>
      </c>
      <c r="J871" s="6" t="n">
        <v>13306800</v>
      </c>
      <c r="K871" s="6" t="n">
        <v>11068400</v>
      </c>
      <c r="L871" s="6" t="n">
        <v>19</v>
      </c>
      <c r="M871" s="6" t="n">
        <v>11</v>
      </c>
      <c r="N871" s="6" t="n">
        <v>9877.5</v>
      </c>
    </row>
    <row r="872" customFormat="false" ht="15" hidden="false" customHeight="false" outlineLevel="0" collapsed="false">
      <c r="A872" s="6" t="s">
        <v>23</v>
      </c>
      <c r="B872" s="6" t="s">
        <v>24</v>
      </c>
      <c r="C872" s="6" t="s">
        <v>51</v>
      </c>
      <c r="D872" s="6" t="s">
        <v>113</v>
      </c>
      <c r="E872" s="6" t="s">
        <v>58</v>
      </c>
      <c r="F872" s="6" t="s">
        <v>60</v>
      </c>
      <c r="G872" s="6" t="n">
        <v>25</v>
      </c>
      <c r="H872" s="6" t="n">
        <v>2043900</v>
      </c>
      <c r="I872" s="6" t="n">
        <v>1000000</v>
      </c>
      <c r="J872" s="6" t="n">
        <v>20509000</v>
      </c>
      <c r="K872" s="6" t="n">
        <v>18464900</v>
      </c>
      <c r="L872" s="6" t="n">
        <v>25</v>
      </c>
      <c r="M872" s="6" t="n">
        <v>19</v>
      </c>
      <c r="N872" s="6" t="n">
        <v>22654.6</v>
      </c>
    </row>
    <row r="873" customFormat="false" ht="15" hidden="false" customHeight="false" outlineLevel="0" collapsed="false">
      <c r="A873" s="6" t="s">
        <v>23</v>
      </c>
      <c r="B873" s="6" t="s">
        <v>24</v>
      </c>
      <c r="C873" s="6" t="s">
        <v>51</v>
      </c>
      <c r="D873" s="6" t="s">
        <v>113</v>
      </c>
      <c r="E873" s="6" t="s">
        <v>60</v>
      </c>
      <c r="F873" s="6" t="s">
        <v>58</v>
      </c>
      <c r="G873" s="6" t="n">
        <v>21</v>
      </c>
      <c r="H873" s="6" t="n">
        <v>2418400</v>
      </c>
      <c r="I873" s="6" t="n">
        <v>1077800</v>
      </c>
      <c r="J873" s="6" t="n">
        <v>19925500</v>
      </c>
      <c r="K873" s="6" t="n">
        <v>17507300</v>
      </c>
      <c r="L873" s="6" t="n">
        <v>21</v>
      </c>
      <c r="M873" s="6" t="n">
        <v>17</v>
      </c>
      <c r="N873" s="6" t="n">
        <v>15751.4</v>
      </c>
    </row>
    <row r="874" customFormat="false" ht="15" hidden="false" customHeight="false" outlineLevel="0" collapsed="false">
      <c r="A874" s="6" t="s">
        <v>23</v>
      </c>
      <c r="B874" s="6" t="s">
        <v>24</v>
      </c>
      <c r="C874" s="6" t="s">
        <v>51</v>
      </c>
      <c r="D874" s="6" t="s">
        <v>113</v>
      </c>
      <c r="E874" s="6" t="s">
        <v>60</v>
      </c>
      <c r="F874" s="6" t="s">
        <v>60</v>
      </c>
      <c r="G874" s="6" t="n">
        <v>26</v>
      </c>
      <c r="H874" s="6" t="n">
        <v>2233900</v>
      </c>
      <c r="I874" s="6" t="n">
        <v>683500</v>
      </c>
      <c r="J874" s="6" t="n">
        <v>23016900</v>
      </c>
      <c r="K874" s="6" t="n">
        <v>20782500</v>
      </c>
      <c r="L874" s="6" t="n">
        <v>26</v>
      </c>
      <c r="M874" s="6" t="n">
        <v>25</v>
      </c>
      <c r="N874" s="6" t="n">
        <v>24630.9</v>
      </c>
    </row>
    <row r="875" customFormat="false" ht="15" hidden="false" customHeight="false" outlineLevel="0" collapsed="false">
      <c r="A875" s="6" t="s">
        <v>23</v>
      </c>
      <c r="B875" s="6" t="s">
        <v>24</v>
      </c>
      <c r="C875" s="6" t="s">
        <v>51</v>
      </c>
      <c r="D875" s="6" t="s">
        <v>114</v>
      </c>
      <c r="E875" s="6" t="s">
        <v>58</v>
      </c>
      <c r="F875" s="6" t="s">
        <v>58</v>
      </c>
      <c r="G875" s="6" t="n">
        <v>9</v>
      </c>
      <c r="H875" s="6" t="n">
        <v>1121900</v>
      </c>
      <c r="I875" s="6" t="n">
        <v>787800</v>
      </c>
      <c r="J875" s="6" t="n">
        <v>5705500</v>
      </c>
      <c r="K875" s="6" t="n">
        <v>4583800</v>
      </c>
      <c r="L875" s="6" t="n">
        <v>9</v>
      </c>
      <c r="M875" s="6" t="n">
        <v>5</v>
      </c>
      <c r="N875" s="6" t="n">
        <v>3728.1</v>
      </c>
    </row>
    <row r="876" customFormat="false" ht="15" hidden="false" customHeight="false" outlineLevel="0" collapsed="false">
      <c r="A876" s="6" t="s">
        <v>23</v>
      </c>
      <c r="B876" s="6" t="s">
        <v>24</v>
      </c>
      <c r="C876" s="6" t="s">
        <v>51</v>
      </c>
      <c r="D876" s="6" t="s">
        <v>114</v>
      </c>
      <c r="E876" s="6" t="s">
        <v>58</v>
      </c>
      <c r="F876" s="6" t="s">
        <v>60</v>
      </c>
      <c r="G876" s="6" t="n">
        <v>23</v>
      </c>
      <c r="H876" s="6" t="n">
        <v>1862100</v>
      </c>
      <c r="I876" s="6" t="n">
        <v>617600</v>
      </c>
      <c r="J876" s="6" t="n">
        <v>16171100</v>
      </c>
      <c r="K876" s="6" t="n">
        <v>14309100</v>
      </c>
      <c r="L876" s="6" t="n">
        <v>23</v>
      </c>
      <c r="M876" s="6" t="n">
        <v>18</v>
      </c>
      <c r="N876" s="6" t="n">
        <v>18587</v>
      </c>
    </row>
    <row r="877" customFormat="false" ht="15" hidden="false" customHeight="false" outlineLevel="0" collapsed="false">
      <c r="A877" s="6" t="s">
        <v>23</v>
      </c>
      <c r="B877" s="6" t="s">
        <v>24</v>
      </c>
      <c r="C877" s="6" t="s">
        <v>51</v>
      </c>
      <c r="D877" s="6" t="s">
        <v>114</v>
      </c>
      <c r="E877" s="6" t="s">
        <v>60</v>
      </c>
      <c r="F877" s="6" t="s">
        <v>58</v>
      </c>
      <c r="G877" s="6" t="n">
        <v>18</v>
      </c>
      <c r="H877" s="6" t="n">
        <v>2026400</v>
      </c>
      <c r="I877" s="6" t="n">
        <v>945800</v>
      </c>
      <c r="J877" s="6" t="n">
        <v>16616100</v>
      </c>
      <c r="K877" s="6" t="n">
        <v>14589500</v>
      </c>
      <c r="L877" s="6" t="n">
        <v>18</v>
      </c>
      <c r="M877" s="6" t="n">
        <v>16</v>
      </c>
      <c r="N877" s="6" t="n">
        <v>13603.8</v>
      </c>
    </row>
    <row r="878" customFormat="false" ht="15" hidden="false" customHeight="false" outlineLevel="0" collapsed="false">
      <c r="A878" s="6" t="s">
        <v>23</v>
      </c>
      <c r="B878" s="6" t="s">
        <v>24</v>
      </c>
      <c r="C878" s="6" t="s">
        <v>51</v>
      </c>
      <c r="D878" s="6" t="s">
        <v>114</v>
      </c>
      <c r="E878" s="6" t="s">
        <v>60</v>
      </c>
      <c r="F878" s="6" t="s">
        <v>60</v>
      </c>
      <c r="G878" s="6" t="n">
        <v>21</v>
      </c>
      <c r="H878" s="6" t="n">
        <v>1771100</v>
      </c>
      <c r="I878" s="6" t="n">
        <v>954200</v>
      </c>
      <c r="J878" s="6" t="n">
        <v>17278200</v>
      </c>
      <c r="K878" s="6" t="n">
        <v>15506800</v>
      </c>
      <c r="L878" s="6" t="n">
        <v>21</v>
      </c>
      <c r="M878" s="6" t="n">
        <v>20</v>
      </c>
      <c r="N878" s="6" t="n">
        <v>19031.9</v>
      </c>
    </row>
    <row r="879" customFormat="false" ht="15" hidden="false" customHeight="false" outlineLevel="0" collapsed="false">
      <c r="A879" s="6" t="s">
        <v>32</v>
      </c>
      <c r="B879" s="6" t="s">
        <v>26</v>
      </c>
      <c r="C879" s="6" t="s">
        <v>54</v>
      </c>
      <c r="D879" s="6" t="s">
        <v>111</v>
      </c>
      <c r="E879" s="6" t="s">
        <v>58</v>
      </c>
      <c r="F879" s="6" t="s">
        <v>58</v>
      </c>
      <c r="G879" s="6" t="n">
        <v>2</v>
      </c>
      <c r="H879" s="6" t="n">
        <v>318400</v>
      </c>
      <c r="I879" s="6" t="n">
        <v>239500</v>
      </c>
      <c r="J879" s="6" t="n">
        <v>416000</v>
      </c>
      <c r="K879" s="6" t="n">
        <v>97600</v>
      </c>
      <c r="L879" s="6" t="n">
        <v>1</v>
      </c>
      <c r="M879" s="6" t="n">
        <v>0</v>
      </c>
      <c r="N879" s="6" t="n">
        <v>84</v>
      </c>
    </row>
    <row r="880" customFormat="false" ht="15" hidden="false" customHeight="false" outlineLevel="0" collapsed="false">
      <c r="A880" s="6" t="s">
        <v>32</v>
      </c>
      <c r="B880" s="6" t="s">
        <v>26</v>
      </c>
      <c r="C880" s="6" t="s">
        <v>54</v>
      </c>
      <c r="D880" s="6" t="s">
        <v>111</v>
      </c>
      <c r="E880" s="6" t="s">
        <v>58</v>
      </c>
      <c r="F880" s="6" t="s">
        <v>60</v>
      </c>
      <c r="G880" s="6" t="n">
        <v>14</v>
      </c>
      <c r="H880" s="6" t="n">
        <v>1409400</v>
      </c>
      <c r="I880" s="6" t="n">
        <v>607800</v>
      </c>
      <c r="J880" s="6" t="n">
        <v>4450900</v>
      </c>
      <c r="K880" s="6" t="n">
        <v>3041500</v>
      </c>
      <c r="L880" s="6" t="n">
        <v>14</v>
      </c>
      <c r="M880" s="6" t="n">
        <v>0</v>
      </c>
      <c r="N880" s="6" t="n">
        <v>3209.4</v>
      </c>
    </row>
    <row r="881" customFormat="false" ht="15" hidden="false" customHeight="false" outlineLevel="0" collapsed="false">
      <c r="A881" s="6" t="s">
        <v>32</v>
      </c>
      <c r="B881" s="6" t="s">
        <v>26</v>
      </c>
      <c r="C881" s="6" t="s">
        <v>54</v>
      </c>
      <c r="D881" s="6" t="s">
        <v>111</v>
      </c>
      <c r="E881" s="6" t="s">
        <v>60</v>
      </c>
      <c r="F881" s="6" t="s">
        <v>58</v>
      </c>
      <c r="G881" s="6" t="n">
        <v>3</v>
      </c>
      <c r="H881" s="6" t="n">
        <v>371300</v>
      </c>
      <c r="I881" s="6" t="n">
        <v>135000</v>
      </c>
      <c r="J881" s="6" t="n">
        <v>648500</v>
      </c>
      <c r="K881" s="6" t="n">
        <v>277300</v>
      </c>
      <c r="L881" s="6" t="n">
        <v>3</v>
      </c>
      <c r="M881" s="6" t="n">
        <v>0</v>
      </c>
      <c r="N881" s="6" t="n">
        <v>196.4</v>
      </c>
    </row>
    <row r="882" customFormat="false" ht="15" hidden="false" customHeight="false" outlineLevel="0" collapsed="false">
      <c r="A882" s="6" t="s">
        <v>32</v>
      </c>
      <c r="B882" s="6" t="s">
        <v>26</v>
      </c>
      <c r="C882" s="6" t="s">
        <v>54</v>
      </c>
      <c r="D882" s="6" t="s">
        <v>111</v>
      </c>
      <c r="E882" s="6" t="s">
        <v>60</v>
      </c>
      <c r="F882" s="6" t="s">
        <v>60</v>
      </c>
      <c r="G882" s="6" t="n">
        <v>4</v>
      </c>
      <c r="H882" s="6" t="n">
        <v>389000</v>
      </c>
      <c r="I882" s="6" t="n">
        <v>187000</v>
      </c>
      <c r="J882" s="6" t="n">
        <v>879900</v>
      </c>
      <c r="K882" s="6" t="n">
        <v>490900</v>
      </c>
      <c r="L882" s="6" t="n">
        <v>4</v>
      </c>
      <c r="M882" s="6" t="n">
        <v>0</v>
      </c>
      <c r="N882" s="6" t="n">
        <v>493.5</v>
      </c>
    </row>
    <row r="883" customFormat="false" ht="15" hidden="false" customHeight="false" outlineLevel="0" collapsed="false">
      <c r="A883" s="6" t="s">
        <v>32</v>
      </c>
      <c r="B883" s="6" t="s">
        <v>26</v>
      </c>
      <c r="C883" s="6" t="s">
        <v>54</v>
      </c>
      <c r="D883" s="6" t="s">
        <v>112</v>
      </c>
      <c r="E883" s="6" t="s">
        <v>58</v>
      </c>
      <c r="F883" s="6" t="s">
        <v>58</v>
      </c>
      <c r="G883" s="6" t="n">
        <v>5</v>
      </c>
      <c r="H883" s="6" t="n">
        <v>748800</v>
      </c>
      <c r="I883" s="6" t="n">
        <v>226700</v>
      </c>
      <c r="J883" s="6" t="n">
        <v>1358400</v>
      </c>
      <c r="K883" s="6" t="n">
        <v>609800</v>
      </c>
      <c r="L883" s="6" t="n">
        <v>5</v>
      </c>
      <c r="M883" s="6" t="n">
        <v>0</v>
      </c>
      <c r="N883" s="6" t="n">
        <v>459</v>
      </c>
    </row>
    <row r="884" customFormat="false" ht="15" hidden="false" customHeight="false" outlineLevel="0" collapsed="false">
      <c r="A884" s="6" t="s">
        <v>32</v>
      </c>
      <c r="B884" s="6" t="s">
        <v>26</v>
      </c>
      <c r="C884" s="6" t="s">
        <v>54</v>
      </c>
      <c r="D884" s="6" t="s">
        <v>112</v>
      </c>
      <c r="E884" s="6" t="s">
        <v>58</v>
      </c>
      <c r="F884" s="6" t="s">
        <v>60</v>
      </c>
      <c r="G884" s="6" t="n">
        <v>16</v>
      </c>
      <c r="H884" s="6" t="n">
        <v>1742900</v>
      </c>
      <c r="I884" s="6" t="n">
        <v>1006500</v>
      </c>
      <c r="J884" s="6" t="n">
        <v>4664800</v>
      </c>
      <c r="K884" s="6" t="n">
        <v>2921900</v>
      </c>
      <c r="L884" s="6" t="n">
        <v>15</v>
      </c>
      <c r="M884" s="6" t="n">
        <v>0</v>
      </c>
      <c r="N884" s="6" t="n">
        <v>2996.1</v>
      </c>
    </row>
    <row r="885" customFormat="false" ht="15" hidden="false" customHeight="false" outlineLevel="0" collapsed="false">
      <c r="A885" s="6" t="s">
        <v>32</v>
      </c>
      <c r="B885" s="6" t="s">
        <v>26</v>
      </c>
      <c r="C885" s="6" t="s">
        <v>54</v>
      </c>
      <c r="D885" s="6" t="s">
        <v>112</v>
      </c>
      <c r="E885" s="6" t="s">
        <v>60</v>
      </c>
      <c r="F885" s="6" t="s">
        <v>58</v>
      </c>
      <c r="G885" s="6" t="n">
        <v>4</v>
      </c>
      <c r="H885" s="6" t="n">
        <v>538400</v>
      </c>
      <c r="I885" s="6" t="n">
        <v>315800</v>
      </c>
      <c r="J885" s="6" t="n">
        <v>1427900</v>
      </c>
      <c r="K885" s="6" t="n">
        <v>889500</v>
      </c>
      <c r="L885" s="6" t="n">
        <v>4</v>
      </c>
      <c r="M885" s="6" t="n">
        <v>1</v>
      </c>
      <c r="N885" s="6" t="n">
        <v>708</v>
      </c>
    </row>
    <row r="886" customFormat="false" ht="15" hidden="false" customHeight="false" outlineLevel="0" collapsed="false">
      <c r="A886" s="6" t="s">
        <v>32</v>
      </c>
      <c r="B886" s="6" t="s">
        <v>26</v>
      </c>
      <c r="C886" s="6" t="s">
        <v>54</v>
      </c>
      <c r="D886" s="6" t="s">
        <v>112</v>
      </c>
      <c r="E886" s="6" t="s">
        <v>60</v>
      </c>
      <c r="F886" s="6" t="s">
        <v>60</v>
      </c>
      <c r="G886" s="6" t="n">
        <v>9</v>
      </c>
      <c r="H886" s="6" t="n">
        <v>879900</v>
      </c>
      <c r="I886" s="6" t="n">
        <v>661300</v>
      </c>
      <c r="J886" s="6" t="n">
        <v>3203200</v>
      </c>
      <c r="K886" s="6" t="n">
        <v>2323200</v>
      </c>
      <c r="L886" s="6" t="n">
        <v>9</v>
      </c>
      <c r="M886" s="6" t="n">
        <v>1</v>
      </c>
      <c r="N886" s="6" t="n">
        <v>2393.1</v>
      </c>
    </row>
    <row r="887" customFormat="false" ht="15" hidden="false" customHeight="false" outlineLevel="0" collapsed="false">
      <c r="A887" s="6" t="s">
        <v>32</v>
      </c>
      <c r="B887" s="6" t="s">
        <v>26</v>
      </c>
      <c r="C887" s="6" t="s">
        <v>54</v>
      </c>
      <c r="D887" s="6" t="s">
        <v>113</v>
      </c>
      <c r="E887" s="6" t="s">
        <v>58</v>
      </c>
      <c r="F887" s="6" t="s">
        <v>58</v>
      </c>
      <c r="G887" s="6" t="n">
        <v>11</v>
      </c>
      <c r="H887" s="6" t="n">
        <v>1491400</v>
      </c>
      <c r="I887" s="6" t="n">
        <v>593500</v>
      </c>
      <c r="J887" s="6" t="n">
        <v>2503400</v>
      </c>
      <c r="K887" s="6" t="n">
        <v>1012100</v>
      </c>
      <c r="L887" s="6" t="n">
        <v>9</v>
      </c>
      <c r="M887" s="6" t="n">
        <v>0</v>
      </c>
      <c r="N887" s="6" t="n">
        <v>823.6</v>
      </c>
    </row>
    <row r="888" customFormat="false" ht="15" hidden="false" customHeight="false" outlineLevel="0" collapsed="false">
      <c r="A888" s="6" t="s">
        <v>32</v>
      </c>
      <c r="B888" s="6" t="s">
        <v>26</v>
      </c>
      <c r="C888" s="6" t="s">
        <v>54</v>
      </c>
      <c r="D888" s="6" t="s">
        <v>113</v>
      </c>
      <c r="E888" s="6" t="s">
        <v>58</v>
      </c>
      <c r="F888" s="6" t="s">
        <v>60</v>
      </c>
      <c r="G888" s="6" t="n">
        <v>15</v>
      </c>
      <c r="H888" s="6" t="n">
        <v>1488800</v>
      </c>
      <c r="I888" s="6" t="n">
        <v>583900</v>
      </c>
      <c r="J888" s="6" t="n">
        <v>3924600</v>
      </c>
      <c r="K888" s="6" t="n">
        <v>2435600</v>
      </c>
      <c r="L888" s="6" t="n">
        <v>15</v>
      </c>
      <c r="M888" s="6" t="n">
        <v>0</v>
      </c>
      <c r="N888" s="6" t="n">
        <v>2555.5</v>
      </c>
    </row>
    <row r="889" customFormat="false" ht="15" hidden="false" customHeight="false" outlineLevel="0" collapsed="false">
      <c r="A889" s="6" t="s">
        <v>32</v>
      </c>
      <c r="B889" s="6" t="s">
        <v>26</v>
      </c>
      <c r="C889" s="6" t="s">
        <v>54</v>
      </c>
      <c r="D889" s="6" t="s">
        <v>113</v>
      </c>
      <c r="E889" s="6" t="s">
        <v>60</v>
      </c>
      <c r="F889" s="6" t="s">
        <v>58</v>
      </c>
      <c r="G889" s="6" t="n">
        <v>12</v>
      </c>
      <c r="H889" s="6" t="n">
        <v>1840800</v>
      </c>
      <c r="I889" s="6" t="n">
        <v>628800</v>
      </c>
      <c r="J889" s="6" t="n">
        <v>2821500</v>
      </c>
      <c r="K889" s="6" t="n">
        <v>980600</v>
      </c>
      <c r="L889" s="6" t="n">
        <v>10</v>
      </c>
      <c r="M889" s="6" t="n">
        <v>0</v>
      </c>
      <c r="N889" s="6" t="n">
        <v>654.8</v>
      </c>
    </row>
    <row r="890" customFormat="false" ht="15" hidden="false" customHeight="false" outlineLevel="0" collapsed="false">
      <c r="A890" s="6" t="s">
        <v>32</v>
      </c>
      <c r="B890" s="6" t="s">
        <v>26</v>
      </c>
      <c r="C890" s="6" t="s">
        <v>54</v>
      </c>
      <c r="D890" s="6" t="s">
        <v>113</v>
      </c>
      <c r="E890" s="6" t="s">
        <v>60</v>
      </c>
      <c r="F890" s="6" t="s">
        <v>60</v>
      </c>
      <c r="G890" s="6" t="n">
        <v>14</v>
      </c>
      <c r="H890" s="6" t="n">
        <v>1375900</v>
      </c>
      <c r="I890" s="6" t="n">
        <v>475900</v>
      </c>
      <c r="J890" s="6" t="n">
        <v>4028100</v>
      </c>
      <c r="K890" s="6" t="n">
        <v>2652200</v>
      </c>
      <c r="L890" s="6" t="n">
        <v>14</v>
      </c>
      <c r="M890" s="6" t="n">
        <v>0</v>
      </c>
      <c r="N890" s="6" t="n">
        <v>2923.9</v>
      </c>
    </row>
    <row r="891" customFormat="false" ht="15" hidden="false" customHeight="false" outlineLevel="0" collapsed="false">
      <c r="A891" s="6" t="s">
        <v>32</v>
      </c>
      <c r="B891" s="6" t="s">
        <v>26</v>
      </c>
      <c r="C891" s="6" t="s">
        <v>54</v>
      </c>
      <c r="D891" s="6" t="s">
        <v>114</v>
      </c>
      <c r="E891" s="6" t="s">
        <v>58</v>
      </c>
      <c r="F891" s="6" t="s">
        <v>58</v>
      </c>
      <c r="G891" s="6" t="n">
        <v>7</v>
      </c>
      <c r="H891" s="6" t="n">
        <v>1065900</v>
      </c>
      <c r="I891" s="6" t="n">
        <v>476400</v>
      </c>
      <c r="J891" s="6" t="n">
        <v>1455500</v>
      </c>
      <c r="K891" s="6" t="n">
        <v>389800</v>
      </c>
      <c r="L891" s="6" t="n">
        <v>5</v>
      </c>
      <c r="M891" s="6" t="n">
        <v>0</v>
      </c>
      <c r="N891" s="6" t="n">
        <v>284</v>
      </c>
    </row>
    <row r="892" customFormat="false" ht="15" hidden="false" customHeight="false" outlineLevel="0" collapsed="false">
      <c r="A892" s="6" t="s">
        <v>32</v>
      </c>
      <c r="B892" s="6" t="s">
        <v>26</v>
      </c>
      <c r="C892" s="6" t="s">
        <v>54</v>
      </c>
      <c r="D892" s="6" t="s">
        <v>114</v>
      </c>
      <c r="E892" s="6" t="s">
        <v>58</v>
      </c>
      <c r="F892" s="6" t="s">
        <v>60</v>
      </c>
      <c r="G892" s="6" t="n">
        <v>12</v>
      </c>
      <c r="H892" s="6" t="n">
        <v>1231900</v>
      </c>
      <c r="I892" s="6" t="n">
        <v>581300</v>
      </c>
      <c r="J892" s="6" t="n">
        <v>3124600</v>
      </c>
      <c r="K892" s="6" t="n">
        <v>1892500</v>
      </c>
      <c r="L892" s="6" t="n">
        <v>12</v>
      </c>
      <c r="M892" s="6" t="n">
        <v>0</v>
      </c>
      <c r="N892" s="6" t="n">
        <v>1905.2</v>
      </c>
    </row>
    <row r="893" customFormat="false" ht="15" hidden="false" customHeight="false" outlineLevel="0" collapsed="false">
      <c r="A893" s="6" t="s">
        <v>32</v>
      </c>
      <c r="B893" s="6" t="s">
        <v>26</v>
      </c>
      <c r="C893" s="6" t="s">
        <v>54</v>
      </c>
      <c r="D893" s="6" t="s">
        <v>114</v>
      </c>
      <c r="E893" s="6" t="s">
        <v>60</v>
      </c>
      <c r="F893" s="6" t="s">
        <v>58</v>
      </c>
      <c r="G893" s="6" t="n">
        <v>4</v>
      </c>
      <c r="H893" s="6" t="n">
        <v>626900</v>
      </c>
      <c r="I893" s="6" t="n">
        <v>245400</v>
      </c>
      <c r="J893" s="6" t="n">
        <v>961700</v>
      </c>
      <c r="K893" s="6" t="n">
        <v>334700</v>
      </c>
      <c r="L893" s="6" t="n">
        <v>4</v>
      </c>
      <c r="M893" s="6" t="n">
        <v>0</v>
      </c>
      <c r="N893" s="6" t="n">
        <v>229.6</v>
      </c>
    </row>
    <row r="894" customFormat="false" ht="15" hidden="false" customHeight="false" outlineLevel="0" collapsed="false">
      <c r="A894" s="6" t="s">
        <v>32</v>
      </c>
      <c r="B894" s="6" t="s">
        <v>26</v>
      </c>
      <c r="C894" s="6" t="s">
        <v>54</v>
      </c>
      <c r="D894" s="6" t="s">
        <v>114</v>
      </c>
      <c r="E894" s="6" t="s">
        <v>60</v>
      </c>
      <c r="F894" s="6" t="s">
        <v>60</v>
      </c>
      <c r="G894" s="6" t="n">
        <v>6</v>
      </c>
      <c r="H894" s="6" t="n">
        <v>584900</v>
      </c>
      <c r="I894" s="6" t="n">
        <v>268300</v>
      </c>
      <c r="J894" s="6" t="n">
        <v>1366900</v>
      </c>
      <c r="K894" s="6" t="n">
        <v>782000</v>
      </c>
      <c r="L894" s="6" t="n">
        <v>6</v>
      </c>
      <c r="M894" s="6" t="n">
        <v>0</v>
      </c>
      <c r="N894" s="6" t="n">
        <v>781.3</v>
      </c>
    </row>
    <row r="895" customFormat="false" ht="15" hidden="false" customHeight="false" outlineLevel="0" collapsed="false">
      <c r="A895" s="6" t="s">
        <v>32</v>
      </c>
      <c r="B895" s="6" t="s">
        <v>26</v>
      </c>
      <c r="C895" s="6" t="s">
        <v>50</v>
      </c>
      <c r="D895" s="6" t="s">
        <v>111</v>
      </c>
      <c r="E895" s="6" t="s">
        <v>58</v>
      </c>
      <c r="F895" s="6" t="s">
        <v>58</v>
      </c>
      <c r="G895" s="6" t="n">
        <v>1</v>
      </c>
      <c r="H895" s="6" t="n">
        <v>236400</v>
      </c>
      <c r="I895" s="6" t="n">
        <v>220500</v>
      </c>
      <c r="J895" s="6" t="n">
        <v>547000</v>
      </c>
      <c r="K895" s="6" t="n">
        <v>310600</v>
      </c>
      <c r="L895" s="6" t="n">
        <v>1</v>
      </c>
      <c r="M895" s="6" t="n">
        <v>0</v>
      </c>
      <c r="N895" s="6" t="n">
        <v>131.4</v>
      </c>
    </row>
    <row r="896" customFormat="false" ht="15" hidden="false" customHeight="false" outlineLevel="0" collapsed="false">
      <c r="A896" s="6" t="s">
        <v>32</v>
      </c>
      <c r="B896" s="6" t="s">
        <v>26</v>
      </c>
      <c r="C896" s="6" t="s">
        <v>50</v>
      </c>
      <c r="D896" s="6" t="s">
        <v>111</v>
      </c>
      <c r="E896" s="6" t="s">
        <v>58</v>
      </c>
      <c r="F896" s="6" t="s">
        <v>60</v>
      </c>
      <c r="G896" s="6" t="n">
        <v>11</v>
      </c>
      <c r="H896" s="6" t="n">
        <v>1541600</v>
      </c>
      <c r="I896" s="6" t="n">
        <v>508500</v>
      </c>
      <c r="J896" s="6" t="n">
        <v>7536200</v>
      </c>
      <c r="K896" s="6" t="n">
        <v>5994300</v>
      </c>
      <c r="L896" s="6" t="n">
        <v>11</v>
      </c>
      <c r="M896" s="6" t="n">
        <v>7</v>
      </c>
      <c r="N896" s="6" t="n">
        <v>4526.9</v>
      </c>
    </row>
    <row r="897" customFormat="false" ht="15" hidden="false" customHeight="false" outlineLevel="0" collapsed="false">
      <c r="A897" s="6" t="s">
        <v>32</v>
      </c>
      <c r="B897" s="6" t="s">
        <v>26</v>
      </c>
      <c r="C897" s="6" t="s">
        <v>50</v>
      </c>
      <c r="D897" s="6" t="s">
        <v>111</v>
      </c>
      <c r="E897" s="6" t="s">
        <v>60</v>
      </c>
      <c r="F897" s="6" t="s">
        <v>58</v>
      </c>
      <c r="G897" s="6" t="n">
        <v>2</v>
      </c>
      <c r="H897" s="6" t="n">
        <v>494100</v>
      </c>
      <c r="I897" s="6" t="n">
        <v>155200</v>
      </c>
      <c r="J897" s="6" t="n">
        <v>1364300</v>
      </c>
      <c r="K897" s="6" t="n">
        <v>870200</v>
      </c>
      <c r="L897" s="6" t="n">
        <v>2</v>
      </c>
      <c r="M897" s="6" t="n">
        <v>1</v>
      </c>
      <c r="N897" s="6" t="n">
        <v>368.8</v>
      </c>
    </row>
    <row r="898" customFormat="false" ht="15" hidden="false" customHeight="false" outlineLevel="0" collapsed="false">
      <c r="A898" s="6" t="s">
        <v>32</v>
      </c>
      <c r="B898" s="6" t="s">
        <v>26</v>
      </c>
      <c r="C898" s="6" t="s">
        <v>50</v>
      </c>
      <c r="D898" s="6" t="s">
        <v>111</v>
      </c>
      <c r="E898" s="6" t="s">
        <v>60</v>
      </c>
      <c r="F898" s="6" t="s">
        <v>60</v>
      </c>
      <c r="G898" s="6" t="n">
        <v>7</v>
      </c>
      <c r="H898" s="6" t="n">
        <v>1091400</v>
      </c>
      <c r="I898" s="6" t="n">
        <v>245300</v>
      </c>
      <c r="J898" s="6" t="n">
        <v>5834500</v>
      </c>
      <c r="K898" s="6" t="n">
        <v>4743100</v>
      </c>
      <c r="L898" s="6" t="n">
        <v>7</v>
      </c>
      <c r="M898" s="6" t="n">
        <v>6</v>
      </c>
      <c r="N898" s="6" t="n">
        <v>3026.9</v>
      </c>
    </row>
    <row r="899" customFormat="false" ht="15" hidden="false" customHeight="false" outlineLevel="0" collapsed="false">
      <c r="A899" s="6" t="s">
        <v>32</v>
      </c>
      <c r="B899" s="6" t="s">
        <v>26</v>
      </c>
      <c r="C899" s="6" t="s">
        <v>50</v>
      </c>
      <c r="D899" s="6" t="s">
        <v>112</v>
      </c>
      <c r="E899" s="6" t="s">
        <v>58</v>
      </c>
      <c r="F899" s="6" t="s">
        <v>58</v>
      </c>
      <c r="G899" s="6" t="n">
        <v>2</v>
      </c>
      <c r="H899" s="6" t="n">
        <v>309000</v>
      </c>
      <c r="I899" s="6" t="n">
        <v>122200</v>
      </c>
      <c r="J899" s="6" t="n">
        <v>832300</v>
      </c>
      <c r="K899" s="6" t="n">
        <v>523300</v>
      </c>
      <c r="L899" s="6" t="n">
        <v>2</v>
      </c>
      <c r="M899" s="6" t="n">
        <v>0</v>
      </c>
      <c r="N899" s="6" t="n">
        <v>345.3</v>
      </c>
    </row>
    <row r="900" customFormat="false" ht="15" hidden="false" customHeight="false" outlineLevel="0" collapsed="false">
      <c r="A900" s="6" t="s">
        <v>32</v>
      </c>
      <c r="B900" s="6" t="s">
        <v>26</v>
      </c>
      <c r="C900" s="6" t="s">
        <v>50</v>
      </c>
      <c r="D900" s="6" t="s">
        <v>112</v>
      </c>
      <c r="E900" s="6" t="s">
        <v>58</v>
      </c>
      <c r="F900" s="6" t="s">
        <v>60</v>
      </c>
      <c r="G900" s="6" t="n">
        <v>9</v>
      </c>
      <c r="H900" s="6" t="n">
        <v>1339600</v>
      </c>
      <c r="I900" s="6" t="n">
        <v>657300</v>
      </c>
      <c r="J900" s="6" t="n">
        <v>5460500</v>
      </c>
      <c r="K900" s="6" t="n">
        <v>4120900</v>
      </c>
      <c r="L900" s="6" t="n">
        <v>9</v>
      </c>
      <c r="M900" s="6" t="n">
        <v>6</v>
      </c>
      <c r="N900" s="6" t="n">
        <v>2799</v>
      </c>
    </row>
    <row r="901" customFormat="false" ht="15" hidden="false" customHeight="false" outlineLevel="0" collapsed="false">
      <c r="A901" s="6" t="s">
        <v>32</v>
      </c>
      <c r="B901" s="6" t="s">
        <v>26</v>
      </c>
      <c r="C901" s="6" t="s">
        <v>50</v>
      </c>
      <c r="D901" s="6" t="s">
        <v>112</v>
      </c>
      <c r="E901" s="6" t="s">
        <v>60</v>
      </c>
      <c r="F901" s="6" t="s">
        <v>58</v>
      </c>
      <c r="G901" s="6" t="n">
        <v>5</v>
      </c>
      <c r="H901" s="6" t="n">
        <v>1145600</v>
      </c>
      <c r="I901" s="6" t="n">
        <v>677800</v>
      </c>
      <c r="J901" s="6" t="n">
        <v>3614500</v>
      </c>
      <c r="K901" s="6" t="n">
        <v>2468700</v>
      </c>
      <c r="L901" s="6" t="n">
        <v>5</v>
      </c>
      <c r="M901" s="6" t="n">
        <v>5</v>
      </c>
      <c r="N901" s="6" t="n">
        <v>1143.2</v>
      </c>
    </row>
    <row r="902" customFormat="false" ht="15" hidden="false" customHeight="false" outlineLevel="0" collapsed="false">
      <c r="A902" s="6" t="s">
        <v>32</v>
      </c>
      <c r="B902" s="6" t="s">
        <v>26</v>
      </c>
      <c r="C902" s="6" t="s">
        <v>50</v>
      </c>
      <c r="D902" s="6" t="s">
        <v>112</v>
      </c>
      <c r="E902" s="6" t="s">
        <v>60</v>
      </c>
      <c r="F902" s="6" t="s">
        <v>60</v>
      </c>
      <c r="G902" s="6" t="n">
        <v>5</v>
      </c>
      <c r="H902" s="6" t="n">
        <v>698400</v>
      </c>
      <c r="I902" s="6" t="n">
        <v>300800</v>
      </c>
      <c r="J902" s="6" t="n">
        <v>3330800</v>
      </c>
      <c r="K902" s="6" t="n">
        <v>2632700</v>
      </c>
      <c r="L902" s="6" t="n">
        <v>5</v>
      </c>
      <c r="M902" s="6" t="n">
        <v>2</v>
      </c>
      <c r="N902" s="6" t="n">
        <v>1946.2</v>
      </c>
    </row>
    <row r="903" customFormat="false" ht="15" hidden="false" customHeight="false" outlineLevel="0" collapsed="false">
      <c r="A903" s="6" t="s">
        <v>32</v>
      </c>
      <c r="B903" s="6" t="s">
        <v>26</v>
      </c>
      <c r="C903" s="6" t="s">
        <v>50</v>
      </c>
      <c r="D903" s="6" t="s">
        <v>113</v>
      </c>
      <c r="E903" s="6" t="s">
        <v>58</v>
      </c>
      <c r="F903" s="6" t="s">
        <v>58</v>
      </c>
      <c r="G903" s="6" t="n">
        <v>3</v>
      </c>
      <c r="H903" s="6" t="n">
        <v>561800</v>
      </c>
      <c r="I903" s="6" t="n">
        <v>219500</v>
      </c>
      <c r="J903" s="6" t="n">
        <v>2091900</v>
      </c>
      <c r="K903" s="6" t="n">
        <v>1530100</v>
      </c>
      <c r="L903" s="6" t="n">
        <v>3</v>
      </c>
      <c r="M903" s="6" t="n">
        <v>1</v>
      </c>
      <c r="N903" s="6" t="n">
        <v>770.9</v>
      </c>
    </row>
    <row r="904" customFormat="false" ht="15" hidden="false" customHeight="false" outlineLevel="0" collapsed="false">
      <c r="A904" s="6" t="s">
        <v>32</v>
      </c>
      <c r="B904" s="6" t="s">
        <v>26</v>
      </c>
      <c r="C904" s="6" t="s">
        <v>50</v>
      </c>
      <c r="D904" s="6" t="s">
        <v>113</v>
      </c>
      <c r="E904" s="6" t="s">
        <v>58</v>
      </c>
      <c r="F904" s="6" t="s">
        <v>60</v>
      </c>
      <c r="G904" s="6" t="n">
        <v>13</v>
      </c>
      <c r="H904" s="6" t="n">
        <v>2044400</v>
      </c>
      <c r="I904" s="6" t="n">
        <v>1130700</v>
      </c>
      <c r="J904" s="6" t="n">
        <v>7469600</v>
      </c>
      <c r="K904" s="6" t="n">
        <v>5425400</v>
      </c>
      <c r="L904" s="6" t="n">
        <v>13</v>
      </c>
      <c r="M904" s="6" t="n">
        <v>6</v>
      </c>
      <c r="N904" s="6" t="n">
        <v>3666.2</v>
      </c>
    </row>
    <row r="905" customFormat="false" ht="15" hidden="false" customHeight="false" outlineLevel="0" collapsed="false">
      <c r="A905" s="6" t="s">
        <v>32</v>
      </c>
      <c r="B905" s="6" t="s">
        <v>26</v>
      </c>
      <c r="C905" s="6" t="s">
        <v>50</v>
      </c>
      <c r="D905" s="6" t="s">
        <v>113</v>
      </c>
      <c r="E905" s="6" t="s">
        <v>60</v>
      </c>
      <c r="F905" s="6" t="s">
        <v>58</v>
      </c>
      <c r="G905" s="6" t="n">
        <v>5</v>
      </c>
      <c r="H905" s="6" t="n">
        <v>1062000</v>
      </c>
      <c r="I905" s="6" t="n">
        <v>313600</v>
      </c>
      <c r="J905" s="6" t="n">
        <v>2957200</v>
      </c>
      <c r="K905" s="6" t="n">
        <v>1895500</v>
      </c>
      <c r="L905" s="6" t="n">
        <v>4</v>
      </c>
      <c r="M905" s="6" t="n">
        <v>2</v>
      </c>
      <c r="N905" s="6" t="n">
        <v>1007.3</v>
      </c>
    </row>
    <row r="906" customFormat="false" ht="15" hidden="false" customHeight="false" outlineLevel="0" collapsed="false">
      <c r="A906" s="6" t="s">
        <v>32</v>
      </c>
      <c r="B906" s="6" t="s">
        <v>26</v>
      </c>
      <c r="C906" s="6" t="s">
        <v>50</v>
      </c>
      <c r="D906" s="6" t="s">
        <v>113</v>
      </c>
      <c r="E906" s="6" t="s">
        <v>60</v>
      </c>
      <c r="F906" s="6" t="s">
        <v>60</v>
      </c>
      <c r="G906" s="6" t="n">
        <v>15</v>
      </c>
      <c r="H906" s="6" t="n">
        <v>2243200</v>
      </c>
      <c r="I906" s="6" t="n">
        <v>1230000</v>
      </c>
      <c r="J906" s="6" t="n">
        <v>11825200</v>
      </c>
      <c r="K906" s="6" t="n">
        <v>9582100</v>
      </c>
      <c r="L906" s="6" t="n">
        <v>15</v>
      </c>
      <c r="M906" s="6" t="n">
        <v>12</v>
      </c>
      <c r="N906" s="6" t="n">
        <v>6660.2</v>
      </c>
    </row>
    <row r="907" customFormat="false" ht="15" hidden="false" customHeight="false" outlineLevel="0" collapsed="false">
      <c r="A907" s="6" t="s">
        <v>32</v>
      </c>
      <c r="B907" s="6" t="s">
        <v>26</v>
      </c>
      <c r="C907" s="6" t="s">
        <v>50</v>
      </c>
      <c r="D907" s="6" t="s">
        <v>114</v>
      </c>
      <c r="E907" s="6" t="s">
        <v>58</v>
      </c>
      <c r="F907" s="6" t="s">
        <v>58</v>
      </c>
      <c r="G907" s="6" t="n">
        <v>1</v>
      </c>
      <c r="H907" s="6" t="n">
        <v>162600</v>
      </c>
      <c r="I907" s="6" t="n">
        <v>136100</v>
      </c>
      <c r="J907" s="6" t="n">
        <v>480100</v>
      </c>
      <c r="K907" s="6" t="n">
        <v>317500</v>
      </c>
      <c r="L907" s="6" t="n">
        <v>1</v>
      </c>
      <c r="M907" s="6" t="n">
        <v>0</v>
      </c>
      <c r="N907" s="6" t="n">
        <v>195.2</v>
      </c>
    </row>
    <row r="908" customFormat="false" ht="15" hidden="false" customHeight="false" outlineLevel="0" collapsed="false">
      <c r="A908" s="6" t="s">
        <v>32</v>
      </c>
      <c r="B908" s="6" t="s">
        <v>26</v>
      </c>
      <c r="C908" s="6" t="s">
        <v>50</v>
      </c>
      <c r="D908" s="6" t="s">
        <v>114</v>
      </c>
      <c r="E908" s="6" t="s">
        <v>58</v>
      </c>
      <c r="F908" s="6" t="s">
        <v>60</v>
      </c>
      <c r="G908" s="6" t="n">
        <v>14</v>
      </c>
      <c r="H908" s="6" t="n">
        <v>1974900</v>
      </c>
      <c r="I908" s="6" t="n">
        <v>1036300</v>
      </c>
      <c r="J908" s="6" t="n">
        <v>10099100</v>
      </c>
      <c r="K908" s="6" t="n">
        <v>8124300</v>
      </c>
      <c r="L908" s="6" t="n">
        <v>14</v>
      </c>
      <c r="M908" s="6" t="n">
        <v>8</v>
      </c>
      <c r="N908" s="6" t="n">
        <v>6165.1</v>
      </c>
    </row>
    <row r="909" customFormat="false" ht="15" hidden="false" customHeight="false" outlineLevel="0" collapsed="false">
      <c r="A909" s="6" t="s">
        <v>32</v>
      </c>
      <c r="B909" s="6" t="s">
        <v>26</v>
      </c>
      <c r="C909" s="6" t="s">
        <v>50</v>
      </c>
      <c r="D909" s="6" t="s">
        <v>114</v>
      </c>
      <c r="E909" s="6" t="s">
        <v>60</v>
      </c>
      <c r="F909" s="6" t="s">
        <v>58</v>
      </c>
      <c r="G909" s="6" t="n">
        <v>2</v>
      </c>
      <c r="H909" s="6" t="n">
        <v>341600</v>
      </c>
      <c r="I909" s="6" t="n">
        <v>199000</v>
      </c>
      <c r="J909" s="6" t="n">
        <v>1751000</v>
      </c>
      <c r="K909" s="6" t="n">
        <v>1409300</v>
      </c>
      <c r="L909" s="6" t="n">
        <v>2</v>
      </c>
      <c r="M909" s="6" t="n">
        <v>1</v>
      </c>
      <c r="N909" s="6" t="n">
        <v>991.1</v>
      </c>
    </row>
    <row r="910" customFormat="false" ht="15" hidden="false" customHeight="false" outlineLevel="0" collapsed="false">
      <c r="A910" s="6" t="s">
        <v>32</v>
      </c>
      <c r="B910" s="6" t="s">
        <v>26</v>
      </c>
      <c r="C910" s="6" t="s">
        <v>50</v>
      </c>
      <c r="D910" s="6" t="s">
        <v>114</v>
      </c>
      <c r="E910" s="6" t="s">
        <v>60</v>
      </c>
      <c r="F910" s="6" t="s">
        <v>60</v>
      </c>
      <c r="G910" s="6" t="n">
        <v>6</v>
      </c>
      <c r="H910" s="6" t="n">
        <v>945500</v>
      </c>
      <c r="I910" s="6" t="n">
        <v>528400</v>
      </c>
      <c r="J910" s="6" t="n">
        <v>5055300</v>
      </c>
      <c r="K910" s="6" t="n">
        <v>4109900</v>
      </c>
      <c r="L910" s="6" t="n">
        <v>6</v>
      </c>
      <c r="M910" s="6" t="n">
        <v>5</v>
      </c>
      <c r="N910" s="6" t="n">
        <v>2554.1</v>
      </c>
    </row>
    <row r="911" customFormat="false" ht="15" hidden="false" customHeight="false" outlineLevel="0" collapsed="false">
      <c r="A911" s="6" t="s">
        <v>32</v>
      </c>
      <c r="B911" s="6" t="s">
        <v>26</v>
      </c>
      <c r="C911" s="6" t="s">
        <v>52</v>
      </c>
      <c r="D911" s="6" t="s">
        <v>111</v>
      </c>
      <c r="E911" s="6" t="s">
        <v>58</v>
      </c>
      <c r="F911" s="6" t="s">
        <v>58</v>
      </c>
      <c r="G911" s="6" t="n">
        <v>22</v>
      </c>
      <c r="H911" s="6" t="n">
        <v>2330200</v>
      </c>
      <c r="I911" s="6" t="n">
        <v>1048600</v>
      </c>
      <c r="J911" s="6" t="n">
        <v>8613400</v>
      </c>
      <c r="K911" s="6" t="n">
        <v>6283400</v>
      </c>
      <c r="L911" s="6" t="n">
        <v>22</v>
      </c>
      <c r="M911" s="6" t="n">
        <v>5</v>
      </c>
      <c r="N911" s="6" t="n">
        <v>6146.9</v>
      </c>
    </row>
    <row r="912" customFormat="false" ht="15" hidden="false" customHeight="false" outlineLevel="0" collapsed="false">
      <c r="A912" s="6" t="s">
        <v>32</v>
      </c>
      <c r="B912" s="6" t="s">
        <v>26</v>
      </c>
      <c r="C912" s="6" t="s">
        <v>52</v>
      </c>
      <c r="D912" s="6" t="s">
        <v>111</v>
      </c>
      <c r="E912" s="6" t="s">
        <v>58</v>
      </c>
      <c r="F912" s="6" t="s">
        <v>60</v>
      </c>
      <c r="G912" s="6" t="n">
        <v>40</v>
      </c>
      <c r="H912" s="6" t="n">
        <v>2845100</v>
      </c>
      <c r="I912" s="6" t="n">
        <v>1170400</v>
      </c>
      <c r="J912" s="6" t="n">
        <v>17312300</v>
      </c>
      <c r="K912" s="6" t="n">
        <v>14466900</v>
      </c>
      <c r="L912" s="6" t="n">
        <v>40</v>
      </c>
      <c r="M912" s="6" t="n">
        <v>11</v>
      </c>
      <c r="N912" s="6" t="n">
        <v>20695.5</v>
      </c>
    </row>
    <row r="913" customFormat="false" ht="15" hidden="false" customHeight="false" outlineLevel="0" collapsed="false">
      <c r="A913" s="6" t="s">
        <v>32</v>
      </c>
      <c r="B913" s="6" t="s">
        <v>26</v>
      </c>
      <c r="C913" s="6" t="s">
        <v>52</v>
      </c>
      <c r="D913" s="6" t="s">
        <v>111</v>
      </c>
      <c r="E913" s="6" t="s">
        <v>60</v>
      </c>
      <c r="F913" s="6" t="s">
        <v>58</v>
      </c>
      <c r="G913" s="6" t="n">
        <v>23</v>
      </c>
      <c r="H913" s="6" t="n">
        <v>2356300</v>
      </c>
      <c r="I913" s="6" t="n">
        <v>1253000</v>
      </c>
      <c r="J913" s="6" t="n">
        <v>9551900</v>
      </c>
      <c r="K913" s="6" t="n">
        <v>7195200</v>
      </c>
      <c r="L913" s="6" t="n">
        <v>23</v>
      </c>
      <c r="M913" s="6" t="n">
        <v>3</v>
      </c>
      <c r="N913" s="6" t="n">
        <v>7257</v>
      </c>
    </row>
    <row r="914" customFormat="false" ht="15" hidden="false" customHeight="false" outlineLevel="0" collapsed="false">
      <c r="A914" s="6" t="s">
        <v>32</v>
      </c>
      <c r="B914" s="6" t="s">
        <v>26</v>
      </c>
      <c r="C914" s="6" t="s">
        <v>52</v>
      </c>
      <c r="D914" s="6" t="s">
        <v>111</v>
      </c>
      <c r="E914" s="6" t="s">
        <v>60</v>
      </c>
      <c r="F914" s="6" t="s">
        <v>60</v>
      </c>
      <c r="G914" s="6" t="n">
        <v>50</v>
      </c>
      <c r="H914" s="6" t="n">
        <v>3714500</v>
      </c>
      <c r="I914" s="6" t="n">
        <v>1331500</v>
      </c>
      <c r="J914" s="6" t="n">
        <v>24348600</v>
      </c>
      <c r="K914" s="6" t="n">
        <v>20634700</v>
      </c>
      <c r="L914" s="6" t="n">
        <v>50</v>
      </c>
      <c r="M914" s="6" t="n">
        <v>22</v>
      </c>
      <c r="N914" s="6" t="n">
        <v>28940.1</v>
      </c>
    </row>
    <row r="915" customFormat="false" ht="15" hidden="false" customHeight="false" outlineLevel="0" collapsed="false">
      <c r="A915" s="6" t="s">
        <v>32</v>
      </c>
      <c r="B915" s="6" t="s">
        <v>26</v>
      </c>
      <c r="C915" s="6" t="s">
        <v>52</v>
      </c>
      <c r="D915" s="6" t="s">
        <v>112</v>
      </c>
      <c r="E915" s="6" t="s">
        <v>58</v>
      </c>
      <c r="F915" s="6" t="s">
        <v>58</v>
      </c>
      <c r="G915" s="6" t="n">
        <v>28</v>
      </c>
      <c r="H915" s="6" t="n">
        <v>3071900</v>
      </c>
      <c r="I915" s="6" t="n">
        <v>1361800</v>
      </c>
      <c r="J915" s="6" t="n">
        <v>11720500</v>
      </c>
      <c r="K915" s="6" t="n">
        <v>8648700</v>
      </c>
      <c r="L915" s="6" t="n">
        <v>28</v>
      </c>
      <c r="M915" s="6" t="n">
        <v>7</v>
      </c>
      <c r="N915" s="6" t="n">
        <v>8276.1</v>
      </c>
    </row>
    <row r="916" customFormat="false" ht="15" hidden="false" customHeight="false" outlineLevel="0" collapsed="false">
      <c r="A916" s="6" t="s">
        <v>32</v>
      </c>
      <c r="B916" s="6" t="s">
        <v>26</v>
      </c>
      <c r="C916" s="6" t="s">
        <v>52</v>
      </c>
      <c r="D916" s="6" t="s">
        <v>112</v>
      </c>
      <c r="E916" s="6" t="s">
        <v>58</v>
      </c>
      <c r="F916" s="6" t="s">
        <v>60</v>
      </c>
      <c r="G916" s="6" t="n">
        <v>42</v>
      </c>
      <c r="H916" s="6" t="n">
        <v>3132900</v>
      </c>
      <c r="I916" s="6" t="n">
        <v>1470100</v>
      </c>
      <c r="J916" s="6" t="n">
        <v>19379000</v>
      </c>
      <c r="K916" s="6" t="n">
        <v>16245700</v>
      </c>
      <c r="L916" s="6" t="n">
        <v>42</v>
      </c>
      <c r="M916" s="6" t="n">
        <v>17</v>
      </c>
      <c r="N916" s="6" t="n">
        <v>22309.3</v>
      </c>
    </row>
    <row r="917" customFormat="false" ht="15" hidden="false" customHeight="false" outlineLevel="0" collapsed="false">
      <c r="A917" s="6" t="s">
        <v>32</v>
      </c>
      <c r="B917" s="6" t="s">
        <v>26</v>
      </c>
      <c r="C917" s="6" t="s">
        <v>52</v>
      </c>
      <c r="D917" s="6" t="s">
        <v>112</v>
      </c>
      <c r="E917" s="6" t="s">
        <v>60</v>
      </c>
      <c r="F917" s="6" t="s">
        <v>58</v>
      </c>
      <c r="G917" s="6" t="n">
        <v>26</v>
      </c>
      <c r="H917" s="6" t="n">
        <v>2889400</v>
      </c>
      <c r="I917" s="6" t="n">
        <v>956600</v>
      </c>
      <c r="J917" s="6" t="n">
        <v>9878700</v>
      </c>
      <c r="K917" s="6" t="n">
        <v>6989600</v>
      </c>
      <c r="L917" s="6" t="n">
        <v>26</v>
      </c>
      <c r="M917" s="6" t="n">
        <v>4</v>
      </c>
      <c r="N917" s="6" t="n">
        <v>6504.7</v>
      </c>
    </row>
    <row r="918" customFormat="false" ht="15" hidden="false" customHeight="false" outlineLevel="0" collapsed="false">
      <c r="A918" s="6" t="s">
        <v>32</v>
      </c>
      <c r="B918" s="6" t="s">
        <v>26</v>
      </c>
      <c r="C918" s="6" t="s">
        <v>52</v>
      </c>
      <c r="D918" s="6" t="s">
        <v>112</v>
      </c>
      <c r="E918" s="6" t="s">
        <v>60</v>
      </c>
      <c r="F918" s="6" t="s">
        <v>60</v>
      </c>
      <c r="G918" s="6" t="n">
        <v>53</v>
      </c>
      <c r="H918" s="6" t="n">
        <v>3906300</v>
      </c>
      <c r="I918" s="6" t="n">
        <v>1544000</v>
      </c>
      <c r="J918" s="6" t="n">
        <v>24594200</v>
      </c>
      <c r="K918" s="6" t="n">
        <v>20687600</v>
      </c>
      <c r="L918" s="6" t="n">
        <v>53</v>
      </c>
      <c r="M918" s="6" t="n">
        <v>19</v>
      </c>
      <c r="N918" s="6" t="n">
        <v>29073.6</v>
      </c>
    </row>
    <row r="919" customFormat="false" ht="15" hidden="false" customHeight="false" outlineLevel="0" collapsed="false">
      <c r="A919" s="6" t="s">
        <v>32</v>
      </c>
      <c r="B919" s="6" t="s">
        <v>26</v>
      </c>
      <c r="C919" s="6" t="s">
        <v>52</v>
      </c>
      <c r="D919" s="6" t="s">
        <v>113</v>
      </c>
      <c r="E919" s="6" t="s">
        <v>58</v>
      </c>
      <c r="F919" s="6" t="s">
        <v>58</v>
      </c>
      <c r="G919" s="6" t="n">
        <v>30</v>
      </c>
      <c r="H919" s="6" t="n">
        <v>3123100</v>
      </c>
      <c r="I919" s="6" t="n">
        <v>1014800</v>
      </c>
      <c r="J919" s="6" t="n">
        <v>10535800</v>
      </c>
      <c r="K919" s="6" t="n">
        <v>7412900</v>
      </c>
      <c r="L919" s="6" t="n">
        <v>30</v>
      </c>
      <c r="M919" s="6" t="n">
        <v>1</v>
      </c>
      <c r="N919" s="6" t="n">
        <v>7475.7</v>
      </c>
    </row>
    <row r="920" customFormat="false" ht="15" hidden="false" customHeight="false" outlineLevel="0" collapsed="false">
      <c r="A920" s="6" t="s">
        <v>32</v>
      </c>
      <c r="B920" s="6" t="s">
        <v>26</v>
      </c>
      <c r="C920" s="6" t="s">
        <v>52</v>
      </c>
      <c r="D920" s="6" t="s">
        <v>113</v>
      </c>
      <c r="E920" s="6" t="s">
        <v>58</v>
      </c>
      <c r="F920" s="6" t="s">
        <v>60</v>
      </c>
      <c r="G920" s="6" t="n">
        <v>54</v>
      </c>
      <c r="H920" s="6" t="n">
        <v>4133600</v>
      </c>
      <c r="I920" s="6" t="n">
        <v>1908300</v>
      </c>
      <c r="J920" s="6" t="n">
        <v>25428900</v>
      </c>
      <c r="K920" s="6" t="n">
        <v>21296100</v>
      </c>
      <c r="L920" s="6" t="n">
        <v>54</v>
      </c>
      <c r="M920" s="6" t="n">
        <v>20</v>
      </c>
      <c r="N920" s="6" t="n">
        <v>28929.7</v>
      </c>
    </row>
    <row r="921" customFormat="false" ht="15" hidden="false" customHeight="false" outlineLevel="0" collapsed="false">
      <c r="A921" s="6" t="s">
        <v>32</v>
      </c>
      <c r="B921" s="6" t="s">
        <v>26</v>
      </c>
      <c r="C921" s="6" t="s">
        <v>52</v>
      </c>
      <c r="D921" s="6" t="s">
        <v>113</v>
      </c>
      <c r="E921" s="6" t="s">
        <v>60</v>
      </c>
      <c r="F921" s="6" t="s">
        <v>58</v>
      </c>
      <c r="G921" s="6" t="n">
        <v>30</v>
      </c>
      <c r="H921" s="6" t="n">
        <v>3113100</v>
      </c>
      <c r="I921" s="6" t="n">
        <v>1244400</v>
      </c>
      <c r="J921" s="6" t="n">
        <v>12404900</v>
      </c>
      <c r="K921" s="6" t="n">
        <v>9291500</v>
      </c>
      <c r="L921" s="6" t="n">
        <v>29</v>
      </c>
      <c r="M921" s="6" t="n">
        <v>9</v>
      </c>
      <c r="N921" s="6" t="n">
        <v>9427.9</v>
      </c>
    </row>
    <row r="922" customFormat="false" ht="15" hidden="false" customHeight="false" outlineLevel="0" collapsed="false">
      <c r="A922" s="6" t="s">
        <v>32</v>
      </c>
      <c r="B922" s="6" t="s">
        <v>26</v>
      </c>
      <c r="C922" s="6" t="s">
        <v>52</v>
      </c>
      <c r="D922" s="6" t="s">
        <v>113</v>
      </c>
      <c r="E922" s="6" t="s">
        <v>60</v>
      </c>
      <c r="F922" s="6" t="s">
        <v>60</v>
      </c>
      <c r="G922" s="6" t="n">
        <v>58</v>
      </c>
      <c r="H922" s="6" t="n">
        <v>4432200</v>
      </c>
      <c r="I922" s="6" t="n">
        <v>2058100</v>
      </c>
      <c r="J922" s="6" t="n">
        <v>28531200</v>
      </c>
      <c r="K922" s="6" t="n">
        <v>24099100</v>
      </c>
      <c r="L922" s="6" t="n">
        <v>58</v>
      </c>
      <c r="M922" s="6" t="n">
        <v>27</v>
      </c>
      <c r="N922" s="6" t="n">
        <v>32664.4</v>
      </c>
    </row>
    <row r="923" customFormat="false" ht="15" hidden="false" customHeight="false" outlineLevel="0" collapsed="false">
      <c r="A923" s="6" t="s">
        <v>32</v>
      </c>
      <c r="B923" s="6" t="s">
        <v>26</v>
      </c>
      <c r="C923" s="6" t="s">
        <v>52</v>
      </c>
      <c r="D923" s="6" t="s">
        <v>114</v>
      </c>
      <c r="E923" s="6" t="s">
        <v>58</v>
      </c>
      <c r="F923" s="6" t="s">
        <v>58</v>
      </c>
      <c r="G923" s="6" t="n">
        <v>14</v>
      </c>
      <c r="H923" s="6" t="n">
        <v>1368900</v>
      </c>
      <c r="I923" s="6" t="n">
        <v>423500</v>
      </c>
      <c r="J923" s="6" t="n">
        <v>5412300</v>
      </c>
      <c r="K923" s="6" t="n">
        <v>4043200</v>
      </c>
      <c r="L923" s="6" t="n">
        <v>14</v>
      </c>
      <c r="M923" s="6" t="n">
        <v>2</v>
      </c>
      <c r="N923" s="6" t="n">
        <v>4206.7</v>
      </c>
    </row>
    <row r="924" customFormat="false" ht="15" hidden="false" customHeight="false" outlineLevel="0" collapsed="false">
      <c r="A924" s="6" t="s">
        <v>32</v>
      </c>
      <c r="B924" s="6" t="s">
        <v>26</v>
      </c>
      <c r="C924" s="6" t="s">
        <v>52</v>
      </c>
      <c r="D924" s="6" t="s">
        <v>114</v>
      </c>
      <c r="E924" s="6" t="s">
        <v>58</v>
      </c>
      <c r="F924" s="6" t="s">
        <v>60</v>
      </c>
      <c r="G924" s="6" t="n">
        <v>39</v>
      </c>
      <c r="H924" s="6" t="n">
        <v>3031800</v>
      </c>
      <c r="I924" s="6" t="n">
        <v>1205700</v>
      </c>
      <c r="J924" s="6" t="n">
        <v>18393400</v>
      </c>
      <c r="K924" s="6" t="n">
        <v>15361200</v>
      </c>
      <c r="L924" s="6" t="n">
        <v>39</v>
      </c>
      <c r="M924" s="6" t="n">
        <v>13</v>
      </c>
      <c r="N924" s="6" t="n">
        <v>19873.1</v>
      </c>
    </row>
    <row r="925" customFormat="false" ht="15" hidden="false" customHeight="false" outlineLevel="0" collapsed="false">
      <c r="A925" s="6" t="s">
        <v>32</v>
      </c>
      <c r="B925" s="6" t="s">
        <v>26</v>
      </c>
      <c r="C925" s="6" t="s">
        <v>52</v>
      </c>
      <c r="D925" s="6" t="s">
        <v>114</v>
      </c>
      <c r="E925" s="6" t="s">
        <v>60</v>
      </c>
      <c r="F925" s="6" t="s">
        <v>58</v>
      </c>
      <c r="G925" s="6" t="n">
        <v>28</v>
      </c>
      <c r="H925" s="6" t="n">
        <v>2844400</v>
      </c>
      <c r="I925" s="6" t="n">
        <v>1121700</v>
      </c>
      <c r="J925" s="6" t="n">
        <v>13128400</v>
      </c>
      <c r="K925" s="6" t="n">
        <v>10283800</v>
      </c>
      <c r="L925" s="6" t="n">
        <v>28</v>
      </c>
      <c r="M925" s="6" t="n">
        <v>10</v>
      </c>
      <c r="N925" s="6" t="n">
        <v>10573.2</v>
      </c>
    </row>
    <row r="926" customFormat="false" ht="15" hidden="false" customHeight="false" outlineLevel="0" collapsed="false">
      <c r="A926" s="6" t="s">
        <v>32</v>
      </c>
      <c r="B926" s="6" t="s">
        <v>26</v>
      </c>
      <c r="C926" s="6" t="s">
        <v>52</v>
      </c>
      <c r="D926" s="6" t="s">
        <v>114</v>
      </c>
      <c r="E926" s="6" t="s">
        <v>60</v>
      </c>
      <c r="F926" s="6" t="s">
        <v>60</v>
      </c>
      <c r="G926" s="6" t="n">
        <v>40</v>
      </c>
      <c r="H926" s="6" t="n">
        <v>2941700</v>
      </c>
      <c r="I926" s="6" t="n">
        <v>1307300</v>
      </c>
      <c r="J926" s="6" t="n">
        <v>18804200</v>
      </c>
      <c r="K926" s="6" t="n">
        <v>15862600</v>
      </c>
      <c r="L926" s="6" t="n">
        <v>40</v>
      </c>
      <c r="M926" s="6" t="n">
        <v>14</v>
      </c>
      <c r="N926" s="6" t="n">
        <v>22372.1</v>
      </c>
    </row>
    <row r="927" customFormat="false" ht="15" hidden="false" customHeight="false" outlineLevel="0" collapsed="false">
      <c r="A927" s="6" t="s">
        <v>32</v>
      </c>
      <c r="B927" s="6" t="s">
        <v>26</v>
      </c>
      <c r="C927" s="6" t="s">
        <v>53</v>
      </c>
      <c r="D927" s="6" t="s">
        <v>111</v>
      </c>
      <c r="E927" s="6" t="s">
        <v>58</v>
      </c>
      <c r="F927" s="6" t="s">
        <v>58</v>
      </c>
      <c r="G927" s="6" t="n">
        <v>28</v>
      </c>
      <c r="H927" s="6" t="n">
        <v>2362000</v>
      </c>
      <c r="I927" s="6" t="n">
        <v>1215200</v>
      </c>
      <c r="J927" s="6" t="n">
        <v>9889900</v>
      </c>
      <c r="K927" s="6" t="n">
        <v>7527600</v>
      </c>
      <c r="L927" s="6" t="n">
        <v>28</v>
      </c>
      <c r="M927" s="6" t="n">
        <v>5</v>
      </c>
      <c r="N927" s="6" t="n">
        <v>9605.4</v>
      </c>
    </row>
    <row r="928" customFormat="false" ht="15" hidden="false" customHeight="false" outlineLevel="0" collapsed="false">
      <c r="A928" s="6" t="s">
        <v>32</v>
      </c>
      <c r="B928" s="6" t="s">
        <v>26</v>
      </c>
      <c r="C928" s="6" t="s">
        <v>53</v>
      </c>
      <c r="D928" s="6" t="s">
        <v>111</v>
      </c>
      <c r="E928" s="6" t="s">
        <v>58</v>
      </c>
      <c r="F928" s="6" t="s">
        <v>60</v>
      </c>
      <c r="G928" s="6" t="n">
        <v>34</v>
      </c>
      <c r="H928" s="6" t="n">
        <v>2003400</v>
      </c>
      <c r="I928" s="6" t="n">
        <v>955700</v>
      </c>
      <c r="J928" s="6" t="n">
        <v>14060600</v>
      </c>
      <c r="K928" s="6" t="n">
        <v>12057300</v>
      </c>
      <c r="L928" s="6" t="n">
        <v>34</v>
      </c>
      <c r="M928" s="6" t="n">
        <v>9</v>
      </c>
      <c r="N928" s="6" t="n">
        <v>21586.9</v>
      </c>
    </row>
    <row r="929" customFormat="false" ht="15" hidden="false" customHeight="false" outlineLevel="0" collapsed="false">
      <c r="A929" s="6" t="s">
        <v>32</v>
      </c>
      <c r="B929" s="6" t="s">
        <v>26</v>
      </c>
      <c r="C929" s="6" t="s">
        <v>53</v>
      </c>
      <c r="D929" s="6" t="s">
        <v>111</v>
      </c>
      <c r="E929" s="6" t="s">
        <v>60</v>
      </c>
      <c r="F929" s="6" t="s">
        <v>58</v>
      </c>
      <c r="G929" s="6" t="n">
        <v>16</v>
      </c>
      <c r="H929" s="6" t="n">
        <v>1382500</v>
      </c>
      <c r="I929" s="6" t="n">
        <v>760400</v>
      </c>
      <c r="J929" s="6" t="n">
        <v>6063300</v>
      </c>
      <c r="K929" s="6" t="n">
        <v>4681200</v>
      </c>
      <c r="L929" s="6" t="n">
        <v>16</v>
      </c>
      <c r="M929" s="6" t="n">
        <v>3</v>
      </c>
      <c r="N929" s="6" t="n">
        <v>5891.8</v>
      </c>
    </row>
    <row r="930" customFormat="false" ht="15" hidden="false" customHeight="false" outlineLevel="0" collapsed="false">
      <c r="A930" s="6" t="s">
        <v>32</v>
      </c>
      <c r="B930" s="6" t="s">
        <v>26</v>
      </c>
      <c r="C930" s="6" t="s">
        <v>53</v>
      </c>
      <c r="D930" s="6" t="s">
        <v>111</v>
      </c>
      <c r="E930" s="6" t="s">
        <v>60</v>
      </c>
      <c r="F930" s="6" t="s">
        <v>60</v>
      </c>
      <c r="G930" s="6" t="n">
        <v>40</v>
      </c>
      <c r="H930" s="6" t="n">
        <v>2314300</v>
      </c>
      <c r="I930" s="6" t="n">
        <v>891700</v>
      </c>
      <c r="J930" s="6" t="n">
        <v>16279800</v>
      </c>
      <c r="K930" s="6" t="n">
        <v>13965900</v>
      </c>
      <c r="L930" s="6" t="n">
        <v>40</v>
      </c>
      <c r="M930" s="6" t="n">
        <v>12</v>
      </c>
      <c r="N930" s="6" t="n">
        <v>25026.7</v>
      </c>
    </row>
    <row r="931" customFormat="false" ht="15" hidden="false" customHeight="false" outlineLevel="0" collapsed="false">
      <c r="A931" s="6" t="s">
        <v>32</v>
      </c>
      <c r="B931" s="6" t="s">
        <v>26</v>
      </c>
      <c r="C931" s="6" t="s">
        <v>53</v>
      </c>
      <c r="D931" s="6" t="s">
        <v>112</v>
      </c>
      <c r="E931" s="6" t="s">
        <v>58</v>
      </c>
      <c r="F931" s="6" t="s">
        <v>58</v>
      </c>
      <c r="G931" s="6" t="n">
        <v>22</v>
      </c>
      <c r="H931" s="6" t="n">
        <v>1795500</v>
      </c>
      <c r="I931" s="6" t="n">
        <v>950000</v>
      </c>
      <c r="J931" s="6" t="n">
        <v>7606500</v>
      </c>
      <c r="K931" s="6" t="n">
        <v>5810500</v>
      </c>
      <c r="L931" s="6" t="n">
        <v>22</v>
      </c>
      <c r="M931" s="6" t="n">
        <v>2</v>
      </c>
      <c r="N931" s="6" t="n">
        <v>7658</v>
      </c>
    </row>
    <row r="932" customFormat="false" ht="15" hidden="false" customHeight="false" outlineLevel="0" collapsed="false">
      <c r="A932" s="6" t="s">
        <v>32</v>
      </c>
      <c r="B932" s="6" t="s">
        <v>26</v>
      </c>
      <c r="C932" s="6" t="s">
        <v>53</v>
      </c>
      <c r="D932" s="6" t="s">
        <v>112</v>
      </c>
      <c r="E932" s="6" t="s">
        <v>58</v>
      </c>
      <c r="F932" s="6" t="s">
        <v>60</v>
      </c>
      <c r="G932" s="6" t="n">
        <v>47</v>
      </c>
      <c r="H932" s="6" t="n">
        <v>2733800</v>
      </c>
      <c r="I932" s="6" t="n">
        <v>1274600</v>
      </c>
      <c r="J932" s="6" t="n">
        <v>16719700</v>
      </c>
      <c r="K932" s="6" t="n">
        <v>13985400</v>
      </c>
      <c r="L932" s="6" t="n">
        <v>47</v>
      </c>
      <c r="M932" s="6" t="n">
        <v>7</v>
      </c>
      <c r="N932" s="6" t="n">
        <v>24319.7</v>
      </c>
    </row>
    <row r="933" customFormat="false" ht="15" hidden="false" customHeight="false" outlineLevel="0" collapsed="false">
      <c r="A933" s="6" t="s">
        <v>32</v>
      </c>
      <c r="B933" s="6" t="s">
        <v>26</v>
      </c>
      <c r="C933" s="6" t="s">
        <v>53</v>
      </c>
      <c r="D933" s="6" t="s">
        <v>112</v>
      </c>
      <c r="E933" s="6" t="s">
        <v>60</v>
      </c>
      <c r="F933" s="6" t="s">
        <v>58</v>
      </c>
      <c r="G933" s="6" t="n">
        <v>15</v>
      </c>
      <c r="H933" s="6" t="n">
        <v>1104500</v>
      </c>
      <c r="I933" s="6" t="n">
        <v>514500</v>
      </c>
      <c r="J933" s="6" t="n">
        <v>5867800</v>
      </c>
      <c r="K933" s="6" t="n">
        <v>4763100</v>
      </c>
      <c r="L933" s="6" t="n">
        <v>15</v>
      </c>
      <c r="M933" s="6" t="n">
        <v>2</v>
      </c>
      <c r="N933" s="6" t="n">
        <v>6870.4</v>
      </c>
    </row>
    <row r="934" customFormat="false" ht="15" hidden="false" customHeight="false" outlineLevel="0" collapsed="false">
      <c r="A934" s="6" t="s">
        <v>32</v>
      </c>
      <c r="B934" s="6" t="s">
        <v>26</v>
      </c>
      <c r="C934" s="6" t="s">
        <v>53</v>
      </c>
      <c r="D934" s="6" t="s">
        <v>112</v>
      </c>
      <c r="E934" s="6" t="s">
        <v>60</v>
      </c>
      <c r="F934" s="6" t="s">
        <v>60</v>
      </c>
      <c r="G934" s="6" t="n">
        <v>40</v>
      </c>
      <c r="H934" s="6" t="n">
        <v>2189800</v>
      </c>
      <c r="I934" s="6" t="n">
        <v>905400</v>
      </c>
      <c r="J934" s="6" t="n">
        <v>16434400</v>
      </c>
      <c r="K934" s="6" t="n">
        <v>14244700</v>
      </c>
      <c r="L934" s="6" t="n">
        <v>40</v>
      </c>
      <c r="M934" s="6" t="n">
        <v>11</v>
      </c>
      <c r="N934" s="6" t="n">
        <v>27045.5</v>
      </c>
    </row>
    <row r="935" customFormat="false" ht="15" hidden="false" customHeight="false" outlineLevel="0" collapsed="false">
      <c r="A935" s="6" t="s">
        <v>32</v>
      </c>
      <c r="B935" s="6" t="s">
        <v>26</v>
      </c>
      <c r="C935" s="6" t="s">
        <v>53</v>
      </c>
      <c r="D935" s="6" t="s">
        <v>113</v>
      </c>
      <c r="E935" s="6" t="s">
        <v>58</v>
      </c>
      <c r="F935" s="6" t="s">
        <v>58</v>
      </c>
      <c r="G935" s="6" t="n">
        <v>28</v>
      </c>
      <c r="H935" s="6" t="n">
        <v>2157200</v>
      </c>
      <c r="I935" s="6" t="n">
        <v>1027800</v>
      </c>
      <c r="J935" s="6" t="n">
        <v>8488100</v>
      </c>
      <c r="K935" s="6" t="n">
        <v>6330500</v>
      </c>
      <c r="L935" s="6" t="n">
        <v>28</v>
      </c>
      <c r="M935" s="6" t="n">
        <v>1</v>
      </c>
      <c r="N935" s="6" t="n">
        <v>8562.7</v>
      </c>
    </row>
    <row r="936" customFormat="false" ht="15" hidden="false" customHeight="false" outlineLevel="0" collapsed="false">
      <c r="A936" s="6" t="s">
        <v>32</v>
      </c>
      <c r="B936" s="6" t="s">
        <v>26</v>
      </c>
      <c r="C936" s="6" t="s">
        <v>53</v>
      </c>
      <c r="D936" s="6" t="s">
        <v>113</v>
      </c>
      <c r="E936" s="6" t="s">
        <v>58</v>
      </c>
      <c r="F936" s="6" t="s">
        <v>60</v>
      </c>
      <c r="G936" s="6" t="n">
        <v>53</v>
      </c>
      <c r="H936" s="6" t="n">
        <v>3097000</v>
      </c>
      <c r="I936" s="6" t="n">
        <v>1488200</v>
      </c>
      <c r="J936" s="6" t="n">
        <v>18472900</v>
      </c>
      <c r="K936" s="6" t="n">
        <v>15375800</v>
      </c>
      <c r="L936" s="6" t="n">
        <v>53</v>
      </c>
      <c r="M936" s="6" t="n">
        <v>8</v>
      </c>
      <c r="N936" s="6" t="n">
        <v>27464.8</v>
      </c>
    </row>
    <row r="937" customFormat="false" ht="15" hidden="false" customHeight="false" outlineLevel="0" collapsed="false">
      <c r="A937" s="6" t="s">
        <v>32</v>
      </c>
      <c r="B937" s="6" t="s">
        <v>26</v>
      </c>
      <c r="C937" s="6" t="s">
        <v>53</v>
      </c>
      <c r="D937" s="6" t="s">
        <v>113</v>
      </c>
      <c r="E937" s="6" t="s">
        <v>60</v>
      </c>
      <c r="F937" s="6" t="s">
        <v>58</v>
      </c>
      <c r="G937" s="6" t="n">
        <v>33</v>
      </c>
      <c r="H937" s="6" t="n">
        <v>2661700</v>
      </c>
      <c r="I937" s="6" t="n">
        <v>1449700</v>
      </c>
      <c r="J937" s="6" t="n">
        <v>11909500</v>
      </c>
      <c r="K937" s="6" t="n">
        <v>9247800</v>
      </c>
      <c r="L937" s="6" t="n">
        <v>33</v>
      </c>
      <c r="M937" s="6" t="n">
        <v>4</v>
      </c>
      <c r="N937" s="6" t="n">
        <v>11873.2</v>
      </c>
    </row>
    <row r="938" customFormat="false" ht="15" hidden="false" customHeight="false" outlineLevel="0" collapsed="false">
      <c r="A938" s="6" t="s">
        <v>32</v>
      </c>
      <c r="B938" s="6" t="s">
        <v>26</v>
      </c>
      <c r="C938" s="6" t="s">
        <v>53</v>
      </c>
      <c r="D938" s="6" t="s">
        <v>113</v>
      </c>
      <c r="E938" s="6" t="s">
        <v>60</v>
      </c>
      <c r="F938" s="6" t="s">
        <v>60</v>
      </c>
      <c r="G938" s="6" t="n">
        <v>69</v>
      </c>
      <c r="H938" s="6" t="n">
        <v>3925900</v>
      </c>
      <c r="I938" s="6" t="n">
        <v>1756800</v>
      </c>
      <c r="J938" s="6" t="n">
        <v>30555700</v>
      </c>
      <c r="K938" s="6" t="n">
        <v>26630300</v>
      </c>
      <c r="L938" s="6" t="n">
        <v>69</v>
      </c>
      <c r="M938" s="6" t="n">
        <v>20</v>
      </c>
      <c r="N938" s="6" t="n">
        <v>48997.4</v>
      </c>
    </row>
    <row r="939" customFormat="false" ht="15" hidden="false" customHeight="false" outlineLevel="0" collapsed="false">
      <c r="A939" s="6" t="s">
        <v>32</v>
      </c>
      <c r="B939" s="6" t="s">
        <v>26</v>
      </c>
      <c r="C939" s="6" t="s">
        <v>53</v>
      </c>
      <c r="D939" s="6" t="s">
        <v>114</v>
      </c>
      <c r="E939" s="6" t="s">
        <v>58</v>
      </c>
      <c r="F939" s="6" t="s">
        <v>58</v>
      </c>
      <c r="G939" s="6" t="n">
        <v>19</v>
      </c>
      <c r="H939" s="6" t="n">
        <v>1555700</v>
      </c>
      <c r="I939" s="6" t="n">
        <v>634100</v>
      </c>
      <c r="J939" s="6" t="n">
        <v>6650800</v>
      </c>
      <c r="K939" s="6" t="n">
        <v>5094800</v>
      </c>
      <c r="L939" s="6" t="n">
        <v>19</v>
      </c>
      <c r="M939" s="6" t="n">
        <v>4</v>
      </c>
      <c r="N939" s="6" t="n">
        <v>6546.2</v>
      </c>
    </row>
    <row r="940" customFormat="false" ht="15" hidden="false" customHeight="false" outlineLevel="0" collapsed="false">
      <c r="A940" s="6" t="s">
        <v>32</v>
      </c>
      <c r="B940" s="6" t="s">
        <v>26</v>
      </c>
      <c r="C940" s="6" t="s">
        <v>53</v>
      </c>
      <c r="D940" s="6" t="s">
        <v>114</v>
      </c>
      <c r="E940" s="6" t="s">
        <v>58</v>
      </c>
      <c r="F940" s="6" t="s">
        <v>60</v>
      </c>
      <c r="G940" s="6" t="n">
        <v>38</v>
      </c>
      <c r="H940" s="6" t="n">
        <v>2291500</v>
      </c>
      <c r="I940" s="6" t="n">
        <v>909500</v>
      </c>
      <c r="J940" s="6" t="n">
        <v>12862900</v>
      </c>
      <c r="K940" s="6" t="n">
        <v>10571200</v>
      </c>
      <c r="L940" s="6" t="n">
        <v>38</v>
      </c>
      <c r="M940" s="6" t="n">
        <v>3</v>
      </c>
      <c r="N940" s="6" t="n">
        <v>18132.4</v>
      </c>
    </row>
    <row r="941" customFormat="false" ht="15" hidden="false" customHeight="false" outlineLevel="0" collapsed="false">
      <c r="A941" s="6" t="s">
        <v>32</v>
      </c>
      <c r="B941" s="6" t="s">
        <v>26</v>
      </c>
      <c r="C941" s="6" t="s">
        <v>53</v>
      </c>
      <c r="D941" s="6" t="s">
        <v>114</v>
      </c>
      <c r="E941" s="6" t="s">
        <v>60</v>
      </c>
      <c r="F941" s="6" t="s">
        <v>58</v>
      </c>
      <c r="G941" s="6" t="n">
        <v>10</v>
      </c>
      <c r="H941" s="6" t="n">
        <v>667900</v>
      </c>
      <c r="I941" s="6" t="n">
        <v>137600</v>
      </c>
      <c r="J941" s="6" t="n">
        <v>4736500</v>
      </c>
      <c r="K941" s="6" t="n">
        <v>4068300</v>
      </c>
      <c r="L941" s="6" t="n">
        <v>10</v>
      </c>
      <c r="M941" s="6" t="n">
        <v>4</v>
      </c>
      <c r="N941" s="6" t="n">
        <v>6358.2</v>
      </c>
    </row>
    <row r="942" customFormat="false" ht="15" hidden="false" customHeight="false" outlineLevel="0" collapsed="false">
      <c r="A942" s="6" t="s">
        <v>32</v>
      </c>
      <c r="B942" s="6" t="s">
        <v>26</v>
      </c>
      <c r="C942" s="6" t="s">
        <v>53</v>
      </c>
      <c r="D942" s="6" t="s">
        <v>114</v>
      </c>
      <c r="E942" s="6" t="s">
        <v>60</v>
      </c>
      <c r="F942" s="6" t="s">
        <v>60</v>
      </c>
      <c r="G942" s="6" t="n">
        <v>32</v>
      </c>
      <c r="H942" s="6" t="n">
        <v>1859400</v>
      </c>
      <c r="I942" s="6" t="n">
        <v>863500</v>
      </c>
      <c r="J942" s="6" t="n">
        <v>13368800</v>
      </c>
      <c r="K942" s="6" t="n">
        <v>11509300</v>
      </c>
      <c r="L942" s="6" t="n">
        <v>32</v>
      </c>
      <c r="M942" s="6" t="n">
        <v>9</v>
      </c>
      <c r="N942" s="6" t="n">
        <v>20067.7</v>
      </c>
    </row>
    <row r="943" customFormat="false" ht="15" hidden="false" customHeight="false" outlineLevel="0" collapsed="false">
      <c r="A943" s="6" t="s">
        <v>32</v>
      </c>
      <c r="B943" s="6" t="s">
        <v>26</v>
      </c>
      <c r="C943" s="6" t="s">
        <v>51</v>
      </c>
      <c r="D943" s="6" t="s">
        <v>111</v>
      </c>
      <c r="E943" s="6" t="s">
        <v>58</v>
      </c>
      <c r="F943" s="6" t="s">
        <v>58</v>
      </c>
      <c r="G943" s="6" t="n">
        <v>10</v>
      </c>
      <c r="H943" s="6" t="n">
        <v>1076300</v>
      </c>
      <c r="I943" s="6" t="n">
        <v>660700</v>
      </c>
      <c r="J943" s="6" t="n">
        <v>4224300</v>
      </c>
      <c r="K943" s="6" t="n">
        <v>3147900</v>
      </c>
      <c r="L943" s="6" t="n">
        <v>10</v>
      </c>
      <c r="M943" s="6" t="n">
        <v>3</v>
      </c>
      <c r="N943" s="6" t="n">
        <v>3126.5</v>
      </c>
    </row>
    <row r="944" customFormat="false" ht="15" hidden="false" customHeight="false" outlineLevel="0" collapsed="false">
      <c r="A944" s="6" t="s">
        <v>32</v>
      </c>
      <c r="B944" s="6" t="s">
        <v>26</v>
      </c>
      <c r="C944" s="6" t="s">
        <v>51</v>
      </c>
      <c r="D944" s="6" t="s">
        <v>111</v>
      </c>
      <c r="E944" s="6" t="s">
        <v>58</v>
      </c>
      <c r="F944" s="6" t="s">
        <v>60</v>
      </c>
      <c r="G944" s="6" t="n">
        <v>29</v>
      </c>
      <c r="H944" s="6" t="n">
        <v>2396700</v>
      </c>
      <c r="I944" s="6" t="n">
        <v>1297200</v>
      </c>
      <c r="J944" s="6" t="n">
        <v>15490800</v>
      </c>
      <c r="K944" s="6" t="n">
        <v>13094300</v>
      </c>
      <c r="L944" s="6" t="n">
        <v>29</v>
      </c>
      <c r="M944" s="6" t="n">
        <v>15</v>
      </c>
      <c r="N944" s="6" t="n">
        <v>16300.9</v>
      </c>
    </row>
    <row r="945" customFormat="false" ht="15" hidden="false" customHeight="false" outlineLevel="0" collapsed="false">
      <c r="A945" s="6" t="s">
        <v>32</v>
      </c>
      <c r="B945" s="6" t="s">
        <v>26</v>
      </c>
      <c r="C945" s="6" t="s">
        <v>51</v>
      </c>
      <c r="D945" s="6" t="s">
        <v>111</v>
      </c>
      <c r="E945" s="6" t="s">
        <v>60</v>
      </c>
      <c r="F945" s="6" t="s">
        <v>58</v>
      </c>
      <c r="G945" s="6" t="n">
        <v>15</v>
      </c>
      <c r="H945" s="6" t="n">
        <v>1683500</v>
      </c>
      <c r="I945" s="6" t="n">
        <v>730200</v>
      </c>
      <c r="J945" s="6" t="n">
        <v>7899900</v>
      </c>
      <c r="K945" s="6" t="n">
        <v>6216600</v>
      </c>
      <c r="L945" s="6" t="n">
        <v>15</v>
      </c>
      <c r="M945" s="6" t="n">
        <v>6</v>
      </c>
      <c r="N945" s="6" t="n">
        <v>5761.7</v>
      </c>
    </row>
    <row r="946" customFormat="false" ht="15" hidden="false" customHeight="false" outlineLevel="0" collapsed="false">
      <c r="A946" s="6" t="s">
        <v>32</v>
      </c>
      <c r="B946" s="6" t="s">
        <v>26</v>
      </c>
      <c r="C946" s="6" t="s">
        <v>51</v>
      </c>
      <c r="D946" s="6" t="s">
        <v>111</v>
      </c>
      <c r="E946" s="6" t="s">
        <v>60</v>
      </c>
      <c r="F946" s="6" t="s">
        <v>60</v>
      </c>
      <c r="G946" s="6" t="n">
        <v>28</v>
      </c>
      <c r="H946" s="6" t="n">
        <v>2304500</v>
      </c>
      <c r="I946" s="6" t="n">
        <v>929700</v>
      </c>
      <c r="J946" s="6" t="n">
        <v>15206800</v>
      </c>
      <c r="K946" s="6" t="n">
        <v>12902100</v>
      </c>
      <c r="L946" s="6" t="n">
        <v>28</v>
      </c>
      <c r="M946" s="6" t="n">
        <v>14</v>
      </c>
      <c r="N946" s="6" t="n">
        <v>16204.2</v>
      </c>
    </row>
    <row r="947" customFormat="false" ht="15" hidden="false" customHeight="false" outlineLevel="0" collapsed="false">
      <c r="A947" s="6" t="s">
        <v>32</v>
      </c>
      <c r="B947" s="6" t="s">
        <v>26</v>
      </c>
      <c r="C947" s="6" t="s">
        <v>51</v>
      </c>
      <c r="D947" s="6" t="s">
        <v>112</v>
      </c>
      <c r="E947" s="6" t="s">
        <v>58</v>
      </c>
      <c r="F947" s="6" t="s">
        <v>58</v>
      </c>
      <c r="G947" s="6" t="n">
        <v>13</v>
      </c>
      <c r="H947" s="6" t="n">
        <v>1413300</v>
      </c>
      <c r="I947" s="6" t="n">
        <v>566900</v>
      </c>
      <c r="J947" s="6" t="n">
        <v>5627500</v>
      </c>
      <c r="K947" s="6" t="n">
        <v>4214500</v>
      </c>
      <c r="L947" s="6" t="n">
        <v>13</v>
      </c>
      <c r="M947" s="6" t="n">
        <v>4</v>
      </c>
      <c r="N947" s="6" t="n">
        <v>4202.3</v>
      </c>
    </row>
    <row r="948" customFormat="false" ht="15" hidden="false" customHeight="false" outlineLevel="0" collapsed="false">
      <c r="A948" s="6" t="s">
        <v>32</v>
      </c>
      <c r="B948" s="6" t="s">
        <v>26</v>
      </c>
      <c r="C948" s="6" t="s">
        <v>51</v>
      </c>
      <c r="D948" s="6" t="s">
        <v>112</v>
      </c>
      <c r="E948" s="6" t="s">
        <v>58</v>
      </c>
      <c r="F948" s="6" t="s">
        <v>60</v>
      </c>
      <c r="G948" s="6" t="n">
        <v>32</v>
      </c>
      <c r="H948" s="6" t="n">
        <v>2745800</v>
      </c>
      <c r="I948" s="6" t="n">
        <v>1249400</v>
      </c>
      <c r="J948" s="6" t="n">
        <v>15943400</v>
      </c>
      <c r="K948" s="6" t="n">
        <v>13197100</v>
      </c>
      <c r="L948" s="6" t="n">
        <v>32</v>
      </c>
      <c r="M948" s="6" t="n">
        <v>12</v>
      </c>
      <c r="N948" s="6" t="n">
        <v>15915.2</v>
      </c>
    </row>
    <row r="949" customFormat="false" ht="15" hidden="false" customHeight="false" outlineLevel="0" collapsed="false">
      <c r="A949" s="6" t="s">
        <v>32</v>
      </c>
      <c r="B949" s="6" t="s">
        <v>26</v>
      </c>
      <c r="C949" s="6" t="s">
        <v>51</v>
      </c>
      <c r="D949" s="6" t="s">
        <v>112</v>
      </c>
      <c r="E949" s="6" t="s">
        <v>60</v>
      </c>
      <c r="F949" s="6" t="s">
        <v>58</v>
      </c>
      <c r="G949" s="6" t="n">
        <v>10</v>
      </c>
      <c r="H949" s="6" t="n">
        <v>1062400</v>
      </c>
      <c r="I949" s="6" t="n">
        <v>664300</v>
      </c>
      <c r="J949" s="6" t="n">
        <v>5352800</v>
      </c>
      <c r="K949" s="6" t="n">
        <v>4290300</v>
      </c>
      <c r="L949" s="6" t="n">
        <v>10</v>
      </c>
      <c r="M949" s="6" t="n">
        <v>5</v>
      </c>
      <c r="N949" s="6" t="n">
        <v>4103.6</v>
      </c>
    </row>
    <row r="950" customFormat="false" ht="15" hidden="false" customHeight="false" outlineLevel="0" collapsed="false">
      <c r="A950" s="6" t="s">
        <v>32</v>
      </c>
      <c r="B950" s="6" t="s">
        <v>26</v>
      </c>
      <c r="C950" s="6" t="s">
        <v>51</v>
      </c>
      <c r="D950" s="6" t="s">
        <v>112</v>
      </c>
      <c r="E950" s="6" t="s">
        <v>60</v>
      </c>
      <c r="F950" s="6" t="s">
        <v>60</v>
      </c>
      <c r="G950" s="6" t="n">
        <v>31</v>
      </c>
      <c r="H950" s="6" t="n">
        <v>2693400</v>
      </c>
      <c r="I950" s="6" t="n">
        <v>1196000</v>
      </c>
      <c r="J950" s="6" t="n">
        <v>17200800</v>
      </c>
      <c r="K950" s="6" t="n">
        <v>14507200</v>
      </c>
      <c r="L950" s="6" t="n">
        <v>31</v>
      </c>
      <c r="M950" s="6" t="n">
        <v>13</v>
      </c>
      <c r="N950" s="6" t="n">
        <v>16893.5</v>
      </c>
    </row>
    <row r="951" customFormat="false" ht="15" hidden="false" customHeight="false" outlineLevel="0" collapsed="false">
      <c r="A951" s="6" t="s">
        <v>32</v>
      </c>
      <c r="B951" s="6" t="s">
        <v>26</v>
      </c>
      <c r="C951" s="6" t="s">
        <v>51</v>
      </c>
      <c r="D951" s="6" t="s">
        <v>113</v>
      </c>
      <c r="E951" s="6" t="s">
        <v>58</v>
      </c>
      <c r="F951" s="6" t="s">
        <v>58</v>
      </c>
      <c r="G951" s="6" t="n">
        <v>13</v>
      </c>
      <c r="H951" s="6" t="n">
        <v>1388300</v>
      </c>
      <c r="I951" s="6" t="n">
        <v>584400</v>
      </c>
      <c r="J951" s="6" t="n">
        <v>5744500</v>
      </c>
      <c r="K951" s="6" t="n">
        <v>4356200</v>
      </c>
      <c r="L951" s="6" t="n">
        <v>13</v>
      </c>
      <c r="M951" s="6" t="n">
        <v>4</v>
      </c>
      <c r="N951" s="6" t="n">
        <v>4236.7</v>
      </c>
    </row>
    <row r="952" customFormat="false" ht="15" hidden="false" customHeight="false" outlineLevel="0" collapsed="false">
      <c r="A952" s="6" t="s">
        <v>32</v>
      </c>
      <c r="B952" s="6" t="s">
        <v>26</v>
      </c>
      <c r="C952" s="6" t="s">
        <v>51</v>
      </c>
      <c r="D952" s="6" t="s">
        <v>113</v>
      </c>
      <c r="E952" s="6" t="s">
        <v>58</v>
      </c>
      <c r="F952" s="6" t="s">
        <v>60</v>
      </c>
      <c r="G952" s="6" t="n">
        <v>35</v>
      </c>
      <c r="H952" s="6" t="n">
        <v>2852000</v>
      </c>
      <c r="I952" s="6" t="n">
        <v>1046000</v>
      </c>
      <c r="J952" s="6" t="n">
        <v>14263500</v>
      </c>
      <c r="K952" s="6" t="n">
        <v>11411700</v>
      </c>
      <c r="L952" s="6" t="n">
        <v>35</v>
      </c>
      <c r="M952" s="6" t="n">
        <v>9</v>
      </c>
      <c r="N952" s="6" t="n">
        <v>14599.9</v>
      </c>
    </row>
    <row r="953" customFormat="false" ht="15" hidden="false" customHeight="false" outlineLevel="0" collapsed="false">
      <c r="A953" s="6" t="s">
        <v>32</v>
      </c>
      <c r="B953" s="6" t="s">
        <v>26</v>
      </c>
      <c r="C953" s="6" t="s">
        <v>51</v>
      </c>
      <c r="D953" s="6" t="s">
        <v>113</v>
      </c>
      <c r="E953" s="6" t="s">
        <v>60</v>
      </c>
      <c r="F953" s="6" t="s">
        <v>58</v>
      </c>
      <c r="G953" s="6" t="n">
        <v>19</v>
      </c>
      <c r="H953" s="6" t="n">
        <v>2377500</v>
      </c>
      <c r="I953" s="6" t="n">
        <v>887600</v>
      </c>
      <c r="J953" s="6" t="n">
        <v>10476000</v>
      </c>
      <c r="K953" s="6" t="n">
        <v>8098600</v>
      </c>
      <c r="L953" s="6" t="n">
        <v>19</v>
      </c>
      <c r="M953" s="6" t="n">
        <v>6</v>
      </c>
      <c r="N953" s="6" t="n">
        <v>7056.3</v>
      </c>
    </row>
    <row r="954" customFormat="false" ht="15" hidden="false" customHeight="false" outlineLevel="0" collapsed="false">
      <c r="A954" s="6" t="s">
        <v>32</v>
      </c>
      <c r="B954" s="6" t="s">
        <v>26</v>
      </c>
      <c r="C954" s="6" t="s">
        <v>51</v>
      </c>
      <c r="D954" s="6" t="s">
        <v>113</v>
      </c>
      <c r="E954" s="6" t="s">
        <v>60</v>
      </c>
      <c r="F954" s="6" t="s">
        <v>60</v>
      </c>
      <c r="G954" s="6" t="n">
        <v>34</v>
      </c>
      <c r="H954" s="6" t="n">
        <v>2841600</v>
      </c>
      <c r="I954" s="6" t="n">
        <v>1139400</v>
      </c>
      <c r="J954" s="6" t="n">
        <v>16069700</v>
      </c>
      <c r="K954" s="6" t="n">
        <v>13228100</v>
      </c>
      <c r="L954" s="6" t="n">
        <v>34</v>
      </c>
      <c r="M954" s="6" t="n">
        <v>10</v>
      </c>
      <c r="N954" s="6" t="n">
        <v>16006.7</v>
      </c>
    </row>
    <row r="955" customFormat="false" ht="15" hidden="false" customHeight="false" outlineLevel="0" collapsed="false">
      <c r="A955" s="6" t="s">
        <v>32</v>
      </c>
      <c r="B955" s="6" t="s">
        <v>26</v>
      </c>
      <c r="C955" s="6" t="s">
        <v>51</v>
      </c>
      <c r="D955" s="6" t="s">
        <v>114</v>
      </c>
      <c r="E955" s="6" t="s">
        <v>58</v>
      </c>
      <c r="F955" s="6" t="s">
        <v>58</v>
      </c>
      <c r="G955" s="6" t="n">
        <v>4</v>
      </c>
      <c r="H955" s="6" t="n">
        <v>355500</v>
      </c>
      <c r="I955" s="6" t="n">
        <v>171800</v>
      </c>
      <c r="J955" s="6" t="n">
        <v>1647700</v>
      </c>
      <c r="K955" s="6" t="n">
        <v>1292200</v>
      </c>
      <c r="L955" s="6" t="n">
        <v>4</v>
      </c>
      <c r="M955" s="6" t="n">
        <v>1</v>
      </c>
      <c r="N955" s="6" t="n">
        <v>1614.8</v>
      </c>
    </row>
    <row r="956" customFormat="false" ht="15" hidden="false" customHeight="false" outlineLevel="0" collapsed="false">
      <c r="A956" s="6" t="s">
        <v>32</v>
      </c>
      <c r="B956" s="6" t="s">
        <v>26</v>
      </c>
      <c r="C956" s="6" t="s">
        <v>51</v>
      </c>
      <c r="D956" s="6" t="s">
        <v>114</v>
      </c>
      <c r="E956" s="6" t="s">
        <v>58</v>
      </c>
      <c r="F956" s="6" t="s">
        <v>60</v>
      </c>
      <c r="G956" s="6" t="n">
        <v>27</v>
      </c>
      <c r="H956" s="6" t="n">
        <v>2304600</v>
      </c>
      <c r="I956" s="6" t="n">
        <v>956000</v>
      </c>
      <c r="J956" s="6" t="n">
        <v>14365700</v>
      </c>
      <c r="K956" s="6" t="n">
        <v>12061100</v>
      </c>
      <c r="L956" s="6" t="n">
        <v>27</v>
      </c>
      <c r="M956" s="6" t="n">
        <v>10</v>
      </c>
      <c r="N956" s="6" t="n">
        <v>15187.5</v>
      </c>
    </row>
    <row r="957" customFormat="false" ht="15" hidden="false" customHeight="false" outlineLevel="0" collapsed="false">
      <c r="A957" s="6" t="s">
        <v>32</v>
      </c>
      <c r="B957" s="6" t="s">
        <v>26</v>
      </c>
      <c r="C957" s="6" t="s">
        <v>51</v>
      </c>
      <c r="D957" s="6" t="s">
        <v>114</v>
      </c>
      <c r="E957" s="6" t="s">
        <v>60</v>
      </c>
      <c r="F957" s="6" t="s">
        <v>58</v>
      </c>
      <c r="G957" s="6" t="n">
        <v>13</v>
      </c>
      <c r="H957" s="6" t="n">
        <v>1536900</v>
      </c>
      <c r="I957" s="6" t="n">
        <v>496700</v>
      </c>
      <c r="J957" s="6" t="n">
        <v>6515300</v>
      </c>
      <c r="K957" s="6" t="n">
        <v>4978400</v>
      </c>
      <c r="L957" s="6" t="n">
        <v>13</v>
      </c>
      <c r="M957" s="6" t="n">
        <v>4</v>
      </c>
      <c r="N957" s="6" t="n">
        <v>4139.2</v>
      </c>
    </row>
    <row r="958" customFormat="false" ht="15" hidden="false" customHeight="false" outlineLevel="0" collapsed="false">
      <c r="A958" s="6" t="s">
        <v>32</v>
      </c>
      <c r="B958" s="6" t="s">
        <v>26</v>
      </c>
      <c r="C958" s="6" t="s">
        <v>51</v>
      </c>
      <c r="D958" s="6" t="s">
        <v>114</v>
      </c>
      <c r="E958" s="6" t="s">
        <v>60</v>
      </c>
      <c r="F958" s="6" t="s">
        <v>60</v>
      </c>
      <c r="G958" s="6" t="n">
        <v>23</v>
      </c>
      <c r="H958" s="6" t="n">
        <v>1871200</v>
      </c>
      <c r="I958" s="6" t="n">
        <v>804900</v>
      </c>
      <c r="J958" s="6" t="n">
        <v>13773500</v>
      </c>
      <c r="K958" s="6" t="n">
        <v>11902600</v>
      </c>
      <c r="L958" s="6" t="n">
        <v>23</v>
      </c>
      <c r="M958" s="6" t="n">
        <v>13</v>
      </c>
      <c r="N958" s="6" t="n">
        <v>16089.2</v>
      </c>
    </row>
    <row r="959" customFormat="false" ht="15" hidden="false" customHeight="false" outlineLevel="0" collapsed="false">
      <c r="A959" s="6" t="s">
        <v>44</v>
      </c>
      <c r="B959" s="6" t="s">
        <v>45</v>
      </c>
      <c r="C959" s="6" t="s">
        <v>54</v>
      </c>
      <c r="D959" s="6" t="s">
        <v>111</v>
      </c>
      <c r="E959" s="6" t="s">
        <v>58</v>
      </c>
      <c r="F959" s="6" t="s">
        <v>58</v>
      </c>
      <c r="G959" s="6" t="n">
        <v>8</v>
      </c>
      <c r="H959" s="6" t="n">
        <v>1266200</v>
      </c>
      <c r="I959" s="6" t="n">
        <v>390700</v>
      </c>
      <c r="J959" s="6" t="n">
        <v>320500</v>
      </c>
      <c r="K959" s="6" t="n">
        <v>-945500</v>
      </c>
      <c r="L959" s="6" t="n">
        <v>0</v>
      </c>
      <c r="M959" s="6" t="n">
        <v>0</v>
      </c>
      <c r="N959" s="6" t="n">
        <v>-585.5</v>
      </c>
    </row>
    <row r="960" customFormat="false" ht="15" hidden="false" customHeight="false" outlineLevel="0" collapsed="false">
      <c r="A960" s="6" t="s">
        <v>44</v>
      </c>
      <c r="B960" s="6" t="s">
        <v>45</v>
      </c>
      <c r="C960" s="6" t="s">
        <v>54</v>
      </c>
      <c r="D960" s="6" t="s">
        <v>111</v>
      </c>
      <c r="E960" s="6" t="s">
        <v>58</v>
      </c>
      <c r="F960" s="6" t="s">
        <v>60</v>
      </c>
      <c r="G960" s="6" t="n">
        <v>9</v>
      </c>
      <c r="H960" s="6" t="n">
        <v>954500</v>
      </c>
      <c r="I960" s="6" t="n">
        <v>405400</v>
      </c>
      <c r="J960" s="6" t="n">
        <v>277200</v>
      </c>
      <c r="K960" s="6" t="n">
        <v>-677200</v>
      </c>
      <c r="L960" s="6" t="n">
        <v>0</v>
      </c>
      <c r="M960" s="6" t="n">
        <v>0</v>
      </c>
      <c r="N960" s="6" t="n">
        <v>-627.6</v>
      </c>
    </row>
    <row r="961" customFormat="false" ht="15" hidden="false" customHeight="false" outlineLevel="0" collapsed="false">
      <c r="A961" s="6" t="s">
        <v>44</v>
      </c>
      <c r="B961" s="6" t="s">
        <v>45</v>
      </c>
      <c r="C961" s="6" t="s">
        <v>54</v>
      </c>
      <c r="D961" s="6" t="s">
        <v>111</v>
      </c>
      <c r="E961" s="6" t="s">
        <v>60</v>
      </c>
      <c r="F961" s="6" t="s">
        <v>58</v>
      </c>
      <c r="G961" s="6" t="n">
        <v>1</v>
      </c>
      <c r="H961" s="6" t="n">
        <v>143200</v>
      </c>
      <c r="I961" s="6" t="n">
        <v>83000</v>
      </c>
      <c r="J961" s="6" t="n">
        <v>20100</v>
      </c>
      <c r="K961" s="6" t="n">
        <v>-123100</v>
      </c>
      <c r="L961" s="6" t="n">
        <v>0</v>
      </c>
      <c r="M961" s="6" t="n">
        <v>0</v>
      </c>
      <c r="N961" s="6" t="n">
        <v>-86</v>
      </c>
    </row>
    <row r="962" customFormat="false" ht="15" hidden="false" customHeight="false" outlineLevel="0" collapsed="false">
      <c r="A962" s="6" t="s">
        <v>44</v>
      </c>
      <c r="B962" s="6" t="s">
        <v>45</v>
      </c>
      <c r="C962" s="6" t="s">
        <v>54</v>
      </c>
      <c r="D962" s="6" t="s">
        <v>111</v>
      </c>
      <c r="E962" s="6" t="s">
        <v>60</v>
      </c>
      <c r="F962" s="6" t="s">
        <v>60</v>
      </c>
      <c r="G962" s="6" t="n">
        <v>4</v>
      </c>
      <c r="H962" s="6" t="n">
        <v>442400</v>
      </c>
      <c r="I962" s="6" t="n">
        <v>166000</v>
      </c>
      <c r="J962" s="6" t="n">
        <v>111700</v>
      </c>
      <c r="K962" s="6" t="n">
        <v>-330600</v>
      </c>
      <c r="L962" s="6" t="n">
        <v>0</v>
      </c>
      <c r="M962" s="6" t="n">
        <v>0</v>
      </c>
      <c r="N962" s="6" t="n">
        <v>-298.8</v>
      </c>
    </row>
    <row r="963" customFormat="false" ht="15" hidden="false" customHeight="false" outlineLevel="0" collapsed="false">
      <c r="A963" s="6" t="s">
        <v>44</v>
      </c>
      <c r="B963" s="6" t="s">
        <v>45</v>
      </c>
      <c r="C963" s="6" t="s">
        <v>54</v>
      </c>
      <c r="D963" s="6" t="s">
        <v>112</v>
      </c>
      <c r="E963" s="6" t="s">
        <v>58</v>
      </c>
      <c r="F963" s="6" t="s">
        <v>58</v>
      </c>
      <c r="G963" s="6" t="n">
        <v>12</v>
      </c>
      <c r="H963" s="6" t="n">
        <v>1677800</v>
      </c>
      <c r="I963" s="6" t="n">
        <v>652100</v>
      </c>
      <c r="J963" s="6" t="n">
        <v>285200</v>
      </c>
      <c r="K963" s="6" t="n">
        <v>-1392700</v>
      </c>
      <c r="L963" s="6" t="n">
        <v>0</v>
      </c>
      <c r="M963" s="6" t="n">
        <v>0</v>
      </c>
      <c r="N963" s="6" t="n">
        <v>-993.9</v>
      </c>
    </row>
    <row r="964" customFormat="false" ht="15" hidden="false" customHeight="false" outlineLevel="0" collapsed="false">
      <c r="A964" s="6" t="s">
        <v>44</v>
      </c>
      <c r="B964" s="6" t="s">
        <v>45</v>
      </c>
      <c r="C964" s="6" t="s">
        <v>54</v>
      </c>
      <c r="D964" s="6" t="s">
        <v>112</v>
      </c>
      <c r="E964" s="6" t="s">
        <v>58</v>
      </c>
      <c r="F964" s="6" t="s">
        <v>60</v>
      </c>
      <c r="G964" s="6" t="n">
        <v>14</v>
      </c>
      <c r="H964" s="6" t="n">
        <v>1556400</v>
      </c>
      <c r="I964" s="6" t="n">
        <v>753000</v>
      </c>
      <c r="J964" s="6" t="n">
        <v>438800</v>
      </c>
      <c r="K964" s="6" t="n">
        <v>-1117300</v>
      </c>
      <c r="L964" s="6" t="n">
        <v>0</v>
      </c>
      <c r="M964" s="6" t="n">
        <v>0</v>
      </c>
      <c r="N964" s="6" t="n">
        <v>-1007</v>
      </c>
    </row>
    <row r="965" customFormat="false" ht="15" hidden="false" customHeight="false" outlineLevel="0" collapsed="false">
      <c r="A965" s="6" t="s">
        <v>44</v>
      </c>
      <c r="B965" s="6" t="s">
        <v>45</v>
      </c>
      <c r="C965" s="6" t="s">
        <v>54</v>
      </c>
      <c r="D965" s="6" t="s">
        <v>112</v>
      </c>
      <c r="E965" s="6" t="s">
        <v>60</v>
      </c>
      <c r="F965" s="6" t="s">
        <v>58</v>
      </c>
      <c r="G965" s="6" t="n">
        <v>5</v>
      </c>
      <c r="H965" s="6" t="n">
        <v>636300</v>
      </c>
      <c r="I965" s="6" t="n">
        <v>219000</v>
      </c>
      <c r="J965" s="6" t="n">
        <v>157400</v>
      </c>
      <c r="K965" s="6" t="n">
        <v>-478700</v>
      </c>
      <c r="L965" s="6" t="n">
        <v>0</v>
      </c>
      <c r="M965" s="6" t="n">
        <v>0</v>
      </c>
      <c r="N965" s="6" t="n">
        <v>-362.4</v>
      </c>
    </row>
    <row r="966" customFormat="false" ht="15" hidden="false" customHeight="false" outlineLevel="0" collapsed="false">
      <c r="A966" s="6" t="s">
        <v>44</v>
      </c>
      <c r="B966" s="6" t="s">
        <v>45</v>
      </c>
      <c r="C966" s="6" t="s">
        <v>54</v>
      </c>
      <c r="D966" s="6" t="s">
        <v>112</v>
      </c>
      <c r="E966" s="6" t="s">
        <v>60</v>
      </c>
      <c r="F966" s="6" t="s">
        <v>60</v>
      </c>
      <c r="G966" s="6" t="n">
        <v>13</v>
      </c>
      <c r="H966" s="6" t="n">
        <v>1322900</v>
      </c>
      <c r="I966" s="6" t="n">
        <v>648900</v>
      </c>
      <c r="J966" s="6" t="n">
        <v>544600</v>
      </c>
      <c r="K966" s="6" t="n">
        <v>-777900</v>
      </c>
      <c r="L966" s="6" t="n">
        <v>0</v>
      </c>
      <c r="M966" s="6" t="n">
        <v>0</v>
      </c>
      <c r="N966" s="6" t="n">
        <v>-760.9</v>
      </c>
    </row>
    <row r="967" customFormat="false" ht="15" hidden="false" customHeight="false" outlineLevel="0" collapsed="false">
      <c r="A967" s="6" t="s">
        <v>44</v>
      </c>
      <c r="B967" s="6" t="s">
        <v>45</v>
      </c>
      <c r="C967" s="6" t="s">
        <v>54</v>
      </c>
      <c r="D967" s="6" t="s">
        <v>113</v>
      </c>
      <c r="E967" s="6" t="s">
        <v>58</v>
      </c>
      <c r="F967" s="6" t="s">
        <v>58</v>
      </c>
      <c r="G967" s="6" t="n">
        <v>6</v>
      </c>
      <c r="H967" s="6" t="n">
        <v>1018600</v>
      </c>
      <c r="I967" s="6" t="n">
        <v>175800</v>
      </c>
      <c r="J967" s="6" t="n">
        <v>160200</v>
      </c>
      <c r="K967" s="6" t="n">
        <v>-858600</v>
      </c>
      <c r="L967" s="6" t="n">
        <v>0</v>
      </c>
      <c r="M967" s="6" t="n">
        <v>0</v>
      </c>
      <c r="N967" s="6" t="n">
        <v>-501.8</v>
      </c>
    </row>
    <row r="968" customFormat="false" ht="15" hidden="false" customHeight="false" outlineLevel="0" collapsed="false">
      <c r="A968" s="6" t="s">
        <v>44</v>
      </c>
      <c r="B968" s="6" t="s">
        <v>45</v>
      </c>
      <c r="C968" s="6" t="s">
        <v>54</v>
      </c>
      <c r="D968" s="6" t="s">
        <v>113</v>
      </c>
      <c r="E968" s="6" t="s">
        <v>58</v>
      </c>
      <c r="F968" s="6" t="s">
        <v>60</v>
      </c>
      <c r="G968" s="6" t="n">
        <v>20</v>
      </c>
      <c r="H968" s="6" t="n">
        <v>2143900</v>
      </c>
      <c r="I968" s="6" t="n">
        <v>661200</v>
      </c>
      <c r="J968" s="6" t="n">
        <v>634400</v>
      </c>
      <c r="K968" s="6" t="n">
        <v>-1509900</v>
      </c>
      <c r="L968" s="6" t="n">
        <v>0</v>
      </c>
      <c r="M968" s="6" t="n">
        <v>0</v>
      </c>
      <c r="N968" s="6" t="n">
        <v>-1371.6</v>
      </c>
    </row>
    <row r="969" customFormat="false" ht="15" hidden="false" customHeight="false" outlineLevel="0" collapsed="false">
      <c r="A969" s="6" t="s">
        <v>44</v>
      </c>
      <c r="B969" s="6" t="s">
        <v>45</v>
      </c>
      <c r="C969" s="6" t="s">
        <v>54</v>
      </c>
      <c r="D969" s="6" t="s">
        <v>113</v>
      </c>
      <c r="E969" s="6" t="s">
        <v>60</v>
      </c>
      <c r="F969" s="6" t="s">
        <v>58</v>
      </c>
      <c r="G969" s="6" t="n">
        <v>4</v>
      </c>
      <c r="H969" s="6" t="n">
        <v>595700</v>
      </c>
      <c r="I969" s="6" t="n">
        <v>320200</v>
      </c>
      <c r="J969" s="6" t="n">
        <v>170800</v>
      </c>
      <c r="K969" s="6" t="n">
        <v>-425000</v>
      </c>
      <c r="L969" s="6" t="n">
        <v>0</v>
      </c>
      <c r="M969" s="6" t="n">
        <v>0</v>
      </c>
      <c r="N969" s="6" t="n">
        <v>-281.3</v>
      </c>
    </row>
    <row r="970" customFormat="false" ht="15" hidden="false" customHeight="false" outlineLevel="0" collapsed="false">
      <c r="A970" s="6" t="s">
        <v>44</v>
      </c>
      <c r="B970" s="6" t="s">
        <v>45</v>
      </c>
      <c r="C970" s="6" t="s">
        <v>54</v>
      </c>
      <c r="D970" s="6" t="s">
        <v>113</v>
      </c>
      <c r="E970" s="6" t="s">
        <v>60</v>
      </c>
      <c r="F970" s="6" t="s">
        <v>60</v>
      </c>
      <c r="G970" s="6" t="n">
        <v>11</v>
      </c>
      <c r="H970" s="6" t="n">
        <v>1246900</v>
      </c>
      <c r="I970" s="6" t="n">
        <v>511800</v>
      </c>
      <c r="J970" s="6" t="n">
        <v>345900</v>
      </c>
      <c r="K970" s="6" t="n">
        <v>-901000</v>
      </c>
      <c r="L970" s="6" t="n">
        <v>0</v>
      </c>
      <c r="M970" s="6" t="n">
        <v>0</v>
      </c>
      <c r="N970" s="6" t="n">
        <v>-793.3</v>
      </c>
    </row>
    <row r="971" customFormat="false" ht="15" hidden="false" customHeight="false" outlineLevel="0" collapsed="false">
      <c r="A971" s="6" t="s">
        <v>44</v>
      </c>
      <c r="B971" s="6" t="s">
        <v>45</v>
      </c>
      <c r="C971" s="6" t="s">
        <v>54</v>
      </c>
      <c r="D971" s="6" t="s">
        <v>114</v>
      </c>
      <c r="E971" s="6" t="s">
        <v>58</v>
      </c>
      <c r="F971" s="6" t="s">
        <v>58</v>
      </c>
      <c r="G971" s="6" t="n">
        <v>4</v>
      </c>
      <c r="H971" s="6" t="n">
        <v>605900</v>
      </c>
      <c r="I971" s="6" t="n">
        <v>334800</v>
      </c>
      <c r="J971" s="6" t="n">
        <v>111400</v>
      </c>
      <c r="K971" s="6" t="n">
        <v>-494400</v>
      </c>
      <c r="L971" s="6" t="n">
        <v>0</v>
      </c>
      <c r="M971" s="6" t="n">
        <v>0</v>
      </c>
      <c r="N971" s="6" t="n">
        <v>-323.2</v>
      </c>
    </row>
    <row r="972" customFormat="false" ht="15" hidden="false" customHeight="false" outlineLevel="0" collapsed="false">
      <c r="A972" s="6" t="s">
        <v>44</v>
      </c>
      <c r="B972" s="6" t="s">
        <v>45</v>
      </c>
      <c r="C972" s="6" t="s">
        <v>54</v>
      </c>
      <c r="D972" s="6" t="s">
        <v>114</v>
      </c>
      <c r="E972" s="6" t="s">
        <v>58</v>
      </c>
      <c r="F972" s="6" t="s">
        <v>60</v>
      </c>
      <c r="G972" s="6" t="n">
        <v>11</v>
      </c>
      <c r="H972" s="6" t="n">
        <v>1042100</v>
      </c>
      <c r="I972" s="6" t="n">
        <v>627900</v>
      </c>
      <c r="J972" s="6" t="n">
        <v>319400</v>
      </c>
      <c r="K972" s="6" t="n">
        <v>-722800</v>
      </c>
      <c r="L972" s="6" t="n">
        <v>0</v>
      </c>
      <c r="M972" s="6" t="n">
        <v>0</v>
      </c>
      <c r="N972" s="6" t="n">
        <v>-756.6</v>
      </c>
    </row>
    <row r="973" customFormat="false" ht="15" hidden="false" customHeight="false" outlineLevel="0" collapsed="false">
      <c r="A973" s="6" t="s">
        <v>44</v>
      </c>
      <c r="B973" s="6" t="s">
        <v>45</v>
      </c>
      <c r="C973" s="6" t="s">
        <v>54</v>
      </c>
      <c r="D973" s="6" t="s">
        <v>114</v>
      </c>
      <c r="E973" s="6" t="s">
        <v>60</v>
      </c>
      <c r="F973" s="6" t="s">
        <v>58</v>
      </c>
      <c r="G973" s="6" t="n">
        <v>4</v>
      </c>
      <c r="H973" s="6" t="n">
        <v>547400</v>
      </c>
      <c r="I973" s="6" t="n">
        <v>158200</v>
      </c>
      <c r="J973" s="6" t="n">
        <v>123700</v>
      </c>
      <c r="K973" s="6" t="n">
        <v>-423900</v>
      </c>
      <c r="L973" s="6" t="n">
        <v>0</v>
      </c>
      <c r="M973" s="6" t="n">
        <v>0</v>
      </c>
      <c r="N973" s="6" t="n">
        <v>-305.3</v>
      </c>
    </row>
    <row r="974" customFormat="false" ht="15" hidden="false" customHeight="false" outlineLevel="0" collapsed="false">
      <c r="A974" s="6" t="s">
        <v>44</v>
      </c>
      <c r="B974" s="6" t="s">
        <v>45</v>
      </c>
      <c r="C974" s="6" t="s">
        <v>54</v>
      </c>
      <c r="D974" s="6" t="s">
        <v>114</v>
      </c>
      <c r="E974" s="6" t="s">
        <v>60</v>
      </c>
      <c r="F974" s="6" t="s">
        <v>60</v>
      </c>
      <c r="G974" s="6" t="n">
        <v>4</v>
      </c>
      <c r="H974" s="6" t="n">
        <v>427200</v>
      </c>
      <c r="I974" s="6" t="n">
        <v>257000</v>
      </c>
      <c r="J974" s="6" t="n">
        <v>131400</v>
      </c>
      <c r="K974" s="6" t="n">
        <v>-295700</v>
      </c>
      <c r="L974" s="6" t="n">
        <v>0</v>
      </c>
      <c r="M974" s="6" t="n">
        <v>0</v>
      </c>
      <c r="N974" s="6" t="n">
        <v>-271.1</v>
      </c>
    </row>
    <row r="975" customFormat="false" ht="15" hidden="false" customHeight="false" outlineLevel="0" collapsed="false">
      <c r="A975" s="6" t="s">
        <v>44</v>
      </c>
      <c r="B975" s="6" t="s">
        <v>45</v>
      </c>
      <c r="C975" s="6" t="s">
        <v>50</v>
      </c>
      <c r="D975" s="6" t="s">
        <v>111</v>
      </c>
      <c r="E975" s="6" t="s">
        <v>58</v>
      </c>
      <c r="F975" s="6" t="s">
        <v>58</v>
      </c>
      <c r="G975" s="6" t="n">
        <v>3</v>
      </c>
      <c r="H975" s="6" t="n">
        <v>768800</v>
      </c>
      <c r="I975" s="6" t="n">
        <v>694800</v>
      </c>
      <c r="J975" s="6" t="n">
        <v>169600</v>
      </c>
      <c r="K975" s="6" t="n">
        <v>-599200</v>
      </c>
      <c r="L975" s="6" t="n">
        <v>0</v>
      </c>
      <c r="M975" s="6" t="n">
        <v>0</v>
      </c>
      <c r="N975" s="6" t="n">
        <v>-228.5</v>
      </c>
    </row>
    <row r="976" customFormat="false" ht="15" hidden="false" customHeight="false" outlineLevel="0" collapsed="false">
      <c r="A976" s="6" t="s">
        <v>44</v>
      </c>
      <c r="B976" s="6" t="s">
        <v>45</v>
      </c>
      <c r="C976" s="6" t="s">
        <v>50</v>
      </c>
      <c r="D976" s="6" t="s">
        <v>111</v>
      </c>
      <c r="E976" s="6" t="s">
        <v>58</v>
      </c>
      <c r="F976" s="6" t="s">
        <v>60</v>
      </c>
      <c r="G976" s="6" t="n">
        <v>3</v>
      </c>
      <c r="H976" s="6" t="n">
        <v>383800</v>
      </c>
      <c r="I976" s="6" t="n">
        <v>289900</v>
      </c>
      <c r="J976" s="6" t="n">
        <v>184000</v>
      </c>
      <c r="K976" s="6" t="n">
        <v>-199800</v>
      </c>
      <c r="L976" s="6" t="n">
        <v>0</v>
      </c>
      <c r="M976" s="6" t="n">
        <v>0</v>
      </c>
      <c r="N976" s="6" t="n">
        <v>-157.4</v>
      </c>
    </row>
    <row r="977" customFormat="false" ht="15" hidden="false" customHeight="false" outlineLevel="0" collapsed="false">
      <c r="A977" s="6" t="s">
        <v>44</v>
      </c>
      <c r="B977" s="6" t="s">
        <v>45</v>
      </c>
      <c r="C977" s="6" t="s">
        <v>50</v>
      </c>
      <c r="D977" s="6" t="s">
        <v>111</v>
      </c>
      <c r="E977" s="6" t="s">
        <v>60</v>
      </c>
      <c r="F977" s="6" t="s">
        <v>58</v>
      </c>
      <c r="G977" s="6" t="n">
        <v>3</v>
      </c>
      <c r="H977" s="6" t="n">
        <v>636900</v>
      </c>
      <c r="I977" s="6" t="n">
        <v>345600</v>
      </c>
      <c r="J977" s="6" t="n">
        <v>208100</v>
      </c>
      <c r="K977" s="6" t="n">
        <v>-428900</v>
      </c>
      <c r="L977" s="6" t="n">
        <v>0</v>
      </c>
      <c r="M977" s="6" t="n">
        <v>0</v>
      </c>
      <c r="N977" s="6" t="n">
        <v>-198.1</v>
      </c>
    </row>
    <row r="978" customFormat="false" ht="15" hidden="false" customHeight="false" outlineLevel="0" collapsed="false">
      <c r="A978" s="6" t="s">
        <v>44</v>
      </c>
      <c r="B978" s="6" t="s">
        <v>45</v>
      </c>
      <c r="C978" s="6" t="s">
        <v>50</v>
      </c>
      <c r="D978" s="6" t="s">
        <v>111</v>
      </c>
      <c r="E978" s="6" t="s">
        <v>60</v>
      </c>
      <c r="F978" s="6" t="s">
        <v>60</v>
      </c>
      <c r="G978" s="6" t="n">
        <v>7</v>
      </c>
      <c r="H978" s="6" t="n">
        <v>1021800</v>
      </c>
      <c r="I978" s="6" t="n">
        <v>685100</v>
      </c>
      <c r="J978" s="6" t="n">
        <v>497300</v>
      </c>
      <c r="K978" s="6" t="n">
        <v>-524500</v>
      </c>
      <c r="L978" s="6" t="n">
        <v>0</v>
      </c>
      <c r="M978" s="6" t="n">
        <v>0</v>
      </c>
      <c r="N978" s="6" t="n">
        <v>-360.6</v>
      </c>
    </row>
    <row r="979" customFormat="false" ht="15" hidden="false" customHeight="false" outlineLevel="0" collapsed="false">
      <c r="A979" s="6" t="s">
        <v>44</v>
      </c>
      <c r="B979" s="6" t="s">
        <v>45</v>
      </c>
      <c r="C979" s="6" t="s">
        <v>50</v>
      </c>
      <c r="D979" s="6" t="s">
        <v>112</v>
      </c>
      <c r="E979" s="6" t="s">
        <v>58</v>
      </c>
      <c r="F979" s="6" t="s">
        <v>58</v>
      </c>
      <c r="G979" s="6" t="n">
        <v>4</v>
      </c>
      <c r="H979" s="6" t="n">
        <v>759200</v>
      </c>
      <c r="I979" s="6" t="n">
        <v>666900</v>
      </c>
      <c r="J979" s="6" t="n">
        <v>244300</v>
      </c>
      <c r="K979" s="6" t="n">
        <v>-515000</v>
      </c>
      <c r="L979" s="6" t="n">
        <v>0</v>
      </c>
      <c r="M979" s="6" t="n">
        <v>0</v>
      </c>
      <c r="N979" s="6" t="n">
        <v>-272.5</v>
      </c>
    </row>
    <row r="980" customFormat="false" ht="15" hidden="false" customHeight="false" outlineLevel="0" collapsed="false">
      <c r="A980" s="6" t="s">
        <v>44</v>
      </c>
      <c r="B980" s="6" t="s">
        <v>45</v>
      </c>
      <c r="C980" s="6" t="s">
        <v>50</v>
      </c>
      <c r="D980" s="6" t="s">
        <v>112</v>
      </c>
      <c r="E980" s="6" t="s">
        <v>58</v>
      </c>
      <c r="F980" s="6" t="s">
        <v>60</v>
      </c>
      <c r="G980" s="6" t="n">
        <v>7</v>
      </c>
      <c r="H980" s="6" t="n">
        <v>962900</v>
      </c>
      <c r="I980" s="6" t="n">
        <v>408200</v>
      </c>
      <c r="J980" s="6" t="n">
        <v>393900</v>
      </c>
      <c r="K980" s="6" t="n">
        <v>-569000</v>
      </c>
      <c r="L980" s="6" t="n">
        <v>0</v>
      </c>
      <c r="M980" s="6" t="n">
        <v>0</v>
      </c>
      <c r="N980" s="6" t="n">
        <v>-401.1</v>
      </c>
    </row>
    <row r="981" customFormat="false" ht="15" hidden="false" customHeight="false" outlineLevel="0" collapsed="false">
      <c r="A981" s="6" t="s">
        <v>44</v>
      </c>
      <c r="B981" s="6" t="s">
        <v>45</v>
      </c>
      <c r="C981" s="6" t="s">
        <v>50</v>
      </c>
      <c r="D981" s="6" t="s">
        <v>112</v>
      </c>
      <c r="E981" s="6" t="s">
        <v>60</v>
      </c>
      <c r="F981" s="6" t="s">
        <v>60</v>
      </c>
      <c r="G981" s="6" t="n">
        <v>5</v>
      </c>
      <c r="H981" s="6" t="n">
        <v>664600</v>
      </c>
      <c r="I981" s="6" t="n">
        <v>292400</v>
      </c>
      <c r="J981" s="6" t="n">
        <v>310600</v>
      </c>
      <c r="K981" s="6" t="n">
        <v>-354000</v>
      </c>
      <c r="L981" s="6" t="n">
        <v>0</v>
      </c>
      <c r="M981" s="6" t="n">
        <v>0</v>
      </c>
      <c r="N981" s="6" t="n">
        <v>-277.2</v>
      </c>
    </row>
    <row r="982" customFormat="false" ht="15" hidden="false" customHeight="false" outlineLevel="0" collapsed="false">
      <c r="A982" s="6" t="s">
        <v>44</v>
      </c>
      <c r="B982" s="6" t="s">
        <v>45</v>
      </c>
      <c r="C982" s="6" t="s">
        <v>50</v>
      </c>
      <c r="D982" s="6" t="s">
        <v>113</v>
      </c>
      <c r="E982" s="6" t="s">
        <v>58</v>
      </c>
      <c r="F982" s="6" t="s">
        <v>58</v>
      </c>
      <c r="G982" s="6" t="n">
        <v>3</v>
      </c>
      <c r="H982" s="6" t="n">
        <v>562600</v>
      </c>
      <c r="I982" s="6" t="n">
        <v>255100</v>
      </c>
      <c r="J982" s="6" t="n">
        <v>188100</v>
      </c>
      <c r="K982" s="6" t="n">
        <v>-374500</v>
      </c>
      <c r="L982" s="6" t="n">
        <v>0</v>
      </c>
      <c r="M982" s="6" t="n">
        <v>0</v>
      </c>
      <c r="N982" s="6" t="n">
        <v>-193.8</v>
      </c>
    </row>
    <row r="983" customFormat="false" ht="15" hidden="false" customHeight="false" outlineLevel="0" collapsed="false">
      <c r="A983" s="6" t="s">
        <v>44</v>
      </c>
      <c r="B983" s="6" t="s">
        <v>45</v>
      </c>
      <c r="C983" s="6" t="s">
        <v>50</v>
      </c>
      <c r="D983" s="6" t="s">
        <v>113</v>
      </c>
      <c r="E983" s="6" t="s">
        <v>58</v>
      </c>
      <c r="F983" s="6" t="s">
        <v>60</v>
      </c>
      <c r="G983" s="6" t="n">
        <v>10</v>
      </c>
      <c r="H983" s="6" t="n">
        <v>1459500</v>
      </c>
      <c r="I983" s="6" t="n">
        <v>659400</v>
      </c>
      <c r="J983" s="6" t="n">
        <v>589400</v>
      </c>
      <c r="K983" s="6" t="n">
        <v>-870200</v>
      </c>
      <c r="L983" s="6" t="n">
        <v>0</v>
      </c>
      <c r="M983" s="6" t="n">
        <v>0</v>
      </c>
      <c r="N983" s="6" t="n">
        <v>-582</v>
      </c>
    </row>
    <row r="984" customFormat="false" ht="15" hidden="false" customHeight="false" outlineLevel="0" collapsed="false">
      <c r="A984" s="6" t="s">
        <v>44</v>
      </c>
      <c r="B984" s="6" t="s">
        <v>45</v>
      </c>
      <c r="C984" s="6" t="s">
        <v>50</v>
      </c>
      <c r="D984" s="6" t="s">
        <v>113</v>
      </c>
      <c r="E984" s="6" t="s">
        <v>60</v>
      </c>
      <c r="F984" s="6" t="s">
        <v>58</v>
      </c>
      <c r="G984" s="6" t="n">
        <v>4</v>
      </c>
      <c r="H984" s="6" t="n">
        <v>711000</v>
      </c>
      <c r="I984" s="6" t="n">
        <v>359400</v>
      </c>
      <c r="J984" s="6" t="n">
        <v>391200</v>
      </c>
      <c r="K984" s="6" t="n">
        <v>-319900</v>
      </c>
      <c r="L984" s="6" t="n">
        <v>1</v>
      </c>
      <c r="M984" s="6" t="n">
        <v>0</v>
      </c>
      <c r="N984" s="6" t="n">
        <v>-179.5</v>
      </c>
    </row>
    <row r="985" customFormat="false" ht="15" hidden="false" customHeight="false" outlineLevel="0" collapsed="false">
      <c r="A985" s="6" t="s">
        <v>44</v>
      </c>
      <c r="B985" s="6" t="s">
        <v>45</v>
      </c>
      <c r="C985" s="6" t="s">
        <v>50</v>
      </c>
      <c r="D985" s="6" t="s">
        <v>113</v>
      </c>
      <c r="E985" s="6" t="s">
        <v>60</v>
      </c>
      <c r="F985" s="6" t="s">
        <v>60</v>
      </c>
      <c r="G985" s="6" t="n">
        <v>9</v>
      </c>
      <c r="H985" s="6" t="n">
        <v>1453000</v>
      </c>
      <c r="I985" s="6" t="n">
        <v>941000</v>
      </c>
      <c r="J985" s="6" t="n">
        <v>672700</v>
      </c>
      <c r="K985" s="6" t="n">
        <v>-780000</v>
      </c>
      <c r="L985" s="6" t="n">
        <v>0</v>
      </c>
      <c r="M985" s="6" t="n">
        <v>0</v>
      </c>
      <c r="N985" s="6" t="n">
        <v>-468.2</v>
      </c>
    </row>
    <row r="986" customFormat="false" ht="15" hidden="false" customHeight="false" outlineLevel="0" collapsed="false">
      <c r="A986" s="6" t="s">
        <v>44</v>
      </c>
      <c r="B986" s="6" t="s">
        <v>45</v>
      </c>
      <c r="C986" s="6" t="s">
        <v>50</v>
      </c>
      <c r="D986" s="6" t="s">
        <v>114</v>
      </c>
      <c r="E986" s="6" t="s">
        <v>58</v>
      </c>
      <c r="F986" s="6" t="s">
        <v>58</v>
      </c>
      <c r="G986" s="6" t="n">
        <v>2</v>
      </c>
      <c r="H986" s="6" t="n">
        <v>375700</v>
      </c>
      <c r="I986" s="6" t="n">
        <v>0</v>
      </c>
      <c r="J986" s="6" t="n">
        <v>166700</v>
      </c>
      <c r="K986" s="6" t="n">
        <v>-209000</v>
      </c>
      <c r="L986" s="6" t="n">
        <v>0</v>
      </c>
      <c r="M986" s="6" t="n">
        <v>0</v>
      </c>
      <c r="N986" s="6" t="n">
        <v>-111.5</v>
      </c>
    </row>
    <row r="987" customFormat="false" ht="15" hidden="false" customHeight="false" outlineLevel="0" collapsed="false">
      <c r="A987" s="6" t="s">
        <v>44</v>
      </c>
      <c r="B987" s="6" t="s">
        <v>45</v>
      </c>
      <c r="C987" s="6" t="s">
        <v>50</v>
      </c>
      <c r="D987" s="6" t="s">
        <v>114</v>
      </c>
      <c r="E987" s="6" t="s">
        <v>58</v>
      </c>
      <c r="F987" s="6" t="s">
        <v>60</v>
      </c>
      <c r="G987" s="6" t="n">
        <v>5</v>
      </c>
      <c r="H987" s="6" t="n">
        <v>681700</v>
      </c>
      <c r="I987" s="6" t="n">
        <v>252500</v>
      </c>
      <c r="J987" s="6" t="n">
        <v>296100</v>
      </c>
      <c r="K987" s="6" t="n">
        <v>-385600</v>
      </c>
      <c r="L987" s="6" t="n">
        <v>0</v>
      </c>
      <c r="M987" s="6" t="n">
        <v>0</v>
      </c>
      <c r="N987" s="6" t="n">
        <v>-273.9</v>
      </c>
    </row>
    <row r="988" customFormat="false" ht="15" hidden="false" customHeight="false" outlineLevel="0" collapsed="false">
      <c r="A988" s="6" t="s">
        <v>44</v>
      </c>
      <c r="B988" s="6" t="s">
        <v>45</v>
      </c>
      <c r="C988" s="6" t="s">
        <v>50</v>
      </c>
      <c r="D988" s="6" t="s">
        <v>114</v>
      </c>
      <c r="E988" s="6" t="s">
        <v>60</v>
      </c>
      <c r="F988" s="6" t="s">
        <v>58</v>
      </c>
      <c r="G988" s="6" t="n">
        <v>3</v>
      </c>
      <c r="H988" s="6" t="n">
        <v>584500</v>
      </c>
      <c r="I988" s="6" t="n">
        <v>0</v>
      </c>
      <c r="J988" s="6" t="n">
        <v>382100</v>
      </c>
      <c r="K988" s="6" t="n">
        <v>-202400</v>
      </c>
      <c r="L988" s="6" t="n">
        <v>1</v>
      </c>
      <c r="M988" s="6" t="n">
        <v>0</v>
      </c>
      <c r="N988" s="6" t="n">
        <v>-13.4</v>
      </c>
    </row>
    <row r="989" customFormat="false" ht="15" hidden="false" customHeight="false" outlineLevel="0" collapsed="false">
      <c r="A989" s="6" t="s">
        <v>44</v>
      </c>
      <c r="B989" s="6" t="s">
        <v>45</v>
      </c>
      <c r="C989" s="6" t="s">
        <v>50</v>
      </c>
      <c r="D989" s="6" t="s">
        <v>114</v>
      </c>
      <c r="E989" s="6" t="s">
        <v>60</v>
      </c>
      <c r="F989" s="6" t="s">
        <v>60</v>
      </c>
      <c r="G989" s="6" t="n">
        <v>5</v>
      </c>
      <c r="H989" s="6" t="n">
        <v>697700</v>
      </c>
      <c r="I989" s="6" t="n">
        <v>213000</v>
      </c>
      <c r="J989" s="6" t="n">
        <v>398400</v>
      </c>
      <c r="K989" s="6" t="n">
        <v>-299300</v>
      </c>
      <c r="L989" s="6" t="n">
        <v>0</v>
      </c>
      <c r="M989" s="6" t="n">
        <v>0</v>
      </c>
      <c r="N989" s="6" t="n">
        <v>-198.4</v>
      </c>
    </row>
    <row r="990" customFormat="false" ht="15" hidden="false" customHeight="false" outlineLevel="0" collapsed="false">
      <c r="A990" s="6" t="s">
        <v>44</v>
      </c>
      <c r="B990" s="6" t="s">
        <v>45</v>
      </c>
      <c r="C990" s="6" t="s">
        <v>52</v>
      </c>
      <c r="D990" s="6" t="s">
        <v>111</v>
      </c>
      <c r="E990" s="6" t="s">
        <v>58</v>
      </c>
      <c r="F990" s="6" t="s">
        <v>58</v>
      </c>
      <c r="G990" s="6" t="n">
        <v>20</v>
      </c>
      <c r="H990" s="6" t="n">
        <v>2053700</v>
      </c>
      <c r="I990" s="6" t="n">
        <v>941800</v>
      </c>
      <c r="J990" s="6" t="n">
        <v>1058700</v>
      </c>
      <c r="K990" s="6" t="n">
        <v>-994800</v>
      </c>
      <c r="L990" s="6" t="n">
        <v>0</v>
      </c>
      <c r="M990" s="6" t="n">
        <v>0</v>
      </c>
      <c r="N990" s="6" t="n">
        <v>-929.8</v>
      </c>
    </row>
    <row r="991" customFormat="false" ht="15" hidden="false" customHeight="false" outlineLevel="0" collapsed="false">
      <c r="A991" s="6" t="s">
        <v>44</v>
      </c>
      <c r="B991" s="6" t="s">
        <v>45</v>
      </c>
      <c r="C991" s="6" t="s">
        <v>52</v>
      </c>
      <c r="D991" s="6" t="s">
        <v>111</v>
      </c>
      <c r="E991" s="6" t="s">
        <v>58</v>
      </c>
      <c r="F991" s="6" t="s">
        <v>60</v>
      </c>
      <c r="G991" s="6" t="n">
        <v>55</v>
      </c>
      <c r="H991" s="6" t="n">
        <v>4254900</v>
      </c>
      <c r="I991" s="6" t="n">
        <v>1688200</v>
      </c>
      <c r="J991" s="6" t="n">
        <v>2896000</v>
      </c>
      <c r="K991" s="6" t="n">
        <v>-1358200</v>
      </c>
      <c r="L991" s="6" t="n">
        <v>10</v>
      </c>
      <c r="M991" s="6" t="n">
        <v>0</v>
      </c>
      <c r="N991" s="6" t="n">
        <v>-1650.1</v>
      </c>
    </row>
    <row r="992" customFormat="false" ht="15" hidden="false" customHeight="false" outlineLevel="0" collapsed="false">
      <c r="A992" s="6" t="s">
        <v>44</v>
      </c>
      <c r="B992" s="6" t="s">
        <v>45</v>
      </c>
      <c r="C992" s="6" t="s">
        <v>52</v>
      </c>
      <c r="D992" s="6" t="s">
        <v>111</v>
      </c>
      <c r="E992" s="6" t="s">
        <v>60</v>
      </c>
      <c r="F992" s="6" t="s">
        <v>58</v>
      </c>
      <c r="G992" s="6" t="n">
        <v>18</v>
      </c>
      <c r="H992" s="6" t="n">
        <v>1842600</v>
      </c>
      <c r="I992" s="6" t="n">
        <v>1077300</v>
      </c>
      <c r="J992" s="6" t="n">
        <v>885700</v>
      </c>
      <c r="K992" s="6" t="n">
        <v>-956800</v>
      </c>
      <c r="L992" s="6" t="n">
        <v>0</v>
      </c>
      <c r="M992" s="6" t="n">
        <v>0</v>
      </c>
      <c r="N992" s="6" t="n">
        <v>-883.1</v>
      </c>
    </row>
    <row r="993" customFormat="false" ht="15" hidden="false" customHeight="false" outlineLevel="0" collapsed="false">
      <c r="A993" s="6" t="s">
        <v>44</v>
      </c>
      <c r="B993" s="6" t="s">
        <v>45</v>
      </c>
      <c r="C993" s="6" t="s">
        <v>52</v>
      </c>
      <c r="D993" s="6" t="s">
        <v>111</v>
      </c>
      <c r="E993" s="6" t="s">
        <v>60</v>
      </c>
      <c r="F993" s="6" t="s">
        <v>60</v>
      </c>
      <c r="G993" s="6" t="n">
        <v>31</v>
      </c>
      <c r="H993" s="6" t="n">
        <v>2347100</v>
      </c>
      <c r="I993" s="6" t="n">
        <v>1042900</v>
      </c>
      <c r="J993" s="6" t="n">
        <v>1695200</v>
      </c>
      <c r="K993" s="6" t="n">
        <v>-651900</v>
      </c>
      <c r="L993" s="6" t="n">
        <v>4</v>
      </c>
      <c r="M993" s="6" t="n">
        <v>0</v>
      </c>
      <c r="N993" s="6" t="n">
        <v>-850.2</v>
      </c>
    </row>
    <row r="994" customFormat="false" ht="15" hidden="false" customHeight="false" outlineLevel="0" collapsed="false">
      <c r="A994" s="6" t="s">
        <v>44</v>
      </c>
      <c r="B994" s="6" t="s">
        <v>45</v>
      </c>
      <c r="C994" s="6" t="s">
        <v>52</v>
      </c>
      <c r="D994" s="6" t="s">
        <v>112</v>
      </c>
      <c r="E994" s="6" t="s">
        <v>58</v>
      </c>
      <c r="F994" s="6" t="s">
        <v>58</v>
      </c>
      <c r="G994" s="6" t="n">
        <v>29</v>
      </c>
      <c r="H994" s="6" t="n">
        <v>3243200</v>
      </c>
      <c r="I994" s="6" t="n">
        <v>1404700</v>
      </c>
      <c r="J994" s="6" t="n">
        <v>1472300</v>
      </c>
      <c r="K994" s="6" t="n">
        <v>-1770700</v>
      </c>
      <c r="L994" s="6" t="n">
        <v>0</v>
      </c>
      <c r="M994" s="6" t="n">
        <v>0</v>
      </c>
      <c r="N994" s="6" t="n">
        <v>-1520.6</v>
      </c>
    </row>
    <row r="995" customFormat="false" ht="15" hidden="false" customHeight="false" outlineLevel="0" collapsed="false">
      <c r="A995" s="6" t="s">
        <v>44</v>
      </c>
      <c r="B995" s="6" t="s">
        <v>45</v>
      </c>
      <c r="C995" s="6" t="s">
        <v>52</v>
      </c>
      <c r="D995" s="6" t="s">
        <v>112</v>
      </c>
      <c r="E995" s="6" t="s">
        <v>58</v>
      </c>
      <c r="F995" s="6" t="s">
        <v>60</v>
      </c>
      <c r="G995" s="6" t="n">
        <v>51</v>
      </c>
      <c r="H995" s="6" t="n">
        <v>3806600</v>
      </c>
      <c r="I995" s="6" t="n">
        <v>1308500</v>
      </c>
      <c r="J995" s="6" t="n">
        <v>2190300</v>
      </c>
      <c r="K995" s="6" t="n">
        <v>-1617100</v>
      </c>
      <c r="L995" s="6" t="n">
        <v>4</v>
      </c>
      <c r="M995" s="6" t="n">
        <v>0</v>
      </c>
      <c r="N995" s="6" t="n">
        <v>-2130.7</v>
      </c>
    </row>
    <row r="996" customFormat="false" ht="15" hidden="false" customHeight="false" outlineLevel="0" collapsed="false">
      <c r="A996" s="6" t="s">
        <v>44</v>
      </c>
      <c r="B996" s="6" t="s">
        <v>45</v>
      </c>
      <c r="C996" s="6" t="s">
        <v>52</v>
      </c>
      <c r="D996" s="6" t="s">
        <v>112</v>
      </c>
      <c r="E996" s="6" t="s">
        <v>60</v>
      </c>
      <c r="F996" s="6" t="s">
        <v>58</v>
      </c>
      <c r="G996" s="6" t="n">
        <v>10</v>
      </c>
      <c r="H996" s="6" t="n">
        <v>965400</v>
      </c>
      <c r="I996" s="6" t="n">
        <v>419100</v>
      </c>
      <c r="J996" s="6" t="n">
        <v>470700</v>
      </c>
      <c r="K996" s="6" t="n">
        <v>-494800</v>
      </c>
      <c r="L996" s="6" t="n">
        <v>0</v>
      </c>
      <c r="M996" s="6" t="n">
        <v>0</v>
      </c>
      <c r="N996" s="6" t="n">
        <v>-481.5</v>
      </c>
    </row>
    <row r="997" customFormat="false" ht="15" hidden="false" customHeight="false" outlineLevel="0" collapsed="false">
      <c r="A997" s="6" t="s">
        <v>44</v>
      </c>
      <c r="B997" s="6" t="s">
        <v>45</v>
      </c>
      <c r="C997" s="6" t="s">
        <v>52</v>
      </c>
      <c r="D997" s="6" t="s">
        <v>112</v>
      </c>
      <c r="E997" s="6" t="s">
        <v>60</v>
      </c>
      <c r="F997" s="6" t="s">
        <v>60</v>
      </c>
      <c r="G997" s="6" t="n">
        <v>33</v>
      </c>
      <c r="H997" s="6" t="n">
        <v>2495100</v>
      </c>
      <c r="I997" s="6" t="n">
        <v>1145500</v>
      </c>
      <c r="J997" s="6" t="n">
        <v>1782800</v>
      </c>
      <c r="K997" s="6" t="n">
        <v>-712600</v>
      </c>
      <c r="L997" s="6" t="n">
        <v>4</v>
      </c>
      <c r="M997" s="6" t="n">
        <v>0</v>
      </c>
      <c r="N997" s="6" t="n">
        <v>-835.1</v>
      </c>
    </row>
    <row r="998" customFormat="false" ht="15" hidden="false" customHeight="false" outlineLevel="0" collapsed="false">
      <c r="A998" s="6" t="s">
        <v>44</v>
      </c>
      <c r="B998" s="6" t="s">
        <v>45</v>
      </c>
      <c r="C998" s="6" t="s">
        <v>52</v>
      </c>
      <c r="D998" s="6" t="s">
        <v>113</v>
      </c>
      <c r="E998" s="6" t="s">
        <v>58</v>
      </c>
      <c r="F998" s="6" t="s">
        <v>58</v>
      </c>
      <c r="G998" s="6" t="n">
        <v>27</v>
      </c>
      <c r="H998" s="6" t="n">
        <v>2731200</v>
      </c>
      <c r="I998" s="6" t="n">
        <v>1435300</v>
      </c>
      <c r="J998" s="6" t="n">
        <v>1267600</v>
      </c>
      <c r="K998" s="6" t="n">
        <v>-1463800</v>
      </c>
      <c r="L998" s="6" t="n">
        <v>1</v>
      </c>
      <c r="M998" s="6" t="n">
        <v>0</v>
      </c>
      <c r="N998" s="6" t="n">
        <v>-1362.8</v>
      </c>
    </row>
    <row r="999" customFormat="false" ht="15" hidden="false" customHeight="false" outlineLevel="0" collapsed="false">
      <c r="A999" s="6" t="s">
        <v>44</v>
      </c>
      <c r="B999" s="6" t="s">
        <v>45</v>
      </c>
      <c r="C999" s="6" t="s">
        <v>52</v>
      </c>
      <c r="D999" s="6" t="s">
        <v>113</v>
      </c>
      <c r="E999" s="6" t="s">
        <v>58</v>
      </c>
      <c r="F999" s="6" t="s">
        <v>60</v>
      </c>
      <c r="G999" s="6" t="n">
        <v>58</v>
      </c>
      <c r="H999" s="6" t="n">
        <v>4366300</v>
      </c>
      <c r="I999" s="6" t="n">
        <v>1857600</v>
      </c>
      <c r="J999" s="6" t="n">
        <v>2686700</v>
      </c>
      <c r="K999" s="6" t="n">
        <v>-1680000</v>
      </c>
      <c r="L999" s="6" t="n">
        <v>4</v>
      </c>
      <c r="M999" s="6" t="n">
        <v>0</v>
      </c>
      <c r="N999" s="6" t="n">
        <v>-2110.3</v>
      </c>
    </row>
    <row r="1000" customFormat="false" ht="15" hidden="false" customHeight="false" outlineLevel="0" collapsed="false">
      <c r="A1000" s="6" t="s">
        <v>44</v>
      </c>
      <c r="B1000" s="6" t="s">
        <v>45</v>
      </c>
      <c r="C1000" s="6" t="s">
        <v>52</v>
      </c>
      <c r="D1000" s="6" t="s">
        <v>113</v>
      </c>
      <c r="E1000" s="6" t="s">
        <v>60</v>
      </c>
      <c r="F1000" s="6" t="s">
        <v>58</v>
      </c>
      <c r="G1000" s="6" t="n">
        <v>20</v>
      </c>
      <c r="H1000" s="6" t="n">
        <v>2254700</v>
      </c>
      <c r="I1000" s="6" t="n">
        <v>1009200</v>
      </c>
      <c r="J1000" s="6" t="n">
        <v>917700</v>
      </c>
      <c r="K1000" s="6" t="n">
        <v>-1337100</v>
      </c>
      <c r="L1000" s="6" t="n">
        <v>0</v>
      </c>
      <c r="M1000" s="6" t="n">
        <v>0</v>
      </c>
      <c r="N1000" s="6" t="n">
        <v>-1144.8</v>
      </c>
    </row>
    <row r="1001" customFormat="false" ht="15" hidden="false" customHeight="false" outlineLevel="0" collapsed="false">
      <c r="A1001" s="6" t="s">
        <v>44</v>
      </c>
      <c r="B1001" s="6" t="s">
        <v>45</v>
      </c>
      <c r="C1001" s="6" t="s">
        <v>52</v>
      </c>
      <c r="D1001" s="6" t="s">
        <v>113</v>
      </c>
      <c r="E1001" s="6" t="s">
        <v>60</v>
      </c>
      <c r="F1001" s="6" t="s">
        <v>60</v>
      </c>
      <c r="G1001" s="6" t="n">
        <v>41</v>
      </c>
      <c r="H1001" s="6" t="n">
        <v>3147800</v>
      </c>
      <c r="I1001" s="6" t="n">
        <v>1382900</v>
      </c>
      <c r="J1001" s="6" t="n">
        <v>2020200</v>
      </c>
      <c r="K1001" s="6" t="n">
        <v>-1127800</v>
      </c>
      <c r="L1001" s="6" t="n">
        <v>7</v>
      </c>
      <c r="M1001" s="6" t="n">
        <v>0</v>
      </c>
      <c r="N1001" s="6" t="n">
        <v>-1407.7</v>
      </c>
    </row>
    <row r="1002" customFormat="false" ht="15" hidden="false" customHeight="false" outlineLevel="0" collapsed="false">
      <c r="A1002" s="6" t="s">
        <v>44</v>
      </c>
      <c r="B1002" s="6" t="s">
        <v>45</v>
      </c>
      <c r="C1002" s="6" t="s">
        <v>52</v>
      </c>
      <c r="D1002" s="6" t="s">
        <v>114</v>
      </c>
      <c r="E1002" s="6" t="s">
        <v>58</v>
      </c>
      <c r="F1002" s="6" t="s">
        <v>58</v>
      </c>
      <c r="G1002" s="6" t="n">
        <v>20</v>
      </c>
      <c r="H1002" s="6" t="n">
        <v>2160500</v>
      </c>
      <c r="I1002" s="6" t="n">
        <v>953800</v>
      </c>
      <c r="J1002" s="6" t="n">
        <v>842400</v>
      </c>
      <c r="K1002" s="6" t="n">
        <v>-1317900</v>
      </c>
      <c r="L1002" s="6" t="n">
        <v>0</v>
      </c>
      <c r="M1002" s="6" t="n">
        <v>0</v>
      </c>
      <c r="N1002" s="6" t="n">
        <v>-1195.6</v>
      </c>
    </row>
    <row r="1003" customFormat="false" ht="15" hidden="false" customHeight="false" outlineLevel="0" collapsed="false">
      <c r="A1003" s="6" t="s">
        <v>44</v>
      </c>
      <c r="B1003" s="6" t="s">
        <v>45</v>
      </c>
      <c r="C1003" s="6" t="s">
        <v>52</v>
      </c>
      <c r="D1003" s="6" t="s">
        <v>114</v>
      </c>
      <c r="E1003" s="6" t="s">
        <v>58</v>
      </c>
      <c r="F1003" s="6" t="s">
        <v>60</v>
      </c>
      <c r="G1003" s="6" t="n">
        <v>48</v>
      </c>
      <c r="H1003" s="6" t="n">
        <v>3466800</v>
      </c>
      <c r="I1003" s="6" t="n">
        <v>1564300</v>
      </c>
      <c r="J1003" s="6" t="n">
        <v>2272100</v>
      </c>
      <c r="K1003" s="6" t="n">
        <v>-1194100</v>
      </c>
      <c r="L1003" s="6" t="n">
        <v>7</v>
      </c>
      <c r="M1003" s="6" t="n">
        <v>0</v>
      </c>
      <c r="N1003" s="6" t="n">
        <v>-1625.9</v>
      </c>
    </row>
    <row r="1004" customFormat="false" ht="15" hidden="false" customHeight="false" outlineLevel="0" collapsed="false">
      <c r="A1004" s="6" t="s">
        <v>44</v>
      </c>
      <c r="B1004" s="6" t="s">
        <v>45</v>
      </c>
      <c r="C1004" s="6" t="s">
        <v>52</v>
      </c>
      <c r="D1004" s="6" t="s">
        <v>114</v>
      </c>
      <c r="E1004" s="6" t="s">
        <v>60</v>
      </c>
      <c r="F1004" s="6" t="s">
        <v>58</v>
      </c>
      <c r="G1004" s="6" t="n">
        <v>12</v>
      </c>
      <c r="H1004" s="6" t="n">
        <v>1265200</v>
      </c>
      <c r="I1004" s="6" t="n">
        <v>424500</v>
      </c>
      <c r="J1004" s="6" t="n">
        <v>639600</v>
      </c>
      <c r="K1004" s="6" t="n">
        <v>-625300</v>
      </c>
      <c r="L1004" s="6" t="n">
        <v>1</v>
      </c>
      <c r="M1004" s="6" t="n">
        <v>0</v>
      </c>
      <c r="N1004" s="6" t="n">
        <v>-558.1</v>
      </c>
    </row>
    <row r="1005" customFormat="false" ht="15" hidden="false" customHeight="false" outlineLevel="0" collapsed="false">
      <c r="A1005" s="6" t="s">
        <v>44</v>
      </c>
      <c r="B1005" s="6" t="s">
        <v>45</v>
      </c>
      <c r="C1005" s="6" t="s">
        <v>52</v>
      </c>
      <c r="D1005" s="6" t="s">
        <v>114</v>
      </c>
      <c r="E1005" s="6" t="s">
        <v>60</v>
      </c>
      <c r="F1005" s="6" t="s">
        <v>60</v>
      </c>
      <c r="G1005" s="6" t="n">
        <v>24</v>
      </c>
      <c r="H1005" s="6" t="n">
        <v>1686600</v>
      </c>
      <c r="I1005" s="6" t="n">
        <v>700200</v>
      </c>
      <c r="J1005" s="6" t="n">
        <v>1237200</v>
      </c>
      <c r="K1005" s="6" t="n">
        <v>-449300</v>
      </c>
      <c r="L1005" s="6" t="n">
        <v>7</v>
      </c>
      <c r="M1005" s="6" t="n">
        <v>0</v>
      </c>
      <c r="N1005" s="6" t="n">
        <v>-558.4</v>
      </c>
    </row>
    <row r="1006" customFormat="false" ht="15" hidden="false" customHeight="false" outlineLevel="0" collapsed="false">
      <c r="A1006" s="6" t="s">
        <v>44</v>
      </c>
      <c r="B1006" s="6" t="s">
        <v>45</v>
      </c>
      <c r="C1006" s="6" t="s">
        <v>53</v>
      </c>
      <c r="D1006" s="6" t="s">
        <v>111</v>
      </c>
      <c r="E1006" s="6" t="s">
        <v>58</v>
      </c>
      <c r="F1006" s="6" t="s">
        <v>58</v>
      </c>
      <c r="G1006" s="6" t="n">
        <v>16</v>
      </c>
      <c r="H1006" s="6" t="n">
        <v>1248400</v>
      </c>
      <c r="I1006" s="6" t="n">
        <v>327600</v>
      </c>
      <c r="J1006" s="6" t="n">
        <v>651600</v>
      </c>
      <c r="K1006" s="6" t="n">
        <v>-597200</v>
      </c>
      <c r="L1006" s="6" t="n">
        <v>1</v>
      </c>
      <c r="M1006" s="6" t="n">
        <v>0</v>
      </c>
      <c r="N1006" s="6" t="n">
        <v>-720.9</v>
      </c>
    </row>
    <row r="1007" customFormat="false" ht="15" hidden="false" customHeight="false" outlineLevel="0" collapsed="false">
      <c r="A1007" s="6" t="s">
        <v>44</v>
      </c>
      <c r="B1007" s="6" t="s">
        <v>45</v>
      </c>
      <c r="C1007" s="6" t="s">
        <v>53</v>
      </c>
      <c r="D1007" s="6" t="s">
        <v>111</v>
      </c>
      <c r="E1007" s="6" t="s">
        <v>58</v>
      </c>
      <c r="F1007" s="6" t="s">
        <v>60</v>
      </c>
      <c r="G1007" s="6" t="n">
        <v>28</v>
      </c>
      <c r="H1007" s="6" t="n">
        <v>1586900</v>
      </c>
      <c r="I1007" s="6" t="n">
        <v>690000</v>
      </c>
      <c r="J1007" s="6" t="n">
        <v>1154900</v>
      </c>
      <c r="K1007" s="6" t="n">
        <v>-432200</v>
      </c>
      <c r="L1007" s="6" t="n">
        <v>6</v>
      </c>
      <c r="M1007" s="6" t="n">
        <v>0</v>
      </c>
      <c r="N1007" s="6" t="n">
        <v>-720.4</v>
      </c>
    </row>
    <row r="1008" customFormat="false" ht="15" hidden="false" customHeight="false" outlineLevel="0" collapsed="false">
      <c r="A1008" s="6" t="s">
        <v>44</v>
      </c>
      <c r="B1008" s="6" t="s">
        <v>45</v>
      </c>
      <c r="C1008" s="6" t="s">
        <v>53</v>
      </c>
      <c r="D1008" s="6" t="s">
        <v>111</v>
      </c>
      <c r="E1008" s="6" t="s">
        <v>60</v>
      </c>
      <c r="F1008" s="6" t="s">
        <v>58</v>
      </c>
      <c r="G1008" s="6" t="n">
        <v>12</v>
      </c>
      <c r="H1008" s="6" t="n">
        <v>970200</v>
      </c>
      <c r="I1008" s="6" t="n">
        <v>354000</v>
      </c>
      <c r="J1008" s="6" t="n">
        <v>634000</v>
      </c>
      <c r="K1008" s="6" t="n">
        <v>-335800</v>
      </c>
      <c r="L1008" s="6" t="n">
        <v>2</v>
      </c>
      <c r="M1008" s="6" t="n">
        <v>0</v>
      </c>
      <c r="N1008" s="6" t="n">
        <v>-404.1</v>
      </c>
    </row>
    <row r="1009" customFormat="false" ht="15" hidden="false" customHeight="false" outlineLevel="0" collapsed="false">
      <c r="A1009" s="6" t="s">
        <v>44</v>
      </c>
      <c r="B1009" s="6" t="s">
        <v>45</v>
      </c>
      <c r="C1009" s="6" t="s">
        <v>53</v>
      </c>
      <c r="D1009" s="6" t="s">
        <v>111</v>
      </c>
      <c r="E1009" s="6" t="s">
        <v>60</v>
      </c>
      <c r="F1009" s="6" t="s">
        <v>60</v>
      </c>
      <c r="G1009" s="6" t="n">
        <v>19</v>
      </c>
      <c r="H1009" s="6" t="n">
        <v>1100300</v>
      </c>
      <c r="I1009" s="6" t="n">
        <v>636300</v>
      </c>
      <c r="J1009" s="6" t="n">
        <v>928800</v>
      </c>
      <c r="K1009" s="6" t="n">
        <v>-171700</v>
      </c>
      <c r="L1009" s="6" t="n">
        <v>4</v>
      </c>
      <c r="M1009" s="6" t="n">
        <v>0</v>
      </c>
      <c r="N1009" s="6" t="n">
        <v>-270.7</v>
      </c>
    </row>
    <row r="1010" customFormat="false" ht="15" hidden="false" customHeight="false" outlineLevel="0" collapsed="false">
      <c r="A1010" s="6" t="s">
        <v>44</v>
      </c>
      <c r="B1010" s="6" t="s">
        <v>45</v>
      </c>
      <c r="C1010" s="6" t="s">
        <v>53</v>
      </c>
      <c r="D1010" s="6" t="s">
        <v>112</v>
      </c>
      <c r="E1010" s="6" t="s">
        <v>58</v>
      </c>
      <c r="F1010" s="6" t="s">
        <v>58</v>
      </c>
      <c r="G1010" s="6" t="n">
        <v>18</v>
      </c>
      <c r="H1010" s="6" t="n">
        <v>1471100</v>
      </c>
      <c r="I1010" s="6" t="n">
        <v>560800</v>
      </c>
      <c r="J1010" s="6" t="n">
        <v>670900</v>
      </c>
      <c r="K1010" s="6" t="n">
        <v>-800200</v>
      </c>
      <c r="L1010" s="6" t="n">
        <v>2</v>
      </c>
      <c r="M1010" s="6" t="n">
        <v>0</v>
      </c>
      <c r="N1010" s="6" t="n">
        <v>-955.4</v>
      </c>
    </row>
    <row r="1011" customFormat="false" ht="15" hidden="false" customHeight="false" outlineLevel="0" collapsed="false">
      <c r="A1011" s="6" t="s">
        <v>44</v>
      </c>
      <c r="B1011" s="6" t="s">
        <v>45</v>
      </c>
      <c r="C1011" s="6" t="s">
        <v>53</v>
      </c>
      <c r="D1011" s="6" t="s">
        <v>112</v>
      </c>
      <c r="E1011" s="6" t="s">
        <v>58</v>
      </c>
      <c r="F1011" s="6" t="s">
        <v>60</v>
      </c>
      <c r="G1011" s="6" t="n">
        <v>43</v>
      </c>
      <c r="H1011" s="6" t="n">
        <v>2507900</v>
      </c>
      <c r="I1011" s="6" t="n">
        <v>1308600</v>
      </c>
      <c r="J1011" s="6" t="n">
        <v>1799500</v>
      </c>
      <c r="K1011" s="6" t="n">
        <v>-708700</v>
      </c>
      <c r="L1011" s="6" t="n">
        <v>11</v>
      </c>
      <c r="M1011" s="6" t="n">
        <v>0</v>
      </c>
      <c r="N1011" s="6" t="n">
        <v>-1145.6</v>
      </c>
    </row>
    <row r="1012" customFormat="false" ht="15" hidden="false" customHeight="false" outlineLevel="0" collapsed="false">
      <c r="A1012" s="6" t="s">
        <v>44</v>
      </c>
      <c r="B1012" s="6" t="s">
        <v>45</v>
      </c>
      <c r="C1012" s="6" t="s">
        <v>53</v>
      </c>
      <c r="D1012" s="6" t="s">
        <v>112</v>
      </c>
      <c r="E1012" s="6" t="s">
        <v>60</v>
      </c>
      <c r="F1012" s="6" t="s">
        <v>58</v>
      </c>
      <c r="G1012" s="6" t="n">
        <v>17</v>
      </c>
      <c r="H1012" s="6" t="n">
        <v>1345600</v>
      </c>
      <c r="I1012" s="6" t="n">
        <v>648500</v>
      </c>
      <c r="J1012" s="6" t="n">
        <v>814100</v>
      </c>
      <c r="K1012" s="6" t="n">
        <v>-531700</v>
      </c>
      <c r="L1012" s="6" t="n">
        <v>3</v>
      </c>
      <c r="M1012" s="6" t="n">
        <v>0</v>
      </c>
      <c r="N1012" s="6" t="n">
        <v>-597.4</v>
      </c>
    </row>
    <row r="1013" customFormat="false" ht="15" hidden="false" customHeight="false" outlineLevel="0" collapsed="false">
      <c r="A1013" s="6" t="s">
        <v>44</v>
      </c>
      <c r="B1013" s="6" t="s">
        <v>45</v>
      </c>
      <c r="C1013" s="6" t="s">
        <v>53</v>
      </c>
      <c r="D1013" s="6" t="s">
        <v>112</v>
      </c>
      <c r="E1013" s="6" t="s">
        <v>60</v>
      </c>
      <c r="F1013" s="6" t="s">
        <v>60</v>
      </c>
      <c r="G1013" s="6" t="n">
        <v>24</v>
      </c>
      <c r="H1013" s="6" t="n">
        <v>1375400</v>
      </c>
      <c r="I1013" s="6" t="n">
        <v>743600</v>
      </c>
      <c r="J1013" s="6" t="n">
        <v>992100</v>
      </c>
      <c r="K1013" s="6" t="n">
        <v>-382800</v>
      </c>
      <c r="L1013" s="6" t="n">
        <v>5</v>
      </c>
      <c r="M1013" s="6" t="n">
        <v>0</v>
      </c>
      <c r="N1013" s="6" t="n">
        <v>-579.9</v>
      </c>
    </row>
    <row r="1014" customFormat="false" ht="15" hidden="false" customHeight="false" outlineLevel="0" collapsed="false">
      <c r="A1014" s="6" t="s">
        <v>44</v>
      </c>
      <c r="B1014" s="6" t="s">
        <v>45</v>
      </c>
      <c r="C1014" s="6" t="s">
        <v>53</v>
      </c>
      <c r="D1014" s="6" t="s">
        <v>113</v>
      </c>
      <c r="E1014" s="6" t="s">
        <v>58</v>
      </c>
      <c r="F1014" s="6" t="s">
        <v>58</v>
      </c>
      <c r="G1014" s="6" t="n">
        <v>29</v>
      </c>
      <c r="H1014" s="6" t="n">
        <v>2219900</v>
      </c>
      <c r="I1014" s="6" t="n">
        <v>1082100</v>
      </c>
      <c r="J1014" s="6" t="n">
        <v>1223000</v>
      </c>
      <c r="K1014" s="6" t="n">
        <v>-996700</v>
      </c>
      <c r="L1014" s="6" t="n">
        <v>2</v>
      </c>
      <c r="M1014" s="6" t="n">
        <v>0</v>
      </c>
      <c r="N1014" s="6" t="n">
        <v>-1238.8</v>
      </c>
    </row>
    <row r="1015" customFormat="false" ht="15" hidden="false" customHeight="false" outlineLevel="0" collapsed="false">
      <c r="A1015" s="6" t="s">
        <v>44</v>
      </c>
      <c r="B1015" s="6" t="s">
        <v>45</v>
      </c>
      <c r="C1015" s="6" t="s">
        <v>53</v>
      </c>
      <c r="D1015" s="6" t="s">
        <v>113</v>
      </c>
      <c r="E1015" s="6" t="s">
        <v>58</v>
      </c>
      <c r="F1015" s="6" t="s">
        <v>60</v>
      </c>
      <c r="G1015" s="6" t="n">
        <v>60</v>
      </c>
      <c r="H1015" s="6" t="n">
        <v>3423900</v>
      </c>
      <c r="I1015" s="6" t="n">
        <v>1395000</v>
      </c>
      <c r="J1015" s="6" t="n">
        <v>2464000</v>
      </c>
      <c r="K1015" s="6" t="n">
        <v>-960100</v>
      </c>
      <c r="L1015" s="6" t="n">
        <v>9</v>
      </c>
      <c r="M1015" s="6" t="n">
        <v>0</v>
      </c>
      <c r="N1015" s="6" t="n">
        <v>-1568.9</v>
      </c>
    </row>
    <row r="1016" customFormat="false" ht="15" hidden="false" customHeight="false" outlineLevel="0" collapsed="false">
      <c r="A1016" s="6" t="s">
        <v>44</v>
      </c>
      <c r="B1016" s="6" t="s">
        <v>45</v>
      </c>
      <c r="C1016" s="6" t="s">
        <v>53</v>
      </c>
      <c r="D1016" s="6" t="s">
        <v>113</v>
      </c>
      <c r="E1016" s="6" t="s">
        <v>60</v>
      </c>
      <c r="F1016" s="6" t="s">
        <v>58</v>
      </c>
      <c r="G1016" s="6" t="n">
        <v>20</v>
      </c>
      <c r="H1016" s="6" t="n">
        <v>1606300</v>
      </c>
      <c r="I1016" s="6" t="n">
        <v>744900</v>
      </c>
      <c r="J1016" s="6" t="n">
        <v>835800</v>
      </c>
      <c r="K1016" s="6" t="n">
        <v>-770100</v>
      </c>
      <c r="L1016" s="6" t="n">
        <v>1</v>
      </c>
      <c r="M1016" s="6" t="n">
        <v>0</v>
      </c>
      <c r="N1016" s="6" t="n">
        <v>-900.2</v>
      </c>
    </row>
    <row r="1017" customFormat="false" ht="15" hidden="false" customHeight="false" outlineLevel="0" collapsed="false">
      <c r="A1017" s="6" t="s">
        <v>44</v>
      </c>
      <c r="B1017" s="6" t="s">
        <v>45</v>
      </c>
      <c r="C1017" s="6" t="s">
        <v>53</v>
      </c>
      <c r="D1017" s="6" t="s">
        <v>113</v>
      </c>
      <c r="E1017" s="6" t="s">
        <v>60</v>
      </c>
      <c r="F1017" s="6" t="s">
        <v>60</v>
      </c>
      <c r="G1017" s="6" t="n">
        <v>34</v>
      </c>
      <c r="H1017" s="6" t="n">
        <v>1932700</v>
      </c>
      <c r="I1017" s="6" t="n">
        <v>850600</v>
      </c>
      <c r="J1017" s="6" t="n">
        <v>1394800</v>
      </c>
      <c r="K1017" s="6" t="n">
        <v>-537800</v>
      </c>
      <c r="L1017" s="6" t="n">
        <v>6</v>
      </c>
      <c r="M1017" s="6" t="n">
        <v>0</v>
      </c>
      <c r="N1017" s="6" t="n">
        <v>-871.7</v>
      </c>
    </row>
    <row r="1018" customFormat="false" ht="15" hidden="false" customHeight="false" outlineLevel="0" collapsed="false">
      <c r="A1018" s="6" t="s">
        <v>44</v>
      </c>
      <c r="B1018" s="6" t="s">
        <v>45</v>
      </c>
      <c r="C1018" s="6" t="s">
        <v>53</v>
      </c>
      <c r="D1018" s="6" t="s">
        <v>114</v>
      </c>
      <c r="E1018" s="6" t="s">
        <v>58</v>
      </c>
      <c r="F1018" s="6" t="s">
        <v>58</v>
      </c>
      <c r="G1018" s="6" t="n">
        <v>20</v>
      </c>
      <c r="H1018" s="6" t="n">
        <v>1559000</v>
      </c>
      <c r="I1018" s="6" t="n">
        <v>507400</v>
      </c>
      <c r="J1018" s="6" t="n">
        <v>758200</v>
      </c>
      <c r="K1018" s="6" t="n">
        <v>-800600</v>
      </c>
      <c r="L1018" s="6" t="n">
        <v>1</v>
      </c>
      <c r="M1018" s="6" t="n">
        <v>0</v>
      </c>
      <c r="N1018" s="6" t="n">
        <v>-964.9</v>
      </c>
    </row>
    <row r="1019" customFormat="false" ht="15" hidden="false" customHeight="false" outlineLevel="0" collapsed="false">
      <c r="A1019" s="6" t="s">
        <v>44</v>
      </c>
      <c r="B1019" s="6" t="s">
        <v>45</v>
      </c>
      <c r="C1019" s="6" t="s">
        <v>53</v>
      </c>
      <c r="D1019" s="6" t="s">
        <v>114</v>
      </c>
      <c r="E1019" s="6" t="s">
        <v>58</v>
      </c>
      <c r="F1019" s="6" t="s">
        <v>60</v>
      </c>
      <c r="G1019" s="6" t="n">
        <v>46</v>
      </c>
      <c r="H1019" s="6" t="n">
        <v>2714100</v>
      </c>
      <c r="I1019" s="6" t="n">
        <v>1145000</v>
      </c>
      <c r="J1019" s="6" t="n">
        <v>2050600</v>
      </c>
      <c r="K1019" s="6" t="n">
        <v>-663300</v>
      </c>
      <c r="L1019" s="6" t="n">
        <v>9</v>
      </c>
      <c r="M1019" s="6" t="n">
        <v>0</v>
      </c>
      <c r="N1019" s="6" t="n">
        <v>-899.3</v>
      </c>
    </row>
    <row r="1020" customFormat="false" ht="15" hidden="false" customHeight="false" outlineLevel="0" collapsed="false">
      <c r="A1020" s="6" t="s">
        <v>44</v>
      </c>
      <c r="B1020" s="6" t="s">
        <v>45</v>
      </c>
      <c r="C1020" s="6" t="s">
        <v>53</v>
      </c>
      <c r="D1020" s="6" t="s">
        <v>114</v>
      </c>
      <c r="E1020" s="6" t="s">
        <v>60</v>
      </c>
      <c r="F1020" s="6" t="s">
        <v>58</v>
      </c>
      <c r="G1020" s="6" t="n">
        <v>7</v>
      </c>
      <c r="H1020" s="6" t="n">
        <v>634600</v>
      </c>
      <c r="I1020" s="6" t="n">
        <v>303100</v>
      </c>
      <c r="J1020" s="6" t="n">
        <v>288900</v>
      </c>
      <c r="K1020" s="6" t="n">
        <v>-346000</v>
      </c>
      <c r="L1020" s="6" t="n">
        <v>1</v>
      </c>
      <c r="M1020" s="6" t="n">
        <v>0</v>
      </c>
      <c r="N1020" s="6" t="n">
        <v>-360.9</v>
      </c>
    </row>
    <row r="1021" customFormat="false" ht="15" hidden="false" customHeight="false" outlineLevel="0" collapsed="false">
      <c r="A1021" s="6" t="s">
        <v>44</v>
      </c>
      <c r="B1021" s="6" t="s">
        <v>45</v>
      </c>
      <c r="C1021" s="6" t="s">
        <v>53</v>
      </c>
      <c r="D1021" s="6" t="s">
        <v>114</v>
      </c>
      <c r="E1021" s="6" t="s">
        <v>60</v>
      </c>
      <c r="F1021" s="6" t="s">
        <v>60</v>
      </c>
      <c r="G1021" s="6" t="n">
        <v>15</v>
      </c>
      <c r="H1021" s="6" t="n">
        <v>878100</v>
      </c>
      <c r="I1021" s="6" t="n">
        <v>380400</v>
      </c>
      <c r="J1021" s="6" t="n">
        <v>574100</v>
      </c>
      <c r="K1021" s="6" t="n">
        <v>-304100</v>
      </c>
      <c r="L1021" s="6" t="n">
        <v>0</v>
      </c>
      <c r="M1021" s="6" t="n">
        <v>0</v>
      </c>
      <c r="N1021" s="6" t="n">
        <v>-498.6</v>
      </c>
    </row>
    <row r="1022" customFormat="false" ht="15" hidden="false" customHeight="false" outlineLevel="0" collapsed="false">
      <c r="A1022" s="6" t="s">
        <v>44</v>
      </c>
      <c r="B1022" s="6" t="s">
        <v>45</v>
      </c>
      <c r="C1022" s="6" t="s">
        <v>51</v>
      </c>
      <c r="D1022" s="6" t="s">
        <v>111</v>
      </c>
      <c r="E1022" s="6" t="s">
        <v>58</v>
      </c>
      <c r="F1022" s="6" t="s">
        <v>58</v>
      </c>
      <c r="G1022" s="6" t="n">
        <v>13</v>
      </c>
      <c r="H1022" s="6" t="n">
        <v>1604500</v>
      </c>
      <c r="I1022" s="6" t="n">
        <v>525800</v>
      </c>
      <c r="J1022" s="6" t="n">
        <v>751200</v>
      </c>
      <c r="K1022" s="6" t="n">
        <v>-853300</v>
      </c>
      <c r="L1022" s="6" t="n">
        <v>0</v>
      </c>
      <c r="M1022" s="6" t="n">
        <v>0</v>
      </c>
      <c r="N1022" s="6" t="n">
        <v>-681.9</v>
      </c>
    </row>
    <row r="1023" customFormat="false" ht="15" hidden="false" customHeight="false" outlineLevel="0" collapsed="false">
      <c r="A1023" s="6" t="s">
        <v>44</v>
      </c>
      <c r="B1023" s="6" t="s">
        <v>45</v>
      </c>
      <c r="C1023" s="6" t="s">
        <v>51</v>
      </c>
      <c r="D1023" s="6" t="s">
        <v>111</v>
      </c>
      <c r="E1023" s="6" t="s">
        <v>58</v>
      </c>
      <c r="F1023" s="6" t="s">
        <v>60</v>
      </c>
      <c r="G1023" s="6" t="n">
        <v>29</v>
      </c>
      <c r="H1023" s="6" t="n">
        <v>2408600</v>
      </c>
      <c r="I1023" s="6" t="n">
        <v>1159000</v>
      </c>
      <c r="J1023" s="6" t="n">
        <v>1373400</v>
      </c>
      <c r="K1023" s="6" t="n">
        <v>-1035300</v>
      </c>
      <c r="L1023" s="6" t="n">
        <v>2</v>
      </c>
      <c r="M1023" s="6" t="n">
        <v>0</v>
      </c>
      <c r="N1023" s="6" t="n">
        <v>-1163.9</v>
      </c>
    </row>
    <row r="1024" customFormat="false" ht="15" hidden="false" customHeight="false" outlineLevel="0" collapsed="false">
      <c r="A1024" s="6" t="s">
        <v>44</v>
      </c>
      <c r="B1024" s="6" t="s">
        <v>45</v>
      </c>
      <c r="C1024" s="6" t="s">
        <v>51</v>
      </c>
      <c r="D1024" s="6" t="s">
        <v>111</v>
      </c>
      <c r="E1024" s="6" t="s">
        <v>60</v>
      </c>
      <c r="F1024" s="6" t="s">
        <v>58</v>
      </c>
      <c r="G1024" s="6" t="n">
        <v>6</v>
      </c>
      <c r="H1024" s="6" t="n">
        <v>638100</v>
      </c>
      <c r="I1024" s="6" t="n">
        <v>147500</v>
      </c>
      <c r="J1024" s="6" t="n">
        <v>309600</v>
      </c>
      <c r="K1024" s="6" t="n">
        <v>-328500</v>
      </c>
      <c r="L1024" s="6" t="n">
        <v>0</v>
      </c>
      <c r="M1024" s="6" t="n">
        <v>0</v>
      </c>
      <c r="N1024" s="6" t="n">
        <v>-305.4</v>
      </c>
    </row>
    <row r="1025" customFormat="false" ht="15" hidden="false" customHeight="false" outlineLevel="0" collapsed="false">
      <c r="A1025" s="6" t="s">
        <v>44</v>
      </c>
      <c r="B1025" s="6" t="s">
        <v>45</v>
      </c>
      <c r="C1025" s="6" t="s">
        <v>51</v>
      </c>
      <c r="D1025" s="6" t="s">
        <v>111</v>
      </c>
      <c r="E1025" s="6" t="s">
        <v>60</v>
      </c>
      <c r="F1025" s="6" t="s">
        <v>60</v>
      </c>
      <c r="G1025" s="6" t="n">
        <v>9</v>
      </c>
      <c r="H1025" s="6" t="n">
        <v>692800</v>
      </c>
      <c r="I1025" s="6" t="n">
        <v>240200</v>
      </c>
      <c r="J1025" s="6" t="n">
        <v>551000</v>
      </c>
      <c r="K1025" s="6" t="n">
        <v>-141700</v>
      </c>
      <c r="L1025" s="6" t="n">
        <v>2</v>
      </c>
      <c r="M1025" s="6" t="n">
        <v>0</v>
      </c>
      <c r="N1025" s="6" t="n">
        <v>-186.6</v>
      </c>
    </row>
    <row r="1026" customFormat="false" ht="15" hidden="false" customHeight="false" outlineLevel="0" collapsed="false">
      <c r="A1026" s="6" t="s">
        <v>44</v>
      </c>
      <c r="B1026" s="6" t="s">
        <v>45</v>
      </c>
      <c r="C1026" s="6" t="s">
        <v>51</v>
      </c>
      <c r="D1026" s="6" t="s">
        <v>112</v>
      </c>
      <c r="E1026" s="6" t="s">
        <v>58</v>
      </c>
      <c r="F1026" s="6" t="s">
        <v>58</v>
      </c>
      <c r="G1026" s="6" t="n">
        <v>9</v>
      </c>
      <c r="H1026" s="6" t="n">
        <v>965200</v>
      </c>
      <c r="I1026" s="6" t="n">
        <v>558700</v>
      </c>
      <c r="J1026" s="6" t="n">
        <v>411300</v>
      </c>
      <c r="K1026" s="6" t="n">
        <v>-553900</v>
      </c>
      <c r="L1026" s="6" t="n">
        <v>1</v>
      </c>
      <c r="M1026" s="6" t="n">
        <v>0</v>
      </c>
      <c r="N1026" s="6" t="n">
        <v>-491</v>
      </c>
    </row>
    <row r="1027" customFormat="false" ht="15" hidden="false" customHeight="false" outlineLevel="0" collapsed="false">
      <c r="A1027" s="6" t="s">
        <v>44</v>
      </c>
      <c r="B1027" s="6" t="s">
        <v>45</v>
      </c>
      <c r="C1027" s="6" t="s">
        <v>51</v>
      </c>
      <c r="D1027" s="6" t="s">
        <v>112</v>
      </c>
      <c r="E1027" s="6" t="s">
        <v>58</v>
      </c>
      <c r="F1027" s="6" t="s">
        <v>60</v>
      </c>
      <c r="G1027" s="6" t="n">
        <v>31</v>
      </c>
      <c r="H1027" s="6" t="n">
        <v>2734400</v>
      </c>
      <c r="I1027" s="6" t="n">
        <v>1143900</v>
      </c>
      <c r="J1027" s="6" t="n">
        <v>1661000</v>
      </c>
      <c r="K1027" s="6" t="n">
        <v>-1073800</v>
      </c>
      <c r="L1027" s="6" t="n">
        <v>5</v>
      </c>
      <c r="M1027" s="6" t="n">
        <v>0</v>
      </c>
      <c r="N1027" s="6" t="n">
        <v>-1145.4</v>
      </c>
    </row>
    <row r="1028" customFormat="false" ht="15" hidden="false" customHeight="false" outlineLevel="0" collapsed="false">
      <c r="A1028" s="6" t="s">
        <v>44</v>
      </c>
      <c r="B1028" s="6" t="s">
        <v>45</v>
      </c>
      <c r="C1028" s="6" t="s">
        <v>51</v>
      </c>
      <c r="D1028" s="6" t="s">
        <v>112</v>
      </c>
      <c r="E1028" s="6" t="s">
        <v>60</v>
      </c>
      <c r="F1028" s="6" t="s">
        <v>58</v>
      </c>
      <c r="G1028" s="6" t="n">
        <v>8</v>
      </c>
      <c r="H1028" s="6" t="n">
        <v>962000</v>
      </c>
      <c r="I1028" s="6" t="n">
        <v>371900</v>
      </c>
      <c r="J1028" s="6" t="n">
        <v>561300</v>
      </c>
      <c r="K1028" s="6" t="n">
        <v>-400800</v>
      </c>
      <c r="L1028" s="6" t="n">
        <v>0</v>
      </c>
      <c r="M1028" s="6" t="n">
        <v>0</v>
      </c>
      <c r="N1028" s="6" t="n">
        <v>-324.6</v>
      </c>
    </row>
    <row r="1029" customFormat="false" ht="15" hidden="false" customHeight="false" outlineLevel="0" collapsed="false">
      <c r="A1029" s="6" t="s">
        <v>44</v>
      </c>
      <c r="B1029" s="6" t="s">
        <v>45</v>
      </c>
      <c r="C1029" s="6" t="s">
        <v>51</v>
      </c>
      <c r="D1029" s="6" t="s">
        <v>112</v>
      </c>
      <c r="E1029" s="6" t="s">
        <v>60</v>
      </c>
      <c r="F1029" s="6" t="s">
        <v>60</v>
      </c>
      <c r="G1029" s="6" t="n">
        <v>15</v>
      </c>
      <c r="H1029" s="6" t="n">
        <v>1311900</v>
      </c>
      <c r="I1029" s="6" t="n">
        <v>607000</v>
      </c>
      <c r="J1029" s="6" t="n">
        <v>1136100</v>
      </c>
      <c r="K1029" s="6" t="n">
        <v>-176000</v>
      </c>
      <c r="L1029" s="6" t="n">
        <v>5</v>
      </c>
      <c r="M1029" s="6" t="n">
        <v>0</v>
      </c>
      <c r="N1029" s="6" t="n">
        <v>-135.5</v>
      </c>
    </row>
    <row r="1030" customFormat="false" ht="15" hidden="false" customHeight="false" outlineLevel="0" collapsed="false">
      <c r="A1030" s="6" t="s">
        <v>44</v>
      </c>
      <c r="B1030" s="6" t="s">
        <v>45</v>
      </c>
      <c r="C1030" s="6" t="s">
        <v>51</v>
      </c>
      <c r="D1030" s="6" t="s">
        <v>113</v>
      </c>
      <c r="E1030" s="6" t="s">
        <v>58</v>
      </c>
      <c r="F1030" s="6" t="s">
        <v>58</v>
      </c>
      <c r="G1030" s="6" t="n">
        <v>26</v>
      </c>
      <c r="H1030" s="6" t="n">
        <v>2917800</v>
      </c>
      <c r="I1030" s="6" t="n">
        <v>1253400</v>
      </c>
      <c r="J1030" s="6" t="n">
        <v>1227800</v>
      </c>
      <c r="K1030" s="6" t="n">
        <v>-1690600</v>
      </c>
      <c r="L1030" s="6" t="n">
        <v>1</v>
      </c>
      <c r="M1030" s="6" t="n">
        <v>0</v>
      </c>
      <c r="N1030" s="6" t="n">
        <v>-1442.2</v>
      </c>
    </row>
    <row r="1031" customFormat="false" ht="15" hidden="false" customHeight="false" outlineLevel="0" collapsed="false">
      <c r="A1031" s="6" t="s">
        <v>44</v>
      </c>
      <c r="B1031" s="6" t="s">
        <v>45</v>
      </c>
      <c r="C1031" s="6" t="s">
        <v>51</v>
      </c>
      <c r="D1031" s="6" t="s">
        <v>113</v>
      </c>
      <c r="E1031" s="6" t="s">
        <v>58</v>
      </c>
      <c r="F1031" s="6" t="s">
        <v>60</v>
      </c>
      <c r="G1031" s="6" t="n">
        <v>39</v>
      </c>
      <c r="H1031" s="6" t="n">
        <v>3204800</v>
      </c>
      <c r="I1031" s="6" t="n">
        <v>1020600</v>
      </c>
      <c r="J1031" s="6" t="n">
        <v>2287100</v>
      </c>
      <c r="K1031" s="6" t="n">
        <v>-917600</v>
      </c>
      <c r="L1031" s="6" t="n">
        <v>9</v>
      </c>
      <c r="M1031" s="6" t="n">
        <v>0</v>
      </c>
      <c r="N1031" s="6" t="n">
        <v>-1033.6</v>
      </c>
    </row>
    <row r="1032" customFormat="false" ht="15" hidden="false" customHeight="false" outlineLevel="0" collapsed="false">
      <c r="A1032" s="6" t="s">
        <v>44</v>
      </c>
      <c r="B1032" s="6" t="s">
        <v>45</v>
      </c>
      <c r="C1032" s="6" t="s">
        <v>51</v>
      </c>
      <c r="D1032" s="6" t="s">
        <v>113</v>
      </c>
      <c r="E1032" s="6" t="s">
        <v>60</v>
      </c>
      <c r="F1032" s="6" t="s">
        <v>58</v>
      </c>
      <c r="G1032" s="6" t="n">
        <v>12</v>
      </c>
      <c r="H1032" s="6" t="n">
        <v>1411300</v>
      </c>
      <c r="I1032" s="6" t="n">
        <v>756500</v>
      </c>
      <c r="J1032" s="6" t="n">
        <v>957100</v>
      </c>
      <c r="K1032" s="6" t="n">
        <v>-454300</v>
      </c>
      <c r="L1032" s="6" t="n">
        <v>1</v>
      </c>
      <c r="M1032" s="6" t="n">
        <v>0</v>
      </c>
      <c r="N1032" s="6" t="n">
        <v>-389.3</v>
      </c>
    </row>
    <row r="1033" customFormat="false" ht="15" hidden="false" customHeight="false" outlineLevel="0" collapsed="false">
      <c r="A1033" s="6" t="s">
        <v>44</v>
      </c>
      <c r="B1033" s="6" t="s">
        <v>45</v>
      </c>
      <c r="C1033" s="6" t="s">
        <v>51</v>
      </c>
      <c r="D1033" s="6" t="s">
        <v>113</v>
      </c>
      <c r="E1033" s="6" t="s">
        <v>60</v>
      </c>
      <c r="F1033" s="6" t="s">
        <v>60</v>
      </c>
      <c r="G1033" s="6" t="n">
        <v>25</v>
      </c>
      <c r="H1033" s="6" t="n">
        <v>2118800</v>
      </c>
      <c r="I1033" s="6" t="n">
        <v>1014700</v>
      </c>
      <c r="J1033" s="6" t="n">
        <v>1554200</v>
      </c>
      <c r="K1033" s="6" t="n">
        <v>-564600</v>
      </c>
      <c r="L1033" s="6" t="n">
        <v>5</v>
      </c>
      <c r="M1033" s="6" t="n">
        <v>0</v>
      </c>
      <c r="N1033" s="6" t="n">
        <v>-666.8</v>
      </c>
    </row>
    <row r="1034" customFormat="false" ht="15" hidden="false" customHeight="false" outlineLevel="0" collapsed="false">
      <c r="A1034" s="6" t="s">
        <v>44</v>
      </c>
      <c r="B1034" s="6" t="s">
        <v>45</v>
      </c>
      <c r="C1034" s="6" t="s">
        <v>51</v>
      </c>
      <c r="D1034" s="6" t="s">
        <v>114</v>
      </c>
      <c r="E1034" s="6" t="s">
        <v>58</v>
      </c>
      <c r="F1034" s="6" t="s">
        <v>58</v>
      </c>
      <c r="G1034" s="6" t="n">
        <v>9</v>
      </c>
      <c r="H1034" s="6" t="n">
        <v>1071900</v>
      </c>
      <c r="I1034" s="6" t="n">
        <v>444700</v>
      </c>
      <c r="J1034" s="6" t="n">
        <v>449600</v>
      </c>
      <c r="K1034" s="6" t="n">
        <v>-622400</v>
      </c>
      <c r="L1034" s="6" t="n">
        <v>0</v>
      </c>
      <c r="M1034" s="6" t="n">
        <v>0</v>
      </c>
      <c r="N1034" s="6" t="n">
        <v>-509.3</v>
      </c>
    </row>
    <row r="1035" customFormat="false" ht="15" hidden="false" customHeight="false" outlineLevel="0" collapsed="false">
      <c r="A1035" s="6" t="s">
        <v>44</v>
      </c>
      <c r="B1035" s="6" t="s">
        <v>45</v>
      </c>
      <c r="C1035" s="6" t="s">
        <v>51</v>
      </c>
      <c r="D1035" s="6" t="s">
        <v>114</v>
      </c>
      <c r="E1035" s="6" t="s">
        <v>58</v>
      </c>
      <c r="F1035" s="6" t="s">
        <v>60</v>
      </c>
      <c r="G1035" s="6" t="n">
        <v>30</v>
      </c>
      <c r="H1035" s="6" t="n">
        <v>2457000</v>
      </c>
      <c r="I1035" s="6" t="n">
        <v>968300</v>
      </c>
      <c r="J1035" s="6" t="n">
        <v>1621400</v>
      </c>
      <c r="K1035" s="6" t="n">
        <v>-836200</v>
      </c>
      <c r="L1035" s="6" t="n">
        <v>5</v>
      </c>
      <c r="M1035" s="6" t="n">
        <v>0</v>
      </c>
      <c r="N1035" s="6" t="n">
        <v>-926.2</v>
      </c>
    </row>
    <row r="1036" customFormat="false" ht="15" hidden="false" customHeight="false" outlineLevel="0" collapsed="false">
      <c r="A1036" s="6" t="s">
        <v>44</v>
      </c>
      <c r="B1036" s="6" t="s">
        <v>45</v>
      </c>
      <c r="C1036" s="6" t="s">
        <v>51</v>
      </c>
      <c r="D1036" s="6" t="s">
        <v>114</v>
      </c>
      <c r="E1036" s="6" t="s">
        <v>60</v>
      </c>
      <c r="F1036" s="6" t="s">
        <v>58</v>
      </c>
      <c r="G1036" s="6" t="n">
        <v>3</v>
      </c>
      <c r="H1036" s="6" t="n">
        <v>356700</v>
      </c>
      <c r="I1036" s="6" t="n">
        <v>255800</v>
      </c>
      <c r="J1036" s="6" t="n">
        <v>95500</v>
      </c>
      <c r="K1036" s="6" t="n">
        <v>-261300</v>
      </c>
      <c r="L1036" s="6" t="n">
        <v>0</v>
      </c>
      <c r="M1036" s="6" t="n">
        <v>0</v>
      </c>
      <c r="N1036" s="6" t="n">
        <v>-218.1</v>
      </c>
    </row>
    <row r="1037" customFormat="false" ht="15" hidden="false" customHeight="false" outlineLevel="0" collapsed="false">
      <c r="A1037" s="6" t="s">
        <v>44</v>
      </c>
      <c r="B1037" s="6" t="s">
        <v>45</v>
      </c>
      <c r="C1037" s="6" t="s">
        <v>51</v>
      </c>
      <c r="D1037" s="6" t="s">
        <v>114</v>
      </c>
      <c r="E1037" s="6" t="s">
        <v>60</v>
      </c>
      <c r="F1037" s="6" t="s">
        <v>60</v>
      </c>
      <c r="G1037" s="6" t="n">
        <v>23</v>
      </c>
      <c r="H1037" s="6" t="n">
        <v>1800800</v>
      </c>
      <c r="I1037" s="6" t="n">
        <v>628000</v>
      </c>
      <c r="J1037" s="6" t="n">
        <v>1357500</v>
      </c>
      <c r="K1037" s="6" t="n">
        <v>-443400</v>
      </c>
      <c r="L1037" s="6" t="n">
        <v>5</v>
      </c>
      <c r="M1037" s="6" t="n">
        <v>0</v>
      </c>
      <c r="N1037" s="6" t="n">
        <v>-517.7</v>
      </c>
    </row>
    <row r="1038" customFormat="false" ht="15" hidden="false" customHeight="false" outlineLevel="0" collapsed="false">
      <c r="A1038" s="6" t="s">
        <v>43</v>
      </c>
      <c r="B1038" s="6" t="s">
        <v>43</v>
      </c>
      <c r="C1038" s="6" t="s">
        <v>54</v>
      </c>
      <c r="D1038" s="6" t="s">
        <v>111</v>
      </c>
      <c r="E1038" s="6" t="s">
        <v>58</v>
      </c>
      <c r="F1038" s="6" t="s">
        <v>58</v>
      </c>
      <c r="G1038" s="6" t="n">
        <v>4</v>
      </c>
      <c r="H1038" s="6" t="n">
        <v>507700</v>
      </c>
      <c r="I1038" s="6" t="n">
        <v>263100</v>
      </c>
      <c r="J1038" s="6" t="n">
        <v>180100</v>
      </c>
      <c r="K1038" s="6" t="n">
        <v>-327700</v>
      </c>
      <c r="L1038" s="6" t="n">
        <v>0</v>
      </c>
      <c r="M1038" s="6" t="n">
        <v>0</v>
      </c>
      <c r="N1038" s="6" t="n">
        <v>-258.1</v>
      </c>
    </row>
    <row r="1039" customFormat="false" ht="15" hidden="false" customHeight="false" outlineLevel="0" collapsed="false">
      <c r="A1039" s="6" t="s">
        <v>43</v>
      </c>
      <c r="B1039" s="6" t="s">
        <v>43</v>
      </c>
      <c r="C1039" s="6" t="s">
        <v>54</v>
      </c>
      <c r="D1039" s="6" t="s">
        <v>111</v>
      </c>
      <c r="E1039" s="6" t="s">
        <v>58</v>
      </c>
      <c r="F1039" s="6" t="s">
        <v>60</v>
      </c>
      <c r="G1039" s="6" t="n">
        <v>14</v>
      </c>
      <c r="H1039" s="6" t="n">
        <v>1447200</v>
      </c>
      <c r="I1039" s="6" t="n">
        <v>709400</v>
      </c>
      <c r="J1039" s="6" t="n">
        <v>578600</v>
      </c>
      <c r="K1039" s="6" t="n">
        <v>-868800</v>
      </c>
      <c r="L1039" s="6" t="n">
        <v>0</v>
      </c>
      <c r="M1039" s="6" t="n">
        <v>0</v>
      </c>
      <c r="N1039" s="6" t="n">
        <v>-827.6</v>
      </c>
    </row>
    <row r="1040" customFormat="false" ht="15" hidden="false" customHeight="false" outlineLevel="0" collapsed="false">
      <c r="A1040" s="6" t="s">
        <v>43</v>
      </c>
      <c r="B1040" s="6" t="s">
        <v>43</v>
      </c>
      <c r="C1040" s="6" t="s">
        <v>54</v>
      </c>
      <c r="D1040" s="6" t="s">
        <v>111</v>
      </c>
      <c r="E1040" s="6" t="s">
        <v>60</v>
      </c>
      <c r="F1040" s="6" t="s">
        <v>58</v>
      </c>
      <c r="G1040" s="6" t="n">
        <v>4</v>
      </c>
      <c r="H1040" s="6" t="n">
        <v>540400</v>
      </c>
      <c r="I1040" s="6" t="n">
        <v>218000</v>
      </c>
      <c r="J1040" s="6" t="n">
        <v>243700</v>
      </c>
      <c r="K1040" s="6" t="n">
        <v>-296700</v>
      </c>
      <c r="L1040" s="6" t="n">
        <v>0</v>
      </c>
      <c r="M1040" s="6" t="n">
        <v>0</v>
      </c>
      <c r="N1040" s="6" t="n">
        <v>-217.6</v>
      </c>
    </row>
    <row r="1041" customFormat="false" ht="15" hidden="false" customHeight="false" outlineLevel="0" collapsed="false">
      <c r="A1041" s="6" t="s">
        <v>43</v>
      </c>
      <c r="B1041" s="6" t="s">
        <v>43</v>
      </c>
      <c r="C1041" s="6" t="s">
        <v>54</v>
      </c>
      <c r="D1041" s="6" t="s">
        <v>111</v>
      </c>
      <c r="E1041" s="6" t="s">
        <v>60</v>
      </c>
      <c r="F1041" s="6" t="s">
        <v>60</v>
      </c>
      <c r="G1041" s="6" t="n">
        <v>5</v>
      </c>
      <c r="H1041" s="6" t="n">
        <v>572700</v>
      </c>
      <c r="I1041" s="6" t="n">
        <v>166100</v>
      </c>
      <c r="J1041" s="6" t="n">
        <v>337300</v>
      </c>
      <c r="K1041" s="6" t="n">
        <v>-235400</v>
      </c>
      <c r="L1041" s="6" t="n">
        <v>0</v>
      </c>
      <c r="M1041" s="6" t="n">
        <v>0</v>
      </c>
      <c r="N1041" s="6" t="n">
        <v>-207</v>
      </c>
    </row>
    <row r="1042" customFormat="false" ht="15" hidden="false" customHeight="false" outlineLevel="0" collapsed="false">
      <c r="A1042" s="6" t="s">
        <v>43</v>
      </c>
      <c r="B1042" s="6" t="s">
        <v>43</v>
      </c>
      <c r="C1042" s="6" t="s">
        <v>54</v>
      </c>
      <c r="D1042" s="6" t="s">
        <v>112</v>
      </c>
      <c r="E1042" s="6" t="s">
        <v>58</v>
      </c>
      <c r="F1042" s="6" t="s">
        <v>58</v>
      </c>
      <c r="G1042" s="6" t="n">
        <v>9</v>
      </c>
      <c r="H1042" s="6" t="n">
        <v>1298300</v>
      </c>
      <c r="I1042" s="6" t="n">
        <v>177800</v>
      </c>
      <c r="J1042" s="6" t="n">
        <v>453800</v>
      </c>
      <c r="K1042" s="6" t="n">
        <v>-844300</v>
      </c>
      <c r="L1042" s="6" t="n">
        <v>0</v>
      </c>
      <c r="M1042" s="6" t="n">
        <v>0</v>
      </c>
      <c r="N1042" s="6" t="n">
        <v>-579.3</v>
      </c>
    </row>
    <row r="1043" customFormat="false" ht="15" hidden="false" customHeight="false" outlineLevel="0" collapsed="false">
      <c r="A1043" s="6" t="s">
        <v>43</v>
      </c>
      <c r="B1043" s="6" t="s">
        <v>43</v>
      </c>
      <c r="C1043" s="6" t="s">
        <v>54</v>
      </c>
      <c r="D1043" s="6" t="s">
        <v>112</v>
      </c>
      <c r="E1043" s="6" t="s">
        <v>58</v>
      </c>
      <c r="F1043" s="6" t="s">
        <v>60</v>
      </c>
      <c r="G1043" s="6" t="n">
        <v>20</v>
      </c>
      <c r="H1043" s="6" t="n">
        <v>2122900</v>
      </c>
      <c r="I1043" s="6" t="n">
        <v>945600</v>
      </c>
      <c r="J1043" s="6" t="n">
        <v>937200</v>
      </c>
      <c r="K1043" s="6" t="n">
        <v>-1185900</v>
      </c>
      <c r="L1043" s="6" t="n">
        <v>0</v>
      </c>
      <c r="M1043" s="6" t="n">
        <v>0</v>
      </c>
      <c r="N1043" s="6" t="n">
        <v>-1108.3</v>
      </c>
    </row>
    <row r="1044" customFormat="false" ht="15" hidden="false" customHeight="false" outlineLevel="0" collapsed="false">
      <c r="A1044" s="6" t="s">
        <v>43</v>
      </c>
      <c r="B1044" s="6" t="s">
        <v>43</v>
      </c>
      <c r="C1044" s="6" t="s">
        <v>54</v>
      </c>
      <c r="D1044" s="6" t="s">
        <v>112</v>
      </c>
      <c r="E1044" s="6" t="s">
        <v>60</v>
      </c>
      <c r="F1044" s="6" t="s">
        <v>58</v>
      </c>
      <c r="G1044" s="6" t="n">
        <v>4</v>
      </c>
      <c r="H1044" s="6" t="n">
        <v>582800</v>
      </c>
      <c r="I1044" s="6" t="n">
        <v>222400</v>
      </c>
      <c r="J1044" s="6" t="n">
        <v>171900</v>
      </c>
      <c r="K1044" s="6" t="n">
        <v>-410800</v>
      </c>
      <c r="L1044" s="6" t="n">
        <v>0</v>
      </c>
      <c r="M1044" s="6" t="n">
        <v>0</v>
      </c>
      <c r="N1044" s="6" t="n">
        <v>-280.2</v>
      </c>
    </row>
    <row r="1045" customFormat="false" ht="15" hidden="false" customHeight="false" outlineLevel="0" collapsed="false">
      <c r="A1045" s="6" t="s">
        <v>43</v>
      </c>
      <c r="B1045" s="6" t="s">
        <v>43</v>
      </c>
      <c r="C1045" s="6" t="s">
        <v>54</v>
      </c>
      <c r="D1045" s="6" t="s">
        <v>112</v>
      </c>
      <c r="E1045" s="6" t="s">
        <v>60</v>
      </c>
      <c r="F1045" s="6" t="s">
        <v>60</v>
      </c>
      <c r="G1045" s="6" t="n">
        <v>8</v>
      </c>
      <c r="H1045" s="6" t="n">
        <v>743400</v>
      </c>
      <c r="I1045" s="6" t="n">
        <v>272100</v>
      </c>
      <c r="J1045" s="6" t="n">
        <v>342000</v>
      </c>
      <c r="K1045" s="6" t="n">
        <v>-401600</v>
      </c>
      <c r="L1045" s="6" t="n">
        <v>0</v>
      </c>
      <c r="M1045" s="6" t="n">
        <v>0</v>
      </c>
      <c r="N1045" s="6" t="n">
        <v>-422.8</v>
      </c>
    </row>
    <row r="1046" customFormat="false" ht="15" hidden="false" customHeight="false" outlineLevel="0" collapsed="false">
      <c r="A1046" s="6" t="s">
        <v>43</v>
      </c>
      <c r="B1046" s="6" t="s">
        <v>43</v>
      </c>
      <c r="C1046" s="6" t="s">
        <v>54</v>
      </c>
      <c r="D1046" s="6" t="s">
        <v>113</v>
      </c>
      <c r="E1046" s="6" t="s">
        <v>58</v>
      </c>
      <c r="F1046" s="6" t="s">
        <v>58</v>
      </c>
      <c r="G1046" s="6" t="n">
        <v>4</v>
      </c>
      <c r="H1046" s="6" t="n">
        <v>518000</v>
      </c>
      <c r="I1046" s="6" t="n">
        <v>141900</v>
      </c>
      <c r="J1046" s="6" t="n">
        <v>208400</v>
      </c>
      <c r="K1046" s="6" t="n">
        <v>-309500</v>
      </c>
      <c r="L1046" s="6" t="n">
        <v>0</v>
      </c>
      <c r="M1046" s="6" t="n">
        <v>0</v>
      </c>
      <c r="N1046" s="6" t="n">
        <v>-244.2</v>
      </c>
    </row>
    <row r="1047" customFormat="false" ht="15" hidden="false" customHeight="false" outlineLevel="0" collapsed="false">
      <c r="A1047" s="6" t="s">
        <v>43</v>
      </c>
      <c r="B1047" s="6" t="s">
        <v>43</v>
      </c>
      <c r="C1047" s="6" t="s">
        <v>54</v>
      </c>
      <c r="D1047" s="6" t="s">
        <v>113</v>
      </c>
      <c r="E1047" s="6" t="s">
        <v>58</v>
      </c>
      <c r="F1047" s="6" t="s">
        <v>60</v>
      </c>
      <c r="G1047" s="6" t="n">
        <v>16</v>
      </c>
      <c r="H1047" s="6" t="n">
        <v>1722200</v>
      </c>
      <c r="I1047" s="6" t="n">
        <v>930500</v>
      </c>
      <c r="J1047" s="6" t="n">
        <v>724300</v>
      </c>
      <c r="K1047" s="6" t="n">
        <v>-998000</v>
      </c>
      <c r="L1047" s="6" t="n">
        <v>0</v>
      </c>
      <c r="M1047" s="6" t="n">
        <v>0</v>
      </c>
      <c r="N1047" s="6" t="n">
        <v>-902.5</v>
      </c>
    </row>
    <row r="1048" customFormat="false" ht="15" hidden="false" customHeight="false" outlineLevel="0" collapsed="false">
      <c r="A1048" s="6" t="s">
        <v>43</v>
      </c>
      <c r="B1048" s="6" t="s">
        <v>43</v>
      </c>
      <c r="C1048" s="6" t="s">
        <v>54</v>
      </c>
      <c r="D1048" s="6" t="s">
        <v>113</v>
      </c>
      <c r="E1048" s="6" t="s">
        <v>60</v>
      </c>
      <c r="F1048" s="6" t="s">
        <v>58</v>
      </c>
      <c r="G1048" s="6" t="n">
        <v>9</v>
      </c>
      <c r="H1048" s="6" t="n">
        <v>1441100</v>
      </c>
      <c r="I1048" s="6" t="n">
        <v>894900</v>
      </c>
      <c r="J1048" s="6" t="n">
        <v>447400</v>
      </c>
      <c r="K1048" s="6" t="n">
        <v>-993600</v>
      </c>
      <c r="L1048" s="6" t="n">
        <v>0</v>
      </c>
      <c r="M1048" s="6" t="n">
        <v>0</v>
      </c>
      <c r="N1048" s="6" t="n">
        <v>-603.4</v>
      </c>
    </row>
    <row r="1049" customFormat="false" ht="15" hidden="false" customHeight="false" outlineLevel="0" collapsed="false">
      <c r="A1049" s="6" t="s">
        <v>43</v>
      </c>
      <c r="B1049" s="6" t="s">
        <v>43</v>
      </c>
      <c r="C1049" s="6" t="s">
        <v>54</v>
      </c>
      <c r="D1049" s="6" t="s">
        <v>113</v>
      </c>
      <c r="E1049" s="6" t="s">
        <v>60</v>
      </c>
      <c r="F1049" s="6" t="s">
        <v>60</v>
      </c>
      <c r="G1049" s="6" t="n">
        <v>10</v>
      </c>
      <c r="H1049" s="6" t="n">
        <v>1031700</v>
      </c>
      <c r="I1049" s="6" t="n">
        <v>475500</v>
      </c>
      <c r="J1049" s="6" t="n">
        <v>496000</v>
      </c>
      <c r="K1049" s="6" t="n">
        <v>-535900</v>
      </c>
      <c r="L1049" s="6" t="n">
        <v>0</v>
      </c>
      <c r="M1049" s="6" t="n">
        <v>0</v>
      </c>
      <c r="N1049" s="6" t="n">
        <v>-501.4</v>
      </c>
    </row>
    <row r="1050" customFormat="false" ht="15" hidden="false" customHeight="false" outlineLevel="0" collapsed="false">
      <c r="A1050" s="6" t="s">
        <v>43</v>
      </c>
      <c r="B1050" s="6" t="s">
        <v>43</v>
      </c>
      <c r="C1050" s="6" t="s">
        <v>54</v>
      </c>
      <c r="D1050" s="6" t="s">
        <v>114</v>
      </c>
      <c r="E1050" s="6" t="s">
        <v>58</v>
      </c>
      <c r="F1050" s="6" t="s">
        <v>58</v>
      </c>
      <c r="G1050" s="6" t="n">
        <v>7</v>
      </c>
      <c r="H1050" s="6" t="n">
        <v>1100400</v>
      </c>
      <c r="I1050" s="6" t="n">
        <v>393700</v>
      </c>
      <c r="J1050" s="6" t="n">
        <v>329000</v>
      </c>
      <c r="K1050" s="6" t="n">
        <v>-771300</v>
      </c>
      <c r="L1050" s="6" t="n">
        <v>0</v>
      </c>
      <c r="M1050" s="6" t="n">
        <v>0</v>
      </c>
      <c r="N1050" s="6" t="n">
        <v>-483.1</v>
      </c>
    </row>
    <row r="1051" customFormat="false" ht="15" hidden="false" customHeight="false" outlineLevel="0" collapsed="false">
      <c r="A1051" s="6" t="s">
        <v>43</v>
      </c>
      <c r="B1051" s="6" t="s">
        <v>43</v>
      </c>
      <c r="C1051" s="6" t="s">
        <v>54</v>
      </c>
      <c r="D1051" s="6" t="s">
        <v>114</v>
      </c>
      <c r="E1051" s="6" t="s">
        <v>58</v>
      </c>
      <c r="F1051" s="6" t="s">
        <v>60</v>
      </c>
      <c r="G1051" s="6" t="n">
        <v>12</v>
      </c>
      <c r="H1051" s="6" t="n">
        <v>1276100</v>
      </c>
      <c r="I1051" s="6" t="n">
        <v>331100</v>
      </c>
      <c r="J1051" s="6" t="n">
        <v>516300</v>
      </c>
      <c r="K1051" s="6" t="n">
        <v>-759700</v>
      </c>
      <c r="L1051" s="6" t="n">
        <v>0</v>
      </c>
      <c r="M1051" s="6" t="n">
        <v>0</v>
      </c>
      <c r="N1051" s="6" t="n">
        <v>-706.6</v>
      </c>
    </row>
    <row r="1052" customFormat="false" ht="15" hidden="false" customHeight="false" outlineLevel="0" collapsed="false">
      <c r="A1052" s="6" t="s">
        <v>43</v>
      </c>
      <c r="B1052" s="6" t="s">
        <v>43</v>
      </c>
      <c r="C1052" s="6" t="s">
        <v>54</v>
      </c>
      <c r="D1052" s="6" t="s">
        <v>114</v>
      </c>
      <c r="E1052" s="6" t="s">
        <v>60</v>
      </c>
      <c r="F1052" s="6" t="s">
        <v>58</v>
      </c>
      <c r="G1052" s="6" t="n">
        <v>5</v>
      </c>
      <c r="H1052" s="6" t="n">
        <v>812000</v>
      </c>
      <c r="I1052" s="6" t="n">
        <v>417100</v>
      </c>
      <c r="J1052" s="6" t="n">
        <v>223300</v>
      </c>
      <c r="K1052" s="6" t="n">
        <v>-588500</v>
      </c>
      <c r="L1052" s="6" t="n">
        <v>0</v>
      </c>
      <c r="M1052" s="6" t="n">
        <v>0</v>
      </c>
      <c r="N1052" s="6" t="n">
        <v>-348.2</v>
      </c>
    </row>
    <row r="1053" customFormat="false" ht="15" hidden="false" customHeight="false" outlineLevel="0" collapsed="false">
      <c r="A1053" s="6" t="s">
        <v>43</v>
      </c>
      <c r="B1053" s="6" t="s">
        <v>43</v>
      </c>
      <c r="C1053" s="6" t="s">
        <v>54</v>
      </c>
      <c r="D1053" s="6" t="s">
        <v>114</v>
      </c>
      <c r="E1053" s="6" t="s">
        <v>60</v>
      </c>
      <c r="F1053" s="6" t="s">
        <v>60</v>
      </c>
      <c r="G1053" s="6" t="n">
        <v>5</v>
      </c>
      <c r="H1053" s="6" t="n">
        <v>530300</v>
      </c>
      <c r="I1053" s="6" t="n">
        <v>219900</v>
      </c>
      <c r="J1053" s="6" t="n">
        <v>291500</v>
      </c>
      <c r="K1053" s="6" t="n">
        <v>-238800</v>
      </c>
      <c r="L1053" s="6" t="n">
        <v>1</v>
      </c>
      <c r="M1053" s="6" t="n">
        <v>0</v>
      </c>
      <c r="N1053" s="6" t="n">
        <v>-200.3</v>
      </c>
    </row>
    <row r="1054" customFormat="false" ht="15" hidden="false" customHeight="false" outlineLevel="0" collapsed="false">
      <c r="A1054" s="6" t="s">
        <v>43</v>
      </c>
      <c r="B1054" s="6" t="s">
        <v>43</v>
      </c>
      <c r="C1054" s="6" t="s">
        <v>50</v>
      </c>
      <c r="D1054" s="6" t="s">
        <v>111</v>
      </c>
      <c r="E1054" s="6" t="s">
        <v>58</v>
      </c>
      <c r="F1054" s="6" t="s">
        <v>58</v>
      </c>
      <c r="G1054" s="6" t="n">
        <v>2</v>
      </c>
      <c r="H1054" s="6" t="n">
        <v>320800</v>
      </c>
      <c r="I1054" s="6" t="n">
        <v>234400</v>
      </c>
      <c r="J1054" s="6" t="n">
        <v>153700</v>
      </c>
      <c r="K1054" s="6" t="n">
        <v>-167100</v>
      </c>
      <c r="L1054" s="6" t="n">
        <v>0</v>
      </c>
      <c r="M1054" s="6" t="n">
        <v>0</v>
      </c>
      <c r="N1054" s="6" t="n">
        <v>-103</v>
      </c>
    </row>
    <row r="1055" customFormat="false" ht="15" hidden="false" customHeight="false" outlineLevel="0" collapsed="false">
      <c r="A1055" s="6" t="s">
        <v>43</v>
      </c>
      <c r="B1055" s="6" t="s">
        <v>43</v>
      </c>
      <c r="C1055" s="6" t="s">
        <v>50</v>
      </c>
      <c r="D1055" s="6" t="s">
        <v>111</v>
      </c>
      <c r="E1055" s="6" t="s">
        <v>58</v>
      </c>
      <c r="F1055" s="6" t="s">
        <v>60</v>
      </c>
      <c r="G1055" s="6" t="n">
        <v>2</v>
      </c>
      <c r="H1055" s="6" t="n">
        <v>273000</v>
      </c>
      <c r="I1055" s="6" t="n">
        <v>178900</v>
      </c>
      <c r="J1055" s="6" t="n">
        <v>195200</v>
      </c>
      <c r="K1055" s="6" t="n">
        <v>-77900</v>
      </c>
      <c r="L1055" s="6" t="n">
        <v>0</v>
      </c>
      <c r="M1055" s="6" t="n">
        <v>0</v>
      </c>
      <c r="N1055" s="6" t="n">
        <v>-56.6</v>
      </c>
    </row>
    <row r="1056" customFormat="false" ht="15" hidden="false" customHeight="false" outlineLevel="0" collapsed="false">
      <c r="A1056" s="6" t="s">
        <v>43</v>
      </c>
      <c r="B1056" s="6" t="s">
        <v>43</v>
      </c>
      <c r="C1056" s="6" t="s">
        <v>50</v>
      </c>
      <c r="D1056" s="6" t="s">
        <v>111</v>
      </c>
      <c r="E1056" s="6" t="s">
        <v>60</v>
      </c>
      <c r="F1056" s="6" t="s">
        <v>58</v>
      </c>
      <c r="G1056" s="6" t="n">
        <v>2</v>
      </c>
      <c r="H1056" s="6" t="n">
        <v>378700</v>
      </c>
      <c r="I1056" s="6" t="n">
        <v>221300</v>
      </c>
      <c r="J1056" s="6" t="n">
        <v>112200</v>
      </c>
      <c r="K1056" s="6" t="n">
        <v>-266500</v>
      </c>
      <c r="L1056" s="6" t="n">
        <v>0</v>
      </c>
      <c r="M1056" s="6" t="n">
        <v>0</v>
      </c>
      <c r="N1056" s="6" t="n">
        <v>-139.4</v>
      </c>
    </row>
    <row r="1057" customFormat="false" ht="15" hidden="false" customHeight="false" outlineLevel="0" collapsed="false">
      <c r="A1057" s="6" t="s">
        <v>43</v>
      </c>
      <c r="B1057" s="6" t="s">
        <v>43</v>
      </c>
      <c r="C1057" s="6" t="s">
        <v>50</v>
      </c>
      <c r="D1057" s="6" t="s">
        <v>111</v>
      </c>
      <c r="E1057" s="6" t="s">
        <v>60</v>
      </c>
      <c r="F1057" s="6" t="s">
        <v>60</v>
      </c>
      <c r="G1057" s="6" t="n">
        <v>7</v>
      </c>
      <c r="H1057" s="6" t="n">
        <v>969300</v>
      </c>
      <c r="I1057" s="6" t="n">
        <v>566700</v>
      </c>
      <c r="J1057" s="6" t="n">
        <v>913100</v>
      </c>
      <c r="K1057" s="6" t="n">
        <v>-56300</v>
      </c>
      <c r="L1057" s="6" t="n">
        <v>4</v>
      </c>
      <c r="M1057" s="6" t="n">
        <v>0</v>
      </c>
      <c r="N1057" s="6" t="n">
        <v>-41.7</v>
      </c>
    </row>
    <row r="1058" customFormat="false" ht="15" hidden="false" customHeight="false" outlineLevel="0" collapsed="false">
      <c r="A1058" s="6" t="s">
        <v>43</v>
      </c>
      <c r="B1058" s="6" t="s">
        <v>43</v>
      </c>
      <c r="C1058" s="6" t="s">
        <v>50</v>
      </c>
      <c r="D1058" s="6" t="s">
        <v>112</v>
      </c>
      <c r="E1058" s="6" t="s">
        <v>58</v>
      </c>
      <c r="F1058" s="6" t="s">
        <v>58</v>
      </c>
      <c r="G1058" s="6" t="n">
        <v>4</v>
      </c>
      <c r="H1058" s="6" t="n">
        <v>836300</v>
      </c>
      <c r="I1058" s="6" t="n">
        <v>353500</v>
      </c>
      <c r="J1058" s="6" t="n">
        <v>506100</v>
      </c>
      <c r="K1058" s="6" t="n">
        <v>-330100</v>
      </c>
      <c r="L1058" s="6" t="n">
        <v>0</v>
      </c>
      <c r="M1058" s="6" t="n">
        <v>0</v>
      </c>
      <c r="N1058" s="6" t="n">
        <v>-156.6</v>
      </c>
    </row>
    <row r="1059" customFormat="false" ht="15" hidden="false" customHeight="false" outlineLevel="0" collapsed="false">
      <c r="A1059" s="6" t="s">
        <v>43</v>
      </c>
      <c r="B1059" s="6" t="s">
        <v>43</v>
      </c>
      <c r="C1059" s="6" t="s">
        <v>50</v>
      </c>
      <c r="D1059" s="6" t="s">
        <v>112</v>
      </c>
      <c r="E1059" s="6" t="s">
        <v>58</v>
      </c>
      <c r="F1059" s="6" t="s">
        <v>60</v>
      </c>
      <c r="G1059" s="6" t="n">
        <v>13</v>
      </c>
      <c r="H1059" s="6" t="n">
        <v>2303300</v>
      </c>
      <c r="I1059" s="6" t="n">
        <v>1135100</v>
      </c>
      <c r="J1059" s="6" t="n">
        <v>1490700</v>
      </c>
      <c r="K1059" s="6" t="n">
        <v>-812600</v>
      </c>
      <c r="L1059" s="6" t="n">
        <v>1</v>
      </c>
      <c r="M1059" s="6" t="n">
        <v>0</v>
      </c>
      <c r="N1059" s="6" t="n">
        <v>-445.3</v>
      </c>
    </row>
    <row r="1060" customFormat="false" ht="15" hidden="false" customHeight="false" outlineLevel="0" collapsed="false">
      <c r="A1060" s="6" t="s">
        <v>43</v>
      </c>
      <c r="B1060" s="6" t="s">
        <v>43</v>
      </c>
      <c r="C1060" s="6" t="s">
        <v>50</v>
      </c>
      <c r="D1060" s="6" t="s">
        <v>112</v>
      </c>
      <c r="E1060" s="6" t="s">
        <v>60</v>
      </c>
      <c r="F1060" s="6" t="s">
        <v>58</v>
      </c>
      <c r="G1060" s="6" t="n">
        <v>1</v>
      </c>
      <c r="H1060" s="6" t="n">
        <v>177200</v>
      </c>
      <c r="I1060" s="6" t="n">
        <v>0</v>
      </c>
      <c r="J1060" s="6" t="n">
        <v>76200</v>
      </c>
      <c r="K1060" s="6" t="n">
        <v>-101000</v>
      </c>
      <c r="L1060" s="6" t="n">
        <v>0</v>
      </c>
      <c r="M1060" s="6" t="n">
        <v>0</v>
      </c>
      <c r="N1060" s="6" t="n">
        <v>-57</v>
      </c>
    </row>
    <row r="1061" customFormat="false" ht="15" hidden="false" customHeight="false" outlineLevel="0" collapsed="false">
      <c r="A1061" s="6" t="s">
        <v>43</v>
      </c>
      <c r="B1061" s="6" t="s">
        <v>43</v>
      </c>
      <c r="C1061" s="6" t="s">
        <v>50</v>
      </c>
      <c r="D1061" s="6" t="s">
        <v>112</v>
      </c>
      <c r="E1061" s="6" t="s">
        <v>60</v>
      </c>
      <c r="F1061" s="6" t="s">
        <v>60</v>
      </c>
      <c r="G1061" s="6" t="n">
        <v>7</v>
      </c>
      <c r="H1061" s="6" t="n">
        <v>1026200</v>
      </c>
      <c r="I1061" s="6" t="n">
        <v>464400</v>
      </c>
      <c r="J1061" s="6" t="n">
        <v>1230900</v>
      </c>
      <c r="K1061" s="6" t="n">
        <v>204700</v>
      </c>
      <c r="L1061" s="6" t="n">
        <v>5</v>
      </c>
      <c r="M1061" s="6" t="n">
        <v>0</v>
      </c>
      <c r="N1061" s="6" t="n">
        <v>149.8</v>
      </c>
    </row>
    <row r="1062" customFormat="false" ht="15" hidden="false" customHeight="false" outlineLevel="0" collapsed="false">
      <c r="A1062" s="6" t="s">
        <v>43</v>
      </c>
      <c r="B1062" s="6" t="s">
        <v>43</v>
      </c>
      <c r="C1062" s="6" t="s">
        <v>50</v>
      </c>
      <c r="D1062" s="6" t="s">
        <v>113</v>
      </c>
      <c r="E1062" s="6" t="s">
        <v>58</v>
      </c>
      <c r="F1062" s="6" t="s">
        <v>58</v>
      </c>
      <c r="G1062" s="6" t="n">
        <v>6</v>
      </c>
      <c r="H1062" s="6" t="n">
        <v>1282300</v>
      </c>
      <c r="I1062" s="6" t="n">
        <v>585800</v>
      </c>
      <c r="J1062" s="6" t="n">
        <v>675100</v>
      </c>
      <c r="K1062" s="6" t="n">
        <v>-607300</v>
      </c>
      <c r="L1062" s="6" t="n">
        <v>0</v>
      </c>
      <c r="M1062" s="6" t="n">
        <v>0</v>
      </c>
      <c r="N1062" s="6" t="n">
        <v>-261.6</v>
      </c>
    </row>
    <row r="1063" customFormat="false" ht="15" hidden="false" customHeight="false" outlineLevel="0" collapsed="false">
      <c r="A1063" s="6" t="s">
        <v>43</v>
      </c>
      <c r="B1063" s="6" t="s">
        <v>43</v>
      </c>
      <c r="C1063" s="6" t="s">
        <v>50</v>
      </c>
      <c r="D1063" s="6" t="s">
        <v>113</v>
      </c>
      <c r="E1063" s="6" t="s">
        <v>58</v>
      </c>
      <c r="F1063" s="6" t="s">
        <v>60</v>
      </c>
      <c r="G1063" s="6" t="n">
        <v>12</v>
      </c>
      <c r="H1063" s="6" t="n">
        <v>1722500</v>
      </c>
      <c r="I1063" s="6" t="n">
        <v>700100</v>
      </c>
      <c r="J1063" s="6" t="n">
        <v>1270800</v>
      </c>
      <c r="K1063" s="6" t="n">
        <v>-451700</v>
      </c>
      <c r="L1063" s="6" t="n">
        <v>2</v>
      </c>
      <c r="M1063" s="6" t="n">
        <v>0</v>
      </c>
      <c r="N1063" s="6" t="n">
        <v>-294</v>
      </c>
    </row>
    <row r="1064" customFormat="false" ht="15" hidden="false" customHeight="false" outlineLevel="0" collapsed="false">
      <c r="A1064" s="6" t="s">
        <v>43</v>
      </c>
      <c r="B1064" s="6" t="s">
        <v>43</v>
      </c>
      <c r="C1064" s="6" t="s">
        <v>50</v>
      </c>
      <c r="D1064" s="6" t="s">
        <v>113</v>
      </c>
      <c r="E1064" s="6" t="s">
        <v>60</v>
      </c>
      <c r="F1064" s="6" t="s">
        <v>58</v>
      </c>
      <c r="G1064" s="6" t="n">
        <v>4</v>
      </c>
      <c r="H1064" s="6" t="n">
        <v>889200</v>
      </c>
      <c r="I1064" s="6" t="n">
        <v>299900</v>
      </c>
      <c r="J1064" s="6" t="n">
        <v>399800</v>
      </c>
      <c r="K1064" s="6" t="n">
        <v>-489200</v>
      </c>
      <c r="L1064" s="6" t="n">
        <v>0</v>
      </c>
      <c r="M1064" s="6" t="n">
        <v>0</v>
      </c>
      <c r="N1064" s="6" t="n">
        <v>-217.1</v>
      </c>
    </row>
    <row r="1065" customFormat="false" ht="15" hidden="false" customHeight="false" outlineLevel="0" collapsed="false">
      <c r="A1065" s="6" t="s">
        <v>43</v>
      </c>
      <c r="B1065" s="6" t="s">
        <v>43</v>
      </c>
      <c r="C1065" s="6" t="s">
        <v>50</v>
      </c>
      <c r="D1065" s="6" t="s">
        <v>113</v>
      </c>
      <c r="E1065" s="6" t="s">
        <v>60</v>
      </c>
      <c r="F1065" s="6" t="s">
        <v>60</v>
      </c>
      <c r="G1065" s="6" t="n">
        <v>6</v>
      </c>
      <c r="H1065" s="6" t="n">
        <v>775800</v>
      </c>
      <c r="I1065" s="6" t="n">
        <v>216900</v>
      </c>
      <c r="J1065" s="6" t="n">
        <v>639100</v>
      </c>
      <c r="K1065" s="6" t="n">
        <v>-136700</v>
      </c>
      <c r="L1065" s="6" t="n">
        <v>2</v>
      </c>
      <c r="M1065" s="6" t="n">
        <v>0</v>
      </c>
      <c r="N1065" s="6" t="n">
        <v>-59.5</v>
      </c>
    </row>
    <row r="1066" customFormat="false" ht="15" hidden="false" customHeight="false" outlineLevel="0" collapsed="false">
      <c r="A1066" s="6" t="s">
        <v>43</v>
      </c>
      <c r="B1066" s="6" t="s">
        <v>43</v>
      </c>
      <c r="C1066" s="6" t="s">
        <v>50</v>
      </c>
      <c r="D1066" s="6" t="s">
        <v>114</v>
      </c>
      <c r="E1066" s="6" t="s">
        <v>58</v>
      </c>
      <c r="F1066" s="6" t="s">
        <v>58</v>
      </c>
      <c r="G1066" s="6" t="n">
        <v>3</v>
      </c>
      <c r="H1066" s="6" t="n">
        <v>614600</v>
      </c>
      <c r="I1066" s="6" t="n">
        <v>401300</v>
      </c>
      <c r="J1066" s="6" t="n">
        <v>387600</v>
      </c>
      <c r="K1066" s="6" t="n">
        <v>-227000</v>
      </c>
      <c r="L1066" s="6" t="n">
        <v>0</v>
      </c>
      <c r="M1066" s="6" t="n">
        <v>0</v>
      </c>
      <c r="N1066" s="6" t="n">
        <v>-117.3</v>
      </c>
    </row>
    <row r="1067" customFormat="false" ht="15" hidden="false" customHeight="false" outlineLevel="0" collapsed="false">
      <c r="A1067" s="6" t="s">
        <v>43</v>
      </c>
      <c r="B1067" s="6" t="s">
        <v>43</v>
      </c>
      <c r="C1067" s="6" t="s">
        <v>50</v>
      </c>
      <c r="D1067" s="6" t="s">
        <v>114</v>
      </c>
      <c r="E1067" s="6" t="s">
        <v>58</v>
      </c>
      <c r="F1067" s="6" t="s">
        <v>60</v>
      </c>
      <c r="G1067" s="6" t="n">
        <v>4</v>
      </c>
      <c r="H1067" s="6" t="n">
        <v>648700</v>
      </c>
      <c r="I1067" s="6" t="n">
        <v>194700</v>
      </c>
      <c r="J1067" s="6" t="n">
        <v>398800</v>
      </c>
      <c r="K1067" s="6" t="n">
        <v>-250000</v>
      </c>
      <c r="L1067" s="6" t="n">
        <v>0</v>
      </c>
      <c r="M1067" s="6" t="n">
        <v>0</v>
      </c>
      <c r="N1067" s="6" t="n">
        <v>-160</v>
      </c>
    </row>
    <row r="1068" customFormat="false" ht="15" hidden="false" customHeight="false" outlineLevel="0" collapsed="false">
      <c r="A1068" s="6" t="s">
        <v>43</v>
      </c>
      <c r="B1068" s="6" t="s">
        <v>43</v>
      </c>
      <c r="C1068" s="6" t="s">
        <v>50</v>
      </c>
      <c r="D1068" s="6" t="s">
        <v>114</v>
      </c>
      <c r="E1068" s="6" t="s">
        <v>60</v>
      </c>
      <c r="F1068" s="6" t="s">
        <v>58</v>
      </c>
      <c r="G1068" s="6" t="n">
        <v>1</v>
      </c>
      <c r="H1068" s="6" t="n">
        <v>209600</v>
      </c>
      <c r="I1068" s="6" t="n">
        <v>0</v>
      </c>
      <c r="J1068" s="6" t="n">
        <v>145900</v>
      </c>
      <c r="K1068" s="6" t="n">
        <v>-63600</v>
      </c>
      <c r="L1068" s="6" t="n">
        <v>0</v>
      </c>
      <c r="M1068" s="6" t="n">
        <v>0</v>
      </c>
      <c r="N1068" s="6" t="n">
        <v>-30.4</v>
      </c>
    </row>
    <row r="1069" customFormat="false" ht="15" hidden="false" customHeight="false" outlineLevel="0" collapsed="false">
      <c r="A1069" s="6" t="s">
        <v>43</v>
      </c>
      <c r="B1069" s="6" t="s">
        <v>43</v>
      </c>
      <c r="C1069" s="6" t="s">
        <v>50</v>
      </c>
      <c r="D1069" s="6" t="s">
        <v>114</v>
      </c>
      <c r="E1069" s="6" t="s">
        <v>60</v>
      </c>
      <c r="F1069" s="6" t="s">
        <v>60</v>
      </c>
      <c r="G1069" s="6" t="n">
        <v>6</v>
      </c>
      <c r="H1069" s="6" t="n">
        <v>869800</v>
      </c>
      <c r="I1069" s="6" t="n">
        <v>343500</v>
      </c>
      <c r="J1069" s="6" t="n">
        <v>780700</v>
      </c>
      <c r="K1069" s="6" t="n">
        <v>-89200</v>
      </c>
      <c r="L1069" s="6" t="n">
        <v>3</v>
      </c>
      <c r="M1069" s="6" t="n">
        <v>0</v>
      </c>
      <c r="N1069" s="6" t="n">
        <v>-33.1</v>
      </c>
    </row>
    <row r="1070" customFormat="false" ht="15" hidden="false" customHeight="false" outlineLevel="0" collapsed="false">
      <c r="A1070" s="6" t="s">
        <v>43</v>
      </c>
      <c r="B1070" s="6" t="s">
        <v>43</v>
      </c>
      <c r="C1070" s="6" t="s">
        <v>52</v>
      </c>
      <c r="D1070" s="6" t="s">
        <v>111</v>
      </c>
      <c r="E1070" s="6" t="s">
        <v>58</v>
      </c>
      <c r="F1070" s="6" t="s">
        <v>58</v>
      </c>
      <c r="G1070" s="6" t="n">
        <v>22</v>
      </c>
      <c r="H1070" s="6" t="n">
        <v>2384700</v>
      </c>
      <c r="I1070" s="6" t="n">
        <v>859000</v>
      </c>
      <c r="J1070" s="6" t="n">
        <v>1413800</v>
      </c>
      <c r="K1070" s="6" t="n">
        <v>-971000</v>
      </c>
      <c r="L1070" s="6" t="n">
        <v>2</v>
      </c>
      <c r="M1070" s="6" t="n">
        <v>0</v>
      </c>
      <c r="N1070" s="6" t="n">
        <v>-802.3</v>
      </c>
    </row>
    <row r="1071" customFormat="false" ht="15" hidden="false" customHeight="false" outlineLevel="0" collapsed="false">
      <c r="A1071" s="6" t="s">
        <v>43</v>
      </c>
      <c r="B1071" s="6" t="s">
        <v>43</v>
      </c>
      <c r="C1071" s="6" t="s">
        <v>52</v>
      </c>
      <c r="D1071" s="6" t="s">
        <v>111</v>
      </c>
      <c r="E1071" s="6" t="s">
        <v>58</v>
      </c>
      <c r="F1071" s="6" t="s">
        <v>60</v>
      </c>
      <c r="G1071" s="6" t="n">
        <v>47</v>
      </c>
      <c r="H1071" s="6" t="n">
        <v>3553100</v>
      </c>
      <c r="I1071" s="6" t="n">
        <v>1565300</v>
      </c>
      <c r="J1071" s="6" t="n">
        <v>3829200</v>
      </c>
      <c r="K1071" s="6" t="n">
        <v>276700</v>
      </c>
      <c r="L1071" s="6" t="n">
        <v>26</v>
      </c>
      <c r="M1071" s="6" t="n">
        <v>0</v>
      </c>
      <c r="N1071" s="6" t="n">
        <v>541</v>
      </c>
    </row>
    <row r="1072" customFormat="false" ht="15" hidden="false" customHeight="false" outlineLevel="0" collapsed="false">
      <c r="A1072" s="6" t="s">
        <v>43</v>
      </c>
      <c r="B1072" s="6" t="s">
        <v>43</v>
      </c>
      <c r="C1072" s="6" t="s">
        <v>52</v>
      </c>
      <c r="D1072" s="6" t="s">
        <v>111</v>
      </c>
      <c r="E1072" s="6" t="s">
        <v>60</v>
      </c>
      <c r="F1072" s="6" t="s">
        <v>58</v>
      </c>
      <c r="G1072" s="6" t="n">
        <v>8</v>
      </c>
      <c r="H1072" s="6" t="n">
        <v>794400</v>
      </c>
      <c r="I1072" s="6" t="n">
        <v>468400</v>
      </c>
      <c r="J1072" s="6" t="n">
        <v>445300</v>
      </c>
      <c r="K1072" s="6" t="n">
        <v>-349500</v>
      </c>
      <c r="L1072" s="6" t="n">
        <v>0</v>
      </c>
      <c r="M1072" s="6" t="n">
        <v>0</v>
      </c>
      <c r="N1072" s="6" t="n">
        <v>-342.9</v>
      </c>
    </row>
    <row r="1073" customFormat="false" ht="15" hidden="false" customHeight="false" outlineLevel="0" collapsed="false">
      <c r="A1073" s="6" t="s">
        <v>43</v>
      </c>
      <c r="B1073" s="6" t="s">
        <v>43</v>
      </c>
      <c r="C1073" s="6" t="s">
        <v>52</v>
      </c>
      <c r="D1073" s="6" t="s">
        <v>111</v>
      </c>
      <c r="E1073" s="6" t="s">
        <v>60</v>
      </c>
      <c r="F1073" s="6" t="s">
        <v>60</v>
      </c>
      <c r="G1073" s="6" t="n">
        <v>31</v>
      </c>
      <c r="H1073" s="6" t="n">
        <v>2426800</v>
      </c>
      <c r="I1073" s="6" t="n">
        <v>1029700</v>
      </c>
      <c r="J1073" s="6" t="n">
        <v>2662300</v>
      </c>
      <c r="K1073" s="6" t="n">
        <v>235600</v>
      </c>
      <c r="L1073" s="6" t="n">
        <v>18</v>
      </c>
      <c r="M1073" s="6" t="n">
        <v>0</v>
      </c>
      <c r="N1073" s="6" t="n">
        <v>426.7</v>
      </c>
    </row>
    <row r="1074" customFormat="false" ht="15" hidden="false" customHeight="false" outlineLevel="0" collapsed="false">
      <c r="A1074" s="6" t="s">
        <v>43</v>
      </c>
      <c r="B1074" s="6" t="s">
        <v>43</v>
      </c>
      <c r="C1074" s="6" t="s">
        <v>52</v>
      </c>
      <c r="D1074" s="6" t="s">
        <v>112</v>
      </c>
      <c r="E1074" s="6" t="s">
        <v>58</v>
      </c>
      <c r="F1074" s="6" t="s">
        <v>58</v>
      </c>
      <c r="G1074" s="6" t="n">
        <v>26</v>
      </c>
      <c r="H1074" s="6" t="n">
        <v>2692300</v>
      </c>
      <c r="I1074" s="6" t="n">
        <v>790900</v>
      </c>
      <c r="J1074" s="6" t="n">
        <v>2006800</v>
      </c>
      <c r="K1074" s="6" t="n">
        <v>-685200</v>
      </c>
      <c r="L1074" s="6" t="n">
        <v>6</v>
      </c>
      <c r="M1074" s="6" t="n">
        <v>0</v>
      </c>
      <c r="N1074" s="6" t="n">
        <v>-557.9</v>
      </c>
    </row>
    <row r="1075" customFormat="false" ht="15" hidden="false" customHeight="false" outlineLevel="0" collapsed="false">
      <c r="A1075" s="6" t="s">
        <v>43</v>
      </c>
      <c r="B1075" s="6" t="s">
        <v>43</v>
      </c>
      <c r="C1075" s="6" t="s">
        <v>52</v>
      </c>
      <c r="D1075" s="6" t="s">
        <v>112</v>
      </c>
      <c r="E1075" s="6" t="s">
        <v>58</v>
      </c>
      <c r="F1075" s="6" t="s">
        <v>60</v>
      </c>
      <c r="G1075" s="6" t="n">
        <v>48</v>
      </c>
      <c r="H1075" s="6" t="n">
        <v>3664500</v>
      </c>
      <c r="I1075" s="6" t="n">
        <v>1880600</v>
      </c>
      <c r="J1075" s="6" t="n">
        <v>3947500</v>
      </c>
      <c r="K1075" s="6" t="n">
        <v>283000</v>
      </c>
      <c r="L1075" s="6" t="n">
        <v>25</v>
      </c>
      <c r="M1075" s="6" t="n">
        <v>0</v>
      </c>
      <c r="N1075" s="6" t="n">
        <v>560.2</v>
      </c>
    </row>
    <row r="1076" customFormat="false" ht="15" hidden="false" customHeight="false" outlineLevel="0" collapsed="false">
      <c r="A1076" s="6" t="s">
        <v>43</v>
      </c>
      <c r="B1076" s="6" t="s">
        <v>43</v>
      </c>
      <c r="C1076" s="6" t="s">
        <v>52</v>
      </c>
      <c r="D1076" s="6" t="s">
        <v>112</v>
      </c>
      <c r="E1076" s="6" t="s">
        <v>60</v>
      </c>
      <c r="F1076" s="6" t="s">
        <v>58</v>
      </c>
      <c r="G1076" s="6" t="n">
        <v>16</v>
      </c>
      <c r="H1076" s="6" t="n">
        <v>1648500</v>
      </c>
      <c r="I1076" s="6" t="n">
        <v>738600</v>
      </c>
      <c r="J1076" s="6" t="n">
        <v>1067900</v>
      </c>
      <c r="K1076" s="6" t="n">
        <v>-580800</v>
      </c>
      <c r="L1076" s="6" t="n">
        <v>3</v>
      </c>
      <c r="M1076" s="6" t="n">
        <v>0</v>
      </c>
      <c r="N1076" s="6" t="n">
        <v>-517.6</v>
      </c>
    </row>
    <row r="1077" customFormat="false" ht="15" hidden="false" customHeight="false" outlineLevel="0" collapsed="false">
      <c r="A1077" s="6" t="s">
        <v>43</v>
      </c>
      <c r="B1077" s="6" t="s">
        <v>43</v>
      </c>
      <c r="C1077" s="6" t="s">
        <v>52</v>
      </c>
      <c r="D1077" s="6" t="s">
        <v>112</v>
      </c>
      <c r="E1077" s="6" t="s">
        <v>60</v>
      </c>
      <c r="F1077" s="6" t="s">
        <v>60</v>
      </c>
      <c r="G1077" s="6" t="n">
        <v>38</v>
      </c>
      <c r="H1077" s="6" t="n">
        <v>2916500</v>
      </c>
      <c r="I1077" s="6" t="n">
        <v>915900</v>
      </c>
      <c r="J1077" s="6" t="n">
        <v>3236600</v>
      </c>
      <c r="K1077" s="6" t="n">
        <v>320000</v>
      </c>
      <c r="L1077" s="6" t="n">
        <v>22</v>
      </c>
      <c r="M1077" s="6" t="n">
        <v>0</v>
      </c>
      <c r="N1077" s="6" t="n">
        <v>512.9</v>
      </c>
    </row>
    <row r="1078" customFormat="false" ht="15" hidden="false" customHeight="false" outlineLevel="0" collapsed="false">
      <c r="A1078" s="6" t="s">
        <v>43</v>
      </c>
      <c r="B1078" s="6" t="s">
        <v>43</v>
      </c>
      <c r="C1078" s="6" t="s">
        <v>52</v>
      </c>
      <c r="D1078" s="6" t="s">
        <v>113</v>
      </c>
      <c r="E1078" s="6" t="s">
        <v>58</v>
      </c>
      <c r="F1078" s="6" t="s">
        <v>58</v>
      </c>
      <c r="G1078" s="6" t="n">
        <v>21</v>
      </c>
      <c r="H1078" s="6" t="n">
        <v>2213900</v>
      </c>
      <c r="I1078" s="6" t="n">
        <v>941400</v>
      </c>
      <c r="J1078" s="6" t="n">
        <v>1348900</v>
      </c>
      <c r="K1078" s="6" t="n">
        <v>-865100</v>
      </c>
      <c r="L1078" s="6" t="n">
        <v>2</v>
      </c>
      <c r="M1078" s="6" t="n">
        <v>0</v>
      </c>
      <c r="N1078" s="6" t="n">
        <v>-770.5</v>
      </c>
    </row>
    <row r="1079" customFormat="false" ht="15" hidden="false" customHeight="false" outlineLevel="0" collapsed="false">
      <c r="A1079" s="6" t="s">
        <v>43</v>
      </c>
      <c r="B1079" s="6" t="s">
        <v>43</v>
      </c>
      <c r="C1079" s="6" t="s">
        <v>52</v>
      </c>
      <c r="D1079" s="6" t="s">
        <v>113</v>
      </c>
      <c r="E1079" s="6" t="s">
        <v>58</v>
      </c>
      <c r="F1079" s="6" t="s">
        <v>60</v>
      </c>
      <c r="G1079" s="6" t="n">
        <v>74</v>
      </c>
      <c r="H1079" s="6" t="n">
        <v>5492000</v>
      </c>
      <c r="I1079" s="6" t="n">
        <v>2274200</v>
      </c>
      <c r="J1079" s="6" t="n">
        <v>5482900</v>
      </c>
      <c r="K1079" s="6" t="n">
        <v>-8200</v>
      </c>
      <c r="L1079" s="6" t="n">
        <v>33</v>
      </c>
      <c r="M1079" s="6" t="n">
        <v>0</v>
      </c>
      <c r="N1079" s="6" t="n">
        <v>169</v>
      </c>
    </row>
    <row r="1080" customFormat="false" ht="15" hidden="false" customHeight="false" outlineLevel="0" collapsed="false">
      <c r="A1080" s="6" t="s">
        <v>43</v>
      </c>
      <c r="B1080" s="6" t="s">
        <v>43</v>
      </c>
      <c r="C1080" s="6" t="s">
        <v>52</v>
      </c>
      <c r="D1080" s="6" t="s">
        <v>113</v>
      </c>
      <c r="E1080" s="6" t="s">
        <v>60</v>
      </c>
      <c r="F1080" s="6" t="s">
        <v>58</v>
      </c>
      <c r="G1080" s="6" t="n">
        <v>17</v>
      </c>
      <c r="H1080" s="6" t="n">
        <v>1811600</v>
      </c>
      <c r="I1080" s="6" t="n">
        <v>607700</v>
      </c>
      <c r="J1080" s="6" t="n">
        <v>1231700</v>
      </c>
      <c r="K1080" s="6" t="n">
        <v>-579800</v>
      </c>
      <c r="L1080" s="6" t="n">
        <v>2</v>
      </c>
      <c r="M1080" s="6" t="n">
        <v>0</v>
      </c>
      <c r="N1080" s="6" t="n">
        <v>-521.6</v>
      </c>
    </row>
    <row r="1081" customFormat="false" ht="15" hidden="false" customHeight="false" outlineLevel="0" collapsed="false">
      <c r="A1081" s="6" t="s">
        <v>43</v>
      </c>
      <c r="B1081" s="6" t="s">
        <v>43</v>
      </c>
      <c r="C1081" s="6" t="s">
        <v>52</v>
      </c>
      <c r="D1081" s="6" t="s">
        <v>113</v>
      </c>
      <c r="E1081" s="6" t="s">
        <v>60</v>
      </c>
      <c r="F1081" s="6" t="s">
        <v>60</v>
      </c>
      <c r="G1081" s="6" t="n">
        <v>40</v>
      </c>
      <c r="H1081" s="6" t="n">
        <v>2984600</v>
      </c>
      <c r="I1081" s="6" t="n">
        <v>1380700</v>
      </c>
      <c r="J1081" s="6" t="n">
        <v>3180800</v>
      </c>
      <c r="K1081" s="6" t="n">
        <v>195800</v>
      </c>
      <c r="L1081" s="6" t="n">
        <v>22</v>
      </c>
      <c r="M1081" s="6" t="n">
        <v>0</v>
      </c>
      <c r="N1081" s="6" t="n">
        <v>291.8</v>
      </c>
    </row>
    <row r="1082" customFormat="false" ht="15" hidden="false" customHeight="false" outlineLevel="0" collapsed="false">
      <c r="A1082" s="6" t="s">
        <v>43</v>
      </c>
      <c r="B1082" s="6" t="s">
        <v>43</v>
      </c>
      <c r="C1082" s="6" t="s">
        <v>52</v>
      </c>
      <c r="D1082" s="6" t="s">
        <v>114</v>
      </c>
      <c r="E1082" s="6" t="s">
        <v>58</v>
      </c>
      <c r="F1082" s="6" t="s">
        <v>58</v>
      </c>
      <c r="G1082" s="6" t="n">
        <v>23</v>
      </c>
      <c r="H1082" s="6" t="n">
        <v>2358800</v>
      </c>
      <c r="I1082" s="6" t="n">
        <v>1251600</v>
      </c>
      <c r="J1082" s="6" t="n">
        <v>1750800</v>
      </c>
      <c r="K1082" s="6" t="n">
        <v>-608100</v>
      </c>
      <c r="L1082" s="6" t="n">
        <v>3</v>
      </c>
      <c r="M1082" s="6" t="n">
        <v>0</v>
      </c>
      <c r="N1082" s="6" t="n">
        <v>-565.1</v>
      </c>
    </row>
    <row r="1083" customFormat="false" ht="15" hidden="false" customHeight="false" outlineLevel="0" collapsed="false">
      <c r="A1083" s="6" t="s">
        <v>43</v>
      </c>
      <c r="B1083" s="6" t="s">
        <v>43</v>
      </c>
      <c r="C1083" s="6" t="s">
        <v>52</v>
      </c>
      <c r="D1083" s="6" t="s">
        <v>114</v>
      </c>
      <c r="E1083" s="6" t="s">
        <v>58</v>
      </c>
      <c r="F1083" s="6" t="s">
        <v>60</v>
      </c>
      <c r="G1083" s="6" t="n">
        <v>47</v>
      </c>
      <c r="H1083" s="6" t="n">
        <v>3614200</v>
      </c>
      <c r="I1083" s="6" t="n">
        <v>1354400</v>
      </c>
      <c r="J1083" s="6" t="n">
        <v>3612200</v>
      </c>
      <c r="K1083" s="6" t="n">
        <v>-2000</v>
      </c>
      <c r="L1083" s="6" t="n">
        <v>19</v>
      </c>
      <c r="M1083" s="6" t="n">
        <v>0</v>
      </c>
      <c r="N1083" s="6" t="n">
        <v>121.2</v>
      </c>
    </row>
    <row r="1084" customFormat="false" ht="15" hidden="false" customHeight="false" outlineLevel="0" collapsed="false">
      <c r="A1084" s="6" t="s">
        <v>43</v>
      </c>
      <c r="B1084" s="6" t="s">
        <v>43</v>
      </c>
      <c r="C1084" s="6" t="s">
        <v>52</v>
      </c>
      <c r="D1084" s="6" t="s">
        <v>114</v>
      </c>
      <c r="E1084" s="6" t="s">
        <v>60</v>
      </c>
      <c r="F1084" s="6" t="s">
        <v>58</v>
      </c>
      <c r="G1084" s="6" t="n">
        <v>13</v>
      </c>
      <c r="H1084" s="6" t="n">
        <v>1422300</v>
      </c>
      <c r="I1084" s="6" t="n">
        <v>632700</v>
      </c>
      <c r="J1084" s="6" t="n">
        <v>913400</v>
      </c>
      <c r="K1084" s="6" t="n">
        <v>-509000</v>
      </c>
      <c r="L1084" s="6" t="n">
        <v>3</v>
      </c>
      <c r="M1084" s="6" t="n">
        <v>0</v>
      </c>
      <c r="N1084" s="6" t="n">
        <v>-422.9</v>
      </c>
    </row>
    <row r="1085" customFormat="false" ht="15" hidden="false" customHeight="false" outlineLevel="0" collapsed="false">
      <c r="A1085" s="6" t="s">
        <v>43</v>
      </c>
      <c r="B1085" s="6" t="s">
        <v>43</v>
      </c>
      <c r="C1085" s="6" t="s">
        <v>52</v>
      </c>
      <c r="D1085" s="6" t="s">
        <v>114</v>
      </c>
      <c r="E1085" s="6" t="s">
        <v>60</v>
      </c>
      <c r="F1085" s="6" t="s">
        <v>60</v>
      </c>
      <c r="G1085" s="6" t="n">
        <v>32</v>
      </c>
      <c r="H1085" s="6" t="n">
        <v>2499200</v>
      </c>
      <c r="I1085" s="6" t="n">
        <v>1028700</v>
      </c>
      <c r="J1085" s="6" t="n">
        <v>2882600</v>
      </c>
      <c r="K1085" s="6" t="n">
        <v>383400</v>
      </c>
      <c r="L1085" s="6" t="n">
        <v>15</v>
      </c>
      <c r="M1085" s="6" t="n">
        <v>0</v>
      </c>
      <c r="N1085" s="6" t="n">
        <v>597.4</v>
      </c>
    </row>
    <row r="1086" customFormat="false" ht="15" hidden="false" customHeight="false" outlineLevel="0" collapsed="false">
      <c r="A1086" s="6" t="s">
        <v>43</v>
      </c>
      <c r="B1086" s="6" t="s">
        <v>43</v>
      </c>
      <c r="C1086" s="6" t="s">
        <v>53</v>
      </c>
      <c r="D1086" s="6" t="s">
        <v>111</v>
      </c>
      <c r="E1086" s="6" t="s">
        <v>58</v>
      </c>
      <c r="F1086" s="6" t="s">
        <v>58</v>
      </c>
      <c r="G1086" s="6" t="n">
        <v>18</v>
      </c>
      <c r="H1086" s="6" t="n">
        <v>1325500</v>
      </c>
      <c r="I1086" s="6" t="n">
        <v>657600</v>
      </c>
      <c r="J1086" s="6" t="n">
        <v>1196200</v>
      </c>
      <c r="K1086" s="6" t="n">
        <v>-129400</v>
      </c>
      <c r="L1086" s="6" t="n">
        <v>7</v>
      </c>
      <c r="M1086" s="6" t="n">
        <v>0</v>
      </c>
      <c r="N1086" s="6" t="n">
        <v>-131.6</v>
      </c>
    </row>
    <row r="1087" customFormat="false" ht="15" hidden="false" customHeight="false" outlineLevel="0" collapsed="false">
      <c r="A1087" s="6" t="s">
        <v>43</v>
      </c>
      <c r="B1087" s="6" t="s">
        <v>43</v>
      </c>
      <c r="C1087" s="6" t="s">
        <v>53</v>
      </c>
      <c r="D1087" s="6" t="s">
        <v>111</v>
      </c>
      <c r="E1087" s="6" t="s">
        <v>58</v>
      </c>
      <c r="F1087" s="6" t="s">
        <v>60</v>
      </c>
      <c r="G1087" s="6" t="n">
        <v>32</v>
      </c>
      <c r="H1087" s="6" t="n">
        <v>1858300</v>
      </c>
      <c r="I1087" s="6" t="n">
        <v>633700</v>
      </c>
      <c r="J1087" s="6" t="n">
        <v>2102100</v>
      </c>
      <c r="K1087" s="6" t="n">
        <v>243700</v>
      </c>
      <c r="L1087" s="6" t="n">
        <v>20</v>
      </c>
      <c r="M1087" s="6" t="n">
        <v>0</v>
      </c>
      <c r="N1087" s="6" t="n">
        <v>492</v>
      </c>
    </row>
    <row r="1088" customFormat="false" ht="15" hidden="false" customHeight="false" outlineLevel="0" collapsed="false">
      <c r="A1088" s="6" t="s">
        <v>43</v>
      </c>
      <c r="B1088" s="6" t="s">
        <v>43</v>
      </c>
      <c r="C1088" s="6" t="s">
        <v>53</v>
      </c>
      <c r="D1088" s="6" t="s">
        <v>111</v>
      </c>
      <c r="E1088" s="6" t="s">
        <v>60</v>
      </c>
      <c r="F1088" s="6" t="s">
        <v>58</v>
      </c>
      <c r="G1088" s="6" t="n">
        <v>10</v>
      </c>
      <c r="H1088" s="6" t="n">
        <v>841700</v>
      </c>
      <c r="I1088" s="6" t="n">
        <v>404600</v>
      </c>
      <c r="J1088" s="6" t="n">
        <v>494500</v>
      </c>
      <c r="K1088" s="6" t="n">
        <v>-347100</v>
      </c>
      <c r="L1088" s="6" t="n">
        <v>2</v>
      </c>
      <c r="M1088" s="6" t="n">
        <v>0</v>
      </c>
      <c r="N1088" s="6" t="n">
        <v>-391.9</v>
      </c>
    </row>
    <row r="1089" customFormat="false" ht="15" hidden="false" customHeight="false" outlineLevel="0" collapsed="false">
      <c r="A1089" s="6" t="s">
        <v>43</v>
      </c>
      <c r="B1089" s="6" t="s">
        <v>43</v>
      </c>
      <c r="C1089" s="6" t="s">
        <v>53</v>
      </c>
      <c r="D1089" s="6" t="s">
        <v>111</v>
      </c>
      <c r="E1089" s="6" t="s">
        <v>60</v>
      </c>
      <c r="F1089" s="6" t="s">
        <v>60</v>
      </c>
      <c r="G1089" s="6" t="n">
        <v>23</v>
      </c>
      <c r="H1089" s="6" t="n">
        <v>1344300</v>
      </c>
      <c r="I1089" s="6" t="n">
        <v>506600</v>
      </c>
      <c r="J1089" s="6" t="n">
        <v>1675300</v>
      </c>
      <c r="K1089" s="6" t="n">
        <v>330900</v>
      </c>
      <c r="L1089" s="6" t="n">
        <v>16</v>
      </c>
      <c r="M1089" s="6" t="n">
        <v>0</v>
      </c>
      <c r="N1089" s="6" t="n">
        <v>726.2</v>
      </c>
    </row>
    <row r="1090" customFormat="false" ht="15" hidden="false" customHeight="false" outlineLevel="0" collapsed="false">
      <c r="A1090" s="6" t="s">
        <v>43</v>
      </c>
      <c r="B1090" s="6" t="s">
        <v>43</v>
      </c>
      <c r="C1090" s="6" t="s">
        <v>53</v>
      </c>
      <c r="D1090" s="6" t="s">
        <v>112</v>
      </c>
      <c r="E1090" s="6" t="s">
        <v>58</v>
      </c>
      <c r="F1090" s="6" t="s">
        <v>58</v>
      </c>
      <c r="G1090" s="6" t="n">
        <v>25</v>
      </c>
      <c r="H1090" s="6" t="n">
        <v>2070700</v>
      </c>
      <c r="I1090" s="6" t="n">
        <v>1025500</v>
      </c>
      <c r="J1090" s="6" t="n">
        <v>1353600</v>
      </c>
      <c r="K1090" s="6" t="n">
        <v>-717300</v>
      </c>
      <c r="L1090" s="6" t="n">
        <v>3</v>
      </c>
      <c r="M1090" s="6" t="n">
        <v>0</v>
      </c>
      <c r="N1090" s="6" t="n">
        <v>-814.1</v>
      </c>
    </row>
    <row r="1091" customFormat="false" ht="15" hidden="false" customHeight="false" outlineLevel="0" collapsed="false">
      <c r="A1091" s="6" t="s">
        <v>43</v>
      </c>
      <c r="B1091" s="6" t="s">
        <v>43</v>
      </c>
      <c r="C1091" s="6" t="s">
        <v>53</v>
      </c>
      <c r="D1091" s="6" t="s">
        <v>112</v>
      </c>
      <c r="E1091" s="6" t="s">
        <v>58</v>
      </c>
      <c r="F1091" s="6" t="s">
        <v>60</v>
      </c>
      <c r="G1091" s="6" t="n">
        <v>56</v>
      </c>
      <c r="H1091" s="6" t="n">
        <v>3201500</v>
      </c>
      <c r="I1091" s="6" t="n">
        <v>1464400</v>
      </c>
      <c r="J1091" s="6" t="n">
        <v>3861900</v>
      </c>
      <c r="K1091" s="6" t="n">
        <v>660500</v>
      </c>
      <c r="L1091" s="6" t="n">
        <v>34</v>
      </c>
      <c r="M1091" s="6" t="n">
        <v>0</v>
      </c>
      <c r="N1091" s="6" t="n">
        <v>1337.7</v>
      </c>
    </row>
    <row r="1092" customFormat="false" ht="15" hidden="false" customHeight="false" outlineLevel="0" collapsed="false">
      <c r="A1092" s="6" t="s">
        <v>43</v>
      </c>
      <c r="B1092" s="6" t="s">
        <v>43</v>
      </c>
      <c r="C1092" s="6" t="s">
        <v>53</v>
      </c>
      <c r="D1092" s="6" t="s">
        <v>112</v>
      </c>
      <c r="E1092" s="6" t="s">
        <v>60</v>
      </c>
      <c r="F1092" s="6" t="s">
        <v>58</v>
      </c>
      <c r="G1092" s="6" t="n">
        <v>15</v>
      </c>
      <c r="H1092" s="6" t="n">
        <v>1286000</v>
      </c>
      <c r="I1092" s="6" t="n">
        <v>729400</v>
      </c>
      <c r="J1092" s="6" t="n">
        <v>973500</v>
      </c>
      <c r="K1092" s="6" t="n">
        <v>-312900</v>
      </c>
      <c r="L1092" s="6" t="n">
        <v>3</v>
      </c>
      <c r="M1092" s="6" t="n">
        <v>0</v>
      </c>
      <c r="N1092" s="6" t="n">
        <v>-368.1</v>
      </c>
    </row>
    <row r="1093" customFormat="false" ht="15" hidden="false" customHeight="false" outlineLevel="0" collapsed="false">
      <c r="A1093" s="6" t="s">
        <v>43</v>
      </c>
      <c r="B1093" s="6" t="s">
        <v>43</v>
      </c>
      <c r="C1093" s="6" t="s">
        <v>53</v>
      </c>
      <c r="D1093" s="6" t="s">
        <v>112</v>
      </c>
      <c r="E1093" s="6" t="s">
        <v>60</v>
      </c>
      <c r="F1093" s="6" t="s">
        <v>60</v>
      </c>
      <c r="G1093" s="6" t="n">
        <v>25</v>
      </c>
      <c r="H1093" s="6" t="n">
        <v>1523100</v>
      </c>
      <c r="I1093" s="6" t="n">
        <v>499800</v>
      </c>
      <c r="J1093" s="6" t="n">
        <v>1694600</v>
      </c>
      <c r="K1093" s="6" t="n">
        <v>171800</v>
      </c>
      <c r="L1093" s="6" t="n">
        <v>15</v>
      </c>
      <c r="M1093" s="6" t="n">
        <v>0</v>
      </c>
      <c r="N1093" s="6" t="n">
        <v>290.7</v>
      </c>
    </row>
    <row r="1094" customFormat="false" ht="15" hidden="false" customHeight="false" outlineLevel="0" collapsed="false">
      <c r="A1094" s="6" t="s">
        <v>43</v>
      </c>
      <c r="B1094" s="6" t="s">
        <v>43</v>
      </c>
      <c r="C1094" s="6" t="s">
        <v>53</v>
      </c>
      <c r="D1094" s="6" t="s">
        <v>113</v>
      </c>
      <c r="E1094" s="6" t="s">
        <v>58</v>
      </c>
      <c r="F1094" s="6" t="s">
        <v>58</v>
      </c>
      <c r="G1094" s="6" t="n">
        <v>27</v>
      </c>
      <c r="H1094" s="6" t="n">
        <v>2234900</v>
      </c>
      <c r="I1094" s="6" t="n">
        <v>959900</v>
      </c>
      <c r="J1094" s="6" t="n">
        <v>1795500</v>
      </c>
      <c r="K1094" s="6" t="n">
        <v>-438500</v>
      </c>
      <c r="L1094" s="6" t="n">
        <v>7</v>
      </c>
      <c r="M1094" s="6" t="n">
        <v>0</v>
      </c>
      <c r="N1094" s="6" t="n">
        <v>-459.5</v>
      </c>
    </row>
    <row r="1095" customFormat="false" ht="15" hidden="false" customHeight="false" outlineLevel="0" collapsed="false">
      <c r="A1095" s="6" t="s">
        <v>43</v>
      </c>
      <c r="B1095" s="6" t="s">
        <v>43</v>
      </c>
      <c r="C1095" s="6" t="s">
        <v>53</v>
      </c>
      <c r="D1095" s="6" t="s">
        <v>113</v>
      </c>
      <c r="E1095" s="6" t="s">
        <v>58</v>
      </c>
      <c r="F1095" s="6" t="s">
        <v>60</v>
      </c>
      <c r="G1095" s="6" t="n">
        <v>66</v>
      </c>
      <c r="H1095" s="6" t="n">
        <v>3912600</v>
      </c>
      <c r="I1095" s="6" t="n">
        <v>2013300</v>
      </c>
      <c r="J1095" s="6" t="n">
        <v>4276600</v>
      </c>
      <c r="K1095" s="6" t="n">
        <v>363800</v>
      </c>
      <c r="L1095" s="6" t="n">
        <v>36</v>
      </c>
      <c r="M1095" s="6" t="n">
        <v>0</v>
      </c>
      <c r="N1095" s="6" t="n">
        <v>847.1</v>
      </c>
    </row>
    <row r="1096" customFormat="false" ht="15" hidden="false" customHeight="false" outlineLevel="0" collapsed="false">
      <c r="A1096" s="6" t="s">
        <v>43</v>
      </c>
      <c r="B1096" s="6" t="s">
        <v>43</v>
      </c>
      <c r="C1096" s="6" t="s">
        <v>53</v>
      </c>
      <c r="D1096" s="6" t="s">
        <v>113</v>
      </c>
      <c r="E1096" s="6" t="s">
        <v>60</v>
      </c>
      <c r="F1096" s="6" t="s">
        <v>58</v>
      </c>
      <c r="G1096" s="6" t="n">
        <v>13</v>
      </c>
      <c r="H1096" s="6" t="n">
        <v>1101700</v>
      </c>
      <c r="I1096" s="6" t="n">
        <v>668100</v>
      </c>
      <c r="J1096" s="6" t="n">
        <v>927200</v>
      </c>
      <c r="K1096" s="6" t="n">
        <v>-174400</v>
      </c>
      <c r="L1096" s="6" t="n">
        <v>3</v>
      </c>
      <c r="M1096" s="6" t="n">
        <v>0</v>
      </c>
      <c r="N1096" s="6" t="n">
        <v>-180.7</v>
      </c>
    </row>
    <row r="1097" customFormat="false" ht="15" hidden="false" customHeight="false" outlineLevel="0" collapsed="false">
      <c r="A1097" s="6" t="s">
        <v>43</v>
      </c>
      <c r="B1097" s="6" t="s">
        <v>43</v>
      </c>
      <c r="C1097" s="6" t="s">
        <v>53</v>
      </c>
      <c r="D1097" s="6" t="s">
        <v>113</v>
      </c>
      <c r="E1097" s="6" t="s">
        <v>60</v>
      </c>
      <c r="F1097" s="6" t="s">
        <v>60</v>
      </c>
      <c r="G1097" s="6" t="n">
        <v>30</v>
      </c>
      <c r="H1097" s="6" t="n">
        <v>1836500</v>
      </c>
      <c r="I1097" s="6" t="n">
        <v>953800</v>
      </c>
      <c r="J1097" s="6" t="n">
        <v>1884200</v>
      </c>
      <c r="K1097" s="6" t="n">
        <v>47800</v>
      </c>
      <c r="L1097" s="6" t="n">
        <v>15</v>
      </c>
      <c r="M1097" s="6" t="n">
        <v>0</v>
      </c>
      <c r="N1097" s="6" t="n">
        <v>147.4</v>
      </c>
    </row>
    <row r="1098" customFormat="false" ht="15" hidden="false" customHeight="false" outlineLevel="0" collapsed="false">
      <c r="A1098" s="6" t="s">
        <v>43</v>
      </c>
      <c r="B1098" s="6" t="s">
        <v>43</v>
      </c>
      <c r="C1098" s="6" t="s">
        <v>53</v>
      </c>
      <c r="D1098" s="6" t="s">
        <v>114</v>
      </c>
      <c r="E1098" s="6" t="s">
        <v>58</v>
      </c>
      <c r="F1098" s="6" t="s">
        <v>58</v>
      </c>
      <c r="G1098" s="6" t="n">
        <v>12</v>
      </c>
      <c r="H1098" s="6" t="n">
        <v>962800</v>
      </c>
      <c r="I1098" s="6" t="n">
        <v>469300</v>
      </c>
      <c r="J1098" s="6" t="n">
        <v>722100</v>
      </c>
      <c r="K1098" s="6" t="n">
        <v>-240800</v>
      </c>
      <c r="L1098" s="6" t="n">
        <v>3</v>
      </c>
      <c r="M1098" s="6" t="n">
        <v>0</v>
      </c>
      <c r="N1098" s="6" t="n">
        <v>-283.9</v>
      </c>
    </row>
    <row r="1099" customFormat="false" ht="15" hidden="false" customHeight="false" outlineLevel="0" collapsed="false">
      <c r="A1099" s="6" t="s">
        <v>43</v>
      </c>
      <c r="B1099" s="6" t="s">
        <v>43</v>
      </c>
      <c r="C1099" s="6" t="s">
        <v>53</v>
      </c>
      <c r="D1099" s="6" t="s">
        <v>114</v>
      </c>
      <c r="E1099" s="6" t="s">
        <v>58</v>
      </c>
      <c r="F1099" s="6" t="s">
        <v>60</v>
      </c>
      <c r="G1099" s="6" t="n">
        <v>33</v>
      </c>
      <c r="H1099" s="6" t="n">
        <v>1907300</v>
      </c>
      <c r="I1099" s="6" t="n">
        <v>752500</v>
      </c>
      <c r="J1099" s="6" t="n">
        <v>2167100</v>
      </c>
      <c r="K1099" s="6" t="n">
        <v>259800</v>
      </c>
      <c r="L1099" s="6" t="n">
        <v>19</v>
      </c>
      <c r="M1099" s="6" t="n">
        <v>0</v>
      </c>
      <c r="N1099" s="6" t="n">
        <v>495.8</v>
      </c>
    </row>
    <row r="1100" customFormat="false" ht="15" hidden="false" customHeight="false" outlineLevel="0" collapsed="false">
      <c r="A1100" s="6" t="s">
        <v>43</v>
      </c>
      <c r="B1100" s="6" t="s">
        <v>43</v>
      </c>
      <c r="C1100" s="6" t="s">
        <v>53</v>
      </c>
      <c r="D1100" s="6" t="s">
        <v>114</v>
      </c>
      <c r="E1100" s="6" t="s">
        <v>60</v>
      </c>
      <c r="F1100" s="6" t="s">
        <v>58</v>
      </c>
      <c r="G1100" s="6" t="n">
        <v>12</v>
      </c>
      <c r="H1100" s="6" t="n">
        <v>943800</v>
      </c>
      <c r="I1100" s="6" t="n">
        <v>242800</v>
      </c>
      <c r="J1100" s="6" t="n">
        <v>835700</v>
      </c>
      <c r="K1100" s="6" t="n">
        <v>-108000</v>
      </c>
      <c r="L1100" s="6" t="n">
        <v>4</v>
      </c>
      <c r="M1100" s="6" t="n">
        <v>0</v>
      </c>
      <c r="N1100" s="6" t="n">
        <v>-48.4</v>
      </c>
    </row>
    <row r="1101" customFormat="false" ht="15" hidden="false" customHeight="false" outlineLevel="0" collapsed="false">
      <c r="A1101" s="6" t="s">
        <v>43</v>
      </c>
      <c r="B1101" s="6" t="s">
        <v>43</v>
      </c>
      <c r="C1101" s="6" t="s">
        <v>53</v>
      </c>
      <c r="D1101" s="6" t="s">
        <v>114</v>
      </c>
      <c r="E1101" s="6" t="s">
        <v>60</v>
      </c>
      <c r="F1101" s="6" t="s">
        <v>60</v>
      </c>
      <c r="G1101" s="6" t="n">
        <v>22</v>
      </c>
      <c r="H1101" s="6" t="n">
        <v>1360500</v>
      </c>
      <c r="I1101" s="6" t="n">
        <v>549900</v>
      </c>
      <c r="J1101" s="6" t="n">
        <v>1618300</v>
      </c>
      <c r="K1101" s="6" t="n">
        <v>257600</v>
      </c>
      <c r="L1101" s="6" t="n">
        <v>15</v>
      </c>
      <c r="M1101" s="6" t="n">
        <v>0</v>
      </c>
      <c r="N1101" s="6" t="n">
        <v>490.5</v>
      </c>
    </row>
    <row r="1102" customFormat="false" ht="15" hidden="false" customHeight="false" outlineLevel="0" collapsed="false">
      <c r="A1102" s="6" t="s">
        <v>43</v>
      </c>
      <c r="B1102" s="6" t="s">
        <v>43</v>
      </c>
      <c r="C1102" s="6" t="s">
        <v>51</v>
      </c>
      <c r="D1102" s="6" t="s">
        <v>111</v>
      </c>
      <c r="E1102" s="6" t="s">
        <v>58</v>
      </c>
      <c r="F1102" s="6" t="s">
        <v>58</v>
      </c>
      <c r="G1102" s="6" t="n">
        <v>12</v>
      </c>
      <c r="H1102" s="6" t="n">
        <v>1386800</v>
      </c>
      <c r="I1102" s="6" t="n">
        <v>612900</v>
      </c>
      <c r="J1102" s="6" t="n">
        <v>1028400</v>
      </c>
      <c r="K1102" s="6" t="n">
        <v>-358300</v>
      </c>
      <c r="L1102" s="6" t="n">
        <v>2</v>
      </c>
      <c r="M1102" s="6" t="n">
        <v>0</v>
      </c>
      <c r="N1102" s="6" t="n">
        <v>-283.9</v>
      </c>
    </row>
    <row r="1103" customFormat="false" ht="15" hidden="false" customHeight="false" outlineLevel="0" collapsed="false">
      <c r="A1103" s="6" t="s">
        <v>43</v>
      </c>
      <c r="B1103" s="6" t="s">
        <v>43</v>
      </c>
      <c r="C1103" s="6" t="s">
        <v>51</v>
      </c>
      <c r="D1103" s="6" t="s">
        <v>111</v>
      </c>
      <c r="E1103" s="6" t="s">
        <v>58</v>
      </c>
      <c r="F1103" s="6" t="s">
        <v>60</v>
      </c>
      <c r="G1103" s="6" t="n">
        <v>34</v>
      </c>
      <c r="H1103" s="6" t="n">
        <v>2824100</v>
      </c>
      <c r="I1103" s="6" t="n">
        <v>1182200</v>
      </c>
      <c r="J1103" s="6" t="n">
        <v>2884300</v>
      </c>
      <c r="K1103" s="6" t="n">
        <v>60300</v>
      </c>
      <c r="L1103" s="6" t="n">
        <v>16</v>
      </c>
      <c r="M1103" s="6" t="n">
        <v>0</v>
      </c>
      <c r="N1103" s="6" t="n">
        <v>125.1</v>
      </c>
    </row>
    <row r="1104" customFormat="false" ht="15" hidden="false" customHeight="false" outlineLevel="0" collapsed="false">
      <c r="A1104" s="6" t="s">
        <v>43</v>
      </c>
      <c r="B1104" s="6" t="s">
        <v>43</v>
      </c>
      <c r="C1104" s="6" t="s">
        <v>51</v>
      </c>
      <c r="D1104" s="6" t="s">
        <v>111</v>
      </c>
      <c r="E1104" s="6" t="s">
        <v>60</v>
      </c>
      <c r="F1104" s="6" t="s">
        <v>58</v>
      </c>
      <c r="G1104" s="6" t="n">
        <v>8</v>
      </c>
      <c r="H1104" s="6" t="n">
        <v>898600</v>
      </c>
      <c r="I1104" s="6" t="n">
        <v>396500</v>
      </c>
      <c r="J1104" s="6" t="n">
        <v>990100</v>
      </c>
      <c r="K1104" s="6" t="n">
        <v>91500</v>
      </c>
      <c r="L1104" s="6" t="n">
        <v>5</v>
      </c>
      <c r="M1104" s="6" t="n">
        <v>0</v>
      </c>
      <c r="N1104" s="6" t="n">
        <v>82</v>
      </c>
    </row>
    <row r="1105" customFormat="false" ht="15" hidden="false" customHeight="false" outlineLevel="0" collapsed="false">
      <c r="A1105" s="6" t="s">
        <v>43</v>
      </c>
      <c r="B1105" s="6" t="s">
        <v>43</v>
      </c>
      <c r="C1105" s="6" t="s">
        <v>51</v>
      </c>
      <c r="D1105" s="6" t="s">
        <v>111</v>
      </c>
      <c r="E1105" s="6" t="s">
        <v>60</v>
      </c>
      <c r="F1105" s="6" t="s">
        <v>60</v>
      </c>
      <c r="G1105" s="6" t="n">
        <v>19</v>
      </c>
      <c r="H1105" s="6" t="n">
        <v>1543200</v>
      </c>
      <c r="I1105" s="6" t="n">
        <v>652900</v>
      </c>
      <c r="J1105" s="6" t="n">
        <v>1897800</v>
      </c>
      <c r="K1105" s="6" t="n">
        <v>354800</v>
      </c>
      <c r="L1105" s="6" t="n">
        <v>11</v>
      </c>
      <c r="M1105" s="6" t="n">
        <v>0</v>
      </c>
      <c r="N1105" s="6" t="n">
        <v>471.8</v>
      </c>
    </row>
    <row r="1106" customFormat="false" ht="15" hidden="false" customHeight="false" outlineLevel="0" collapsed="false">
      <c r="A1106" s="6" t="s">
        <v>43</v>
      </c>
      <c r="B1106" s="6" t="s">
        <v>43</v>
      </c>
      <c r="C1106" s="6" t="s">
        <v>51</v>
      </c>
      <c r="D1106" s="6" t="s">
        <v>112</v>
      </c>
      <c r="E1106" s="6" t="s">
        <v>58</v>
      </c>
      <c r="F1106" s="6" t="s">
        <v>58</v>
      </c>
      <c r="G1106" s="6" t="n">
        <v>8</v>
      </c>
      <c r="H1106" s="6" t="n">
        <v>819500</v>
      </c>
      <c r="I1106" s="6" t="n">
        <v>218900</v>
      </c>
      <c r="J1106" s="6" t="n">
        <v>732800</v>
      </c>
      <c r="K1106" s="6" t="n">
        <v>-86800</v>
      </c>
      <c r="L1106" s="6" t="n">
        <v>3</v>
      </c>
      <c r="M1106" s="6" t="n">
        <v>0</v>
      </c>
      <c r="N1106" s="6" t="n">
        <v>-65.6</v>
      </c>
    </row>
    <row r="1107" customFormat="false" ht="15" hidden="false" customHeight="false" outlineLevel="0" collapsed="false">
      <c r="A1107" s="6" t="s">
        <v>43</v>
      </c>
      <c r="B1107" s="6" t="s">
        <v>43</v>
      </c>
      <c r="C1107" s="6" t="s">
        <v>51</v>
      </c>
      <c r="D1107" s="6" t="s">
        <v>112</v>
      </c>
      <c r="E1107" s="6" t="s">
        <v>58</v>
      </c>
      <c r="F1107" s="6" t="s">
        <v>60</v>
      </c>
      <c r="G1107" s="6" t="n">
        <v>28</v>
      </c>
      <c r="H1107" s="6" t="n">
        <v>2492400</v>
      </c>
      <c r="I1107" s="6" t="n">
        <v>1320600</v>
      </c>
      <c r="J1107" s="6" t="n">
        <v>2839400</v>
      </c>
      <c r="K1107" s="6" t="n">
        <v>347100</v>
      </c>
      <c r="L1107" s="6" t="n">
        <v>14</v>
      </c>
      <c r="M1107" s="6" t="n">
        <v>0</v>
      </c>
      <c r="N1107" s="6" t="n">
        <v>491.7</v>
      </c>
    </row>
    <row r="1108" customFormat="false" ht="15" hidden="false" customHeight="false" outlineLevel="0" collapsed="false">
      <c r="A1108" s="6" t="s">
        <v>43</v>
      </c>
      <c r="B1108" s="6" t="s">
        <v>43</v>
      </c>
      <c r="C1108" s="6" t="s">
        <v>51</v>
      </c>
      <c r="D1108" s="6" t="s">
        <v>112</v>
      </c>
      <c r="E1108" s="6" t="s">
        <v>60</v>
      </c>
      <c r="F1108" s="6" t="s">
        <v>58</v>
      </c>
      <c r="G1108" s="6" t="n">
        <v>8</v>
      </c>
      <c r="H1108" s="6" t="n">
        <v>963500</v>
      </c>
      <c r="I1108" s="6" t="n">
        <v>646200</v>
      </c>
      <c r="J1108" s="6" t="n">
        <v>829700</v>
      </c>
      <c r="K1108" s="6" t="n">
        <v>-134200</v>
      </c>
      <c r="L1108" s="6" t="n">
        <v>2</v>
      </c>
      <c r="M1108" s="6" t="n">
        <v>0</v>
      </c>
      <c r="N1108" s="6" t="n">
        <v>-126.9</v>
      </c>
    </row>
    <row r="1109" customFormat="false" ht="15" hidden="false" customHeight="false" outlineLevel="0" collapsed="false">
      <c r="A1109" s="6" t="s">
        <v>43</v>
      </c>
      <c r="B1109" s="6" t="s">
        <v>43</v>
      </c>
      <c r="C1109" s="6" t="s">
        <v>51</v>
      </c>
      <c r="D1109" s="6" t="s">
        <v>112</v>
      </c>
      <c r="E1109" s="6" t="s">
        <v>60</v>
      </c>
      <c r="F1109" s="6" t="s">
        <v>60</v>
      </c>
      <c r="G1109" s="6" t="n">
        <v>12</v>
      </c>
      <c r="H1109" s="6" t="n">
        <v>1004500</v>
      </c>
      <c r="I1109" s="6" t="n">
        <v>381900</v>
      </c>
      <c r="J1109" s="6" t="n">
        <v>1435600</v>
      </c>
      <c r="K1109" s="6" t="n">
        <v>431300</v>
      </c>
      <c r="L1109" s="6" t="n">
        <v>8</v>
      </c>
      <c r="M1109" s="6" t="n">
        <v>0</v>
      </c>
      <c r="N1109" s="6" t="n">
        <v>625.8</v>
      </c>
    </row>
    <row r="1110" customFormat="false" ht="15" hidden="false" customHeight="false" outlineLevel="0" collapsed="false">
      <c r="A1110" s="6" t="s">
        <v>43</v>
      </c>
      <c r="B1110" s="6" t="s">
        <v>43</v>
      </c>
      <c r="C1110" s="6" t="s">
        <v>51</v>
      </c>
      <c r="D1110" s="6" t="s">
        <v>113</v>
      </c>
      <c r="E1110" s="6" t="s">
        <v>58</v>
      </c>
      <c r="F1110" s="6" t="s">
        <v>58</v>
      </c>
      <c r="G1110" s="6" t="n">
        <v>17</v>
      </c>
      <c r="H1110" s="6" t="n">
        <v>1996800</v>
      </c>
      <c r="I1110" s="6" t="n">
        <v>949000</v>
      </c>
      <c r="J1110" s="6" t="n">
        <v>1404500</v>
      </c>
      <c r="K1110" s="6" t="n">
        <v>-592700</v>
      </c>
      <c r="L1110" s="6" t="n">
        <v>3</v>
      </c>
      <c r="M1110" s="6" t="n">
        <v>0</v>
      </c>
      <c r="N1110" s="6" t="n">
        <v>-471.4</v>
      </c>
    </row>
    <row r="1111" customFormat="false" ht="15" hidden="false" customHeight="false" outlineLevel="0" collapsed="false">
      <c r="A1111" s="6" t="s">
        <v>43</v>
      </c>
      <c r="B1111" s="6" t="s">
        <v>43</v>
      </c>
      <c r="C1111" s="6" t="s">
        <v>51</v>
      </c>
      <c r="D1111" s="6" t="s">
        <v>113</v>
      </c>
      <c r="E1111" s="6" t="s">
        <v>58</v>
      </c>
      <c r="F1111" s="6" t="s">
        <v>60</v>
      </c>
      <c r="G1111" s="6" t="n">
        <v>40</v>
      </c>
      <c r="H1111" s="6" t="n">
        <v>3335200</v>
      </c>
      <c r="I1111" s="6" t="n">
        <v>1261700</v>
      </c>
      <c r="J1111" s="6" t="n">
        <v>3043800</v>
      </c>
      <c r="K1111" s="6" t="n">
        <v>-291200</v>
      </c>
      <c r="L1111" s="6" t="n">
        <v>14</v>
      </c>
      <c r="M1111" s="6" t="n">
        <v>0</v>
      </c>
      <c r="N1111" s="6" t="n">
        <v>-206</v>
      </c>
    </row>
    <row r="1112" customFormat="false" ht="15" hidden="false" customHeight="false" outlineLevel="0" collapsed="false">
      <c r="A1112" s="6" t="s">
        <v>43</v>
      </c>
      <c r="B1112" s="6" t="s">
        <v>43</v>
      </c>
      <c r="C1112" s="6" t="s">
        <v>51</v>
      </c>
      <c r="D1112" s="6" t="s">
        <v>113</v>
      </c>
      <c r="E1112" s="6" t="s">
        <v>60</v>
      </c>
      <c r="F1112" s="6" t="s">
        <v>58</v>
      </c>
      <c r="G1112" s="6" t="n">
        <v>17</v>
      </c>
      <c r="H1112" s="6" t="n">
        <v>2061300</v>
      </c>
      <c r="I1112" s="6" t="n">
        <v>1231900</v>
      </c>
      <c r="J1112" s="6" t="n">
        <v>1402100</v>
      </c>
      <c r="K1112" s="6" t="n">
        <v>-658900</v>
      </c>
      <c r="L1112" s="6" t="n">
        <v>3</v>
      </c>
      <c r="M1112" s="6" t="n">
        <v>0</v>
      </c>
      <c r="N1112" s="6" t="n">
        <v>-488.8</v>
      </c>
    </row>
    <row r="1113" customFormat="false" ht="15" hidden="false" customHeight="false" outlineLevel="0" collapsed="false">
      <c r="A1113" s="6" t="s">
        <v>43</v>
      </c>
      <c r="B1113" s="6" t="s">
        <v>43</v>
      </c>
      <c r="C1113" s="6" t="s">
        <v>51</v>
      </c>
      <c r="D1113" s="6" t="s">
        <v>113</v>
      </c>
      <c r="E1113" s="6" t="s">
        <v>60</v>
      </c>
      <c r="F1113" s="6" t="s">
        <v>60</v>
      </c>
      <c r="G1113" s="6" t="n">
        <v>16</v>
      </c>
      <c r="H1113" s="6" t="n">
        <v>1292500</v>
      </c>
      <c r="I1113" s="6" t="n">
        <v>654200</v>
      </c>
      <c r="J1113" s="6" t="n">
        <v>1310600</v>
      </c>
      <c r="K1113" s="6" t="n">
        <v>18100</v>
      </c>
      <c r="L1113" s="6" t="n">
        <v>9</v>
      </c>
      <c r="M1113" s="6" t="n">
        <v>0</v>
      </c>
      <c r="N1113" s="6" t="n">
        <v>66.9</v>
      </c>
    </row>
    <row r="1114" customFormat="false" ht="15" hidden="false" customHeight="false" outlineLevel="0" collapsed="false">
      <c r="A1114" s="6" t="s">
        <v>43</v>
      </c>
      <c r="B1114" s="6" t="s">
        <v>43</v>
      </c>
      <c r="C1114" s="6" t="s">
        <v>51</v>
      </c>
      <c r="D1114" s="6" t="s">
        <v>114</v>
      </c>
      <c r="E1114" s="6" t="s">
        <v>58</v>
      </c>
      <c r="F1114" s="6" t="s">
        <v>58</v>
      </c>
      <c r="G1114" s="6" t="n">
        <v>13</v>
      </c>
      <c r="H1114" s="6" t="n">
        <v>1476000</v>
      </c>
      <c r="I1114" s="6" t="n">
        <v>566500</v>
      </c>
      <c r="J1114" s="6" t="n">
        <v>1001400</v>
      </c>
      <c r="K1114" s="6" t="n">
        <v>-474600</v>
      </c>
      <c r="L1114" s="6" t="n">
        <v>3</v>
      </c>
      <c r="M1114" s="6" t="n">
        <v>0</v>
      </c>
      <c r="N1114" s="6" t="n">
        <v>-360.5</v>
      </c>
    </row>
    <row r="1115" customFormat="false" ht="15" hidden="false" customHeight="false" outlineLevel="0" collapsed="false">
      <c r="A1115" s="6" t="s">
        <v>43</v>
      </c>
      <c r="B1115" s="6" t="s">
        <v>43</v>
      </c>
      <c r="C1115" s="6" t="s">
        <v>51</v>
      </c>
      <c r="D1115" s="6" t="s">
        <v>114</v>
      </c>
      <c r="E1115" s="6" t="s">
        <v>58</v>
      </c>
      <c r="F1115" s="6" t="s">
        <v>60</v>
      </c>
      <c r="G1115" s="6" t="n">
        <v>24</v>
      </c>
      <c r="H1115" s="6" t="n">
        <v>2060200</v>
      </c>
      <c r="I1115" s="6" t="n">
        <v>720200</v>
      </c>
      <c r="J1115" s="6" t="n">
        <v>2100200</v>
      </c>
      <c r="K1115" s="6" t="n">
        <v>40300</v>
      </c>
      <c r="L1115" s="6" t="n">
        <v>10</v>
      </c>
      <c r="M1115" s="6" t="n">
        <v>0</v>
      </c>
      <c r="N1115" s="6" t="n">
        <v>161.4</v>
      </c>
    </row>
    <row r="1116" customFormat="false" ht="15" hidden="false" customHeight="false" outlineLevel="0" collapsed="false">
      <c r="A1116" s="6" t="s">
        <v>43</v>
      </c>
      <c r="B1116" s="6" t="s">
        <v>43</v>
      </c>
      <c r="C1116" s="6" t="s">
        <v>51</v>
      </c>
      <c r="D1116" s="6" t="s">
        <v>114</v>
      </c>
      <c r="E1116" s="6" t="s">
        <v>60</v>
      </c>
      <c r="F1116" s="6" t="s">
        <v>58</v>
      </c>
      <c r="G1116" s="6" t="n">
        <v>7</v>
      </c>
      <c r="H1116" s="6" t="n">
        <v>828900</v>
      </c>
      <c r="I1116" s="6" t="n">
        <v>351100</v>
      </c>
      <c r="J1116" s="6" t="n">
        <v>491000</v>
      </c>
      <c r="K1116" s="6" t="n">
        <v>-337800</v>
      </c>
      <c r="L1116" s="6" t="n">
        <v>0</v>
      </c>
      <c r="M1116" s="6" t="n">
        <v>0</v>
      </c>
      <c r="N1116" s="6" t="n">
        <v>-286.8</v>
      </c>
    </row>
    <row r="1117" customFormat="false" ht="15" hidden="false" customHeight="false" outlineLevel="0" collapsed="false">
      <c r="A1117" s="6" t="s">
        <v>43</v>
      </c>
      <c r="B1117" s="6" t="s">
        <v>43</v>
      </c>
      <c r="C1117" s="6" t="s">
        <v>51</v>
      </c>
      <c r="D1117" s="6" t="s">
        <v>114</v>
      </c>
      <c r="E1117" s="6" t="s">
        <v>60</v>
      </c>
      <c r="F1117" s="6" t="s">
        <v>60</v>
      </c>
      <c r="G1117" s="6" t="n">
        <v>9</v>
      </c>
      <c r="H1117" s="6" t="n">
        <v>829000</v>
      </c>
      <c r="I1117" s="6" t="n">
        <v>414800</v>
      </c>
      <c r="J1117" s="6" t="n">
        <v>921800</v>
      </c>
      <c r="K1117" s="6" t="n">
        <v>92900</v>
      </c>
      <c r="L1117" s="6" t="n">
        <v>6</v>
      </c>
      <c r="M1117" s="6" t="n">
        <v>0</v>
      </c>
      <c r="N1117" s="6" t="n">
        <v>118</v>
      </c>
    </row>
    <row r="1118" customFormat="false" ht="15" hidden="false" customHeight="false" outlineLevel="0" collapsed="false">
      <c r="A1118" s="6" t="s">
        <v>35</v>
      </c>
      <c r="B1118" s="6" t="s">
        <v>26</v>
      </c>
      <c r="C1118" s="6" t="s">
        <v>54</v>
      </c>
      <c r="D1118" s="6" t="s">
        <v>111</v>
      </c>
      <c r="E1118" s="6" t="s">
        <v>58</v>
      </c>
      <c r="F1118" s="6" t="s">
        <v>58</v>
      </c>
      <c r="G1118" s="6" t="n">
        <v>10</v>
      </c>
      <c r="H1118" s="6" t="n">
        <v>1411500</v>
      </c>
      <c r="I1118" s="6" t="n">
        <v>452100</v>
      </c>
      <c r="J1118" s="6" t="n">
        <v>1559900</v>
      </c>
      <c r="K1118" s="6" t="n">
        <v>148400</v>
      </c>
      <c r="L1118" s="6" t="n">
        <v>6</v>
      </c>
      <c r="M1118" s="6" t="n">
        <v>0</v>
      </c>
      <c r="N1118" s="6" t="n">
        <v>246.1</v>
      </c>
    </row>
    <row r="1119" customFormat="false" ht="15" hidden="false" customHeight="false" outlineLevel="0" collapsed="false">
      <c r="A1119" s="6" t="s">
        <v>35</v>
      </c>
      <c r="B1119" s="6" t="s">
        <v>26</v>
      </c>
      <c r="C1119" s="6" t="s">
        <v>54</v>
      </c>
      <c r="D1119" s="6" t="s">
        <v>111</v>
      </c>
      <c r="E1119" s="6" t="s">
        <v>58</v>
      </c>
      <c r="F1119" s="6" t="s">
        <v>60</v>
      </c>
      <c r="G1119" s="6" t="n">
        <v>11</v>
      </c>
      <c r="H1119" s="6" t="n">
        <v>1216800</v>
      </c>
      <c r="I1119" s="6" t="n">
        <v>640100</v>
      </c>
      <c r="J1119" s="6" t="n">
        <v>1352700</v>
      </c>
      <c r="K1119" s="6" t="n">
        <v>135900</v>
      </c>
      <c r="L1119" s="6" t="n">
        <v>6</v>
      </c>
      <c r="M1119" s="6" t="n">
        <v>0</v>
      </c>
      <c r="N1119" s="6" t="n">
        <v>133.4</v>
      </c>
    </row>
    <row r="1120" customFormat="false" ht="15" hidden="false" customHeight="false" outlineLevel="0" collapsed="false">
      <c r="A1120" s="6" t="s">
        <v>35</v>
      </c>
      <c r="B1120" s="6" t="s">
        <v>26</v>
      </c>
      <c r="C1120" s="6" t="s">
        <v>54</v>
      </c>
      <c r="D1120" s="6" t="s">
        <v>111</v>
      </c>
      <c r="E1120" s="6" t="s">
        <v>60</v>
      </c>
      <c r="F1120" s="6" t="s">
        <v>58</v>
      </c>
      <c r="G1120" s="6" t="n">
        <v>4</v>
      </c>
      <c r="H1120" s="6" t="n">
        <v>655900</v>
      </c>
      <c r="I1120" s="6" t="n">
        <v>88100</v>
      </c>
      <c r="J1120" s="6" t="n">
        <v>426000</v>
      </c>
      <c r="K1120" s="6" t="n">
        <v>-230000</v>
      </c>
      <c r="L1120" s="6" t="n">
        <v>1</v>
      </c>
      <c r="M1120" s="6" t="n">
        <v>0</v>
      </c>
      <c r="N1120" s="6" t="n">
        <v>-92.2</v>
      </c>
    </row>
    <row r="1121" customFormat="false" ht="15" hidden="false" customHeight="false" outlineLevel="0" collapsed="false">
      <c r="A1121" s="6" t="s">
        <v>35</v>
      </c>
      <c r="B1121" s="6" t="s">
        <v>26</v>
      </c>
      <c r="C1121" s="6" t="s">
        <v>54</v>
      </c>
      <c r="D1121" s="6" t="s">
        <v>111</v>
      </c>
      <c r="E1121" s="6" t="s">
        <v>60</v>
      </c>
      <c r="F1121" s="6" t="s">
        <v>60</v>
      </c>
      <c r="G1121" s="6" t="n">
        <v>14</v>
      </c>
      <c r="H1121" s="6" t="n">
        <v>1454800</v>
      </c>
      <c r="I1121" s="6" t="n">
        <v>867400</v>
      </c>
      <c r="J1121" s="6" t="n">
        <v>2681700</v>
      </c>
      <c r="K1121" s="6" t="n">
        <v>1227100</v>
      </c>
      <c r="L1121" s="6" t="n">
        <v>13</v>
      </c>
      <c r="M1121" s="6" t="n">
        <v>0</v>
      </c>
      <c r="N1121" s="6" t="n">
        <v>1292.1</v>
      </c>
    </row>
    <row r="1122" customFormat="false" ht="15" hidden="false" customHeight="false" outlineLevel="0" collapsed="false">
      <c r="A1122" s="6" t="s">
        <v>35</v>
      </c>
      <c r="B1122" s="6" t="s">
        <v>26</v>
      </c>
      <c r="C1122" s="6" t="s">
        <v>54</v>
      </c>
      <c r="D1122" s="6" t="s">
        <v>112</v>
      </c>
      <c r="E1122" s="6" t="s">
        <v>58</v>
      </c>
      <c r="F1122" s="6" t="s">
        <v>58</v>
      </c>
      <c r="G1122" s="6" t="n">
        <v>4</v>
      </c>
      <c r="H1122" s="6" t="n">
        <v>610200</v>
      </c>
      <c r="I1122" s="6" t="n">
        <v>183400</v>
      </c>
      <c r="J1122" s="6" t="n">
        <v>473200</v>
      </c>
      <c r="K1122" s="6" t="n">
        <v>-137100</v>
      </c>
      <c r="L1122" s="6" t="n">
        <v>1</v>
      </c>
      <c r="M1122" s="6" t="n">
        <v>0</v>
      </c>
      <c r="N1122" s="6" t="n">
        <v>-71</v>
      </c>
    </row>
    <row r="1123" customFormat="false" ht="15" hidden="false" customHeight="false" outlineLevel="0" collapsed="false">
      <c r="A1123" s="6" t="s">
        <v>35</v>
      </c>
      <c r="B1123" s="6" t="s">
        <v>26</v>
      </c>
      <c r="C1123" s="6" t="s">
        <v>54</v>
      </c>
      <c r="D1123" s="6" t="s">
        <v>112</v>
      </c>
      <c r="E1123" s="6" t="s">
        <v>58</v>
      </c>
      <c r="F1123" s="6" t="s">
        <v>60</v>
      </c>
      <c r="G1123" s="6" t="n">
        <v>16</v>
      </c>
      <c r="H1123" s="6" t="n">
        <v>1748600</v>
      </c>
      <c r="I1123" s="6" t="n">
        <v>889300</v>
      </c>
      <c r="J1123" s="6" t="n">
        <v>2622800</v>
      </c>
      <c r="K1123" s="6" t="n">
        <v>874400</v>
      </c>
      <c r="L1123" s="6" t="n">
        <v>12</v>
      </c>
      <c r="M1123" s="6" t="n">
        <v>0</v>
      </c>
      <c r="N1123" s="6" t="n">
        <v>922.3</v>
      </c>
    </row>
    <row r="1124" customFormat="false" ht="15" hidden="false" customHeight="false" outlineLevel="0" collapsed="false">
      <c r="A1124" s="6" t="s">
        <v>35</v>
      </c>
      <c r="B1124" s="6" t="s">
        <v>26</v>
      </c>
      <c r="C1124" s="6" t="s">
        <v>54</v>
      </c>
      <c r="D1124" s="6" t="s">
        <v>112</v>
      </c>
      <c r="E1124" s="6" t="s">
        <v>60</v>
      </c>
      <c r="F1124" s="6" t="s">
        <v>58</v>
      </c>
      <c r="G1124" s="6" t="n">
        <v>5</v>
      </c>
      <c r="H1124" s="6" t="n">
        <v>634400</v>
      </c>
      <c r="I1124" s="6" t="n">
        <v>333700</v>
      </c>
      <c r="J1124" s="6" t="n">
        <v>727500</v>
      </c>
      <c r="K1124" s="6" t="n">
        <v>93200</v>
      </c>
      <c r="L1124" s="6" t="n">
        <v>3</v>
      </c>
      <c r="M1124" s="6" t="n">
        <v>0</v>
      </c>
      <c r="N1124" s="6" t="n">
        <v>64.5</v>
      </c>
    </row>
    <row r="1125" customFormat="false" ht="15" hidden="false" customHeight="false" outlineLevel="0" collapsed="false">
      <c r="A1125" s="6" t="s">
        <v>35</v>
      </c>
      <c r="B1125" s="6" t="s">
        <v>26</v>
      </c>
      <c r="C1125" s="6" t="s">
        <v>54</v>
      </c>
      <c r="D1125" s="6" t="s">
        <v>112</v>
      </c>
      <c r="E1125" s="6" t="s">
        <v>60</v>
      </c>
      <c r="F1125" s="6" t="s">
        <v>60</v>
      </c>
      <c r="G1125" s="6" t="n">
        <v>14</v>
      </c>
      <c r="H1125" s="6" t="n">
        <v>1453400</v>
      </c>
      <c r="I1125" s="6" t="n">
        <v>493300</v>
      </c>
      <c r="J1125" s="6" t="n">
        <v>2119500</v>
      </c>
      <c r="K1125" s="6" t="n">
        <v>666100</v>
      </c>
      <c r="L1125" s="6" t="n">
        <v>11</v>
      </c>
      <c r="M1125" s="6" t="n">
        <v>0</v>
      </c>
      <c r="N1125" s="6" t="n">
        <v>666.2</v>
      </c>
    </row>
    <row r="1126" customFormat="false" ht="15" hidden="false" customHeight="false" outlineLevel="0" collapsed="false">
      <c r="A1126" s="6" t="s">
        <v>35</v>
      </c>
      <c r="B1126" s="6" t="s">
        <v>26</v>
      </c>
      <c r="C1126" s="6" t="s">
        <v>54</v>
      </c>
      <c r="D1126" s="6" t="s">
        <v>113</v>
      </c>
      <c r="E1126" s="6" t="s">
        <v>58</v>
      </c>
      <c r="F1126" s="6" t="s">
        <v>58</v>
      </c>
      <c r="G1126" s="6" t="n">
        <v>10</v>
      </c>
      <c r="H1126" s="6" t="n">
        <v>1588900</v>
      </c>
      <c r="I1126" s="6" t="n">
        <v>550900</v>
      </c>
      <c r="J1126" s="6" t="n">
        <v>1419900</v>
      </c>
      <c r="K1126" s="6" t="n">
        <v>-169400</v>
      </c>
      <c r="L1126" s="6" t="n">
        <v>4</v>
      </c>
      <c r="M1126" s="6" t="n">
        <v>0</v>
      </c>
      <c r="N1126" s="6" t="n">
        <v>-71.2</v>
      </c>
    </row>
    <row r="1127" customFormat="false" ht="15" hidden="false" customHeight="false" outlineLevel="0" collapsed="false">
      <c r="A1127" s="6" t="s">
        <v>35</v>
      </c>
      <c r="B1127" s="6" t="s">
        <v>26</v>
      </c>
      <c r="C1127" s="6" t="s">
        <v>54</v>
      </c>
      <c r="D1127" s="6" t="s">
        <v>113</v>
      </c>
      <c r="E1127" s="6" t="s">
        <v>58</v>
      </c>
      <c r="F1127" s="6" t="s">
        <v>60</v>
      </c>
      <c r="G1127" s="6" t="n">
        <v>28</v>
      </c>
      <c r="H1127" s="6" t="n">
        <v>3012100</v>
      </c>
      <c r="I1127" s="6" t="n">
        <v>1149700</v>
      </c>
      <c r="J1127" s="6" t="n">
        <v>4556200</v>
      </c>
      <c r="K1127" s="6" t="n">
        <v>1543700</v>
      </c>
      <c r="L1127" s="6" t="n">
        <v>21</v>
      </c>
      <c r="M1127" s="6" t="n">
        <v>0</v>
      </c>
      <c r="N1127" s="6" t="n">
        <v>1609.2</v>
      </c>
    </row>
    <row r="1128" customFormat="false" ht="15" hidden="false" customHeight="false" outlineLevel="0" collapsed="false">
      <c r="A1128" s="6" t="s">
        <v>35</v>
      </c>
      <c r="B1128" s="6" t="s">
        <v>26</v>
      </c>
      <c r="C1128" s="6" t="s">
        <v>54</v>
      </c>
      <c r="D1128" s="6" t="s">
        <v>113</v>
      </c>
      <c r="E1128" s="6" t="s">
        <v>60</v>
      </c>
      <c r="F1128" s="6" t="s">
        <v>58</v>
      </c>
      <c r="G1128" s="6" t="n">
        <v>4</v>
      </c>
      <c r="H1128" s="6" t="n">
        <v>487200</v>
      </c>
      <c r="I1128" s="6" t="n">
        <v>53900</v>
      </c>
      <c r="J1128" s="6" t="n">
        <v>551000</v>
      </c>
      <c r="K1128" s="6" t="n">
        <v>63800</v>
      </c>
      <c r="L1128" s="6" t="n">
        <v>3</v>
      </c>
      <c r="M1128" s="6" t="n">
        <v>0</v>
      </c>
      <c r="N1128" s="6" t="n">
        <v>59.2</v>
      </c>
    </row>
    <row r="1129" customFormat="false" ht="15" hidden="false" customHeight="false" outlineLevel="0" collapsed="false">
      <c r="A1129" s="6" t="s">
        <v>35</v>
      </c>
      <c r="B1129" s="6" t="s">
        <v>26</v>
      </c>
      <c r="C1129" s="6" t="s">
        <v>54</v>
      </c>
      <c r="D1129" s="6" t="s">
        <v>113</v>
      </c>
      <c r="E1129" s="6" t="s">
        <v>60</v>
      </c>
      <c r="F1129" s="6" t="s">
        <v>60</v>
      </c>
      <c r="G1129" s="6" t="n">
        <v>7</v>
      </c>
      <c r="H1129" s="6" t="n">
        <v>759500</v>
      </c>
      <c r="I1129" s="6" t="n">
        <v>555100</v>
      </c>
      <c r="J1129" s="6" t="n">
        <v>1141900</v>
      </c>
      <c r="K1129" s="6" t="n">
        <v>382500</v>
      </c>
      <c r="L1129" s="6" t="n">
        <v>5</v>
      </c>
      <c r="M1129" s="6" t="n">
        <v>0</v>
      </c>
      <c r="N1129" s="6" t="n">
        <v>397.7</v>
      </c>
    </row>
    <row r="1130" customFormat="false" ht="15" hidden="false" customHeight="false" outlineLevel="0" collapsed="false">
      <c r="A1130" s="6" t="s">
        <v>35</v>
      </c>
      <c r="B1130" s="6" t="s">
        <v>26</v>
      </c>
      <c r="C1130" s="6" t="s">
        <v>54</v>
      </c>
      <c r="D1130" s="6" t="s">
        <v>114</v>
      </c>
      <c r="E1130" s="6" t="s">
        <v>58</v>
      </c>
      <c r="F1130" s="6" t="s">
        <v>58</v>
      </c>
      <c r="G1130" s="6" t="n">
        <v>5</v>
      </c>
      <c r="H1130" s="6" t="n">
        <v>741000</v>
      </c>
      <c r="I1130" s="6" t="n">
        <v>406000</v>
      </c>
      <c r="J1130" s="6" t="n">
        <v>752700</v>
      </c>
      <c r="K1130" s="6" t="n">
        <v>11700</v>
      </c>
      <c r="L1130" s="6" t="n">
        <v>1</v>
      </c>
      <c r="M1130" s="6" t="n">
        <v>0</v>
      </c>
      <c r="N1130" s="6" t="n">
        <v>2</v>
      </c>
    </row>
    <row r="1131" customFormat="false" ht="15" hidden="false" customHeight="false" outlineLevel="0" collapsed="false">
      <c r="A1131" s="6" t="s">
        <v>35</v>
      </c>
      <c r="B1131" s="6" t="s">
        <v>26</v>
      </c>
      <c r="C1131" s="6" t="s">
        <v>54</v>
      </c>
      <c r="D1131" s="6" t="s">
        <v>114</v>
      </c>
      <c r="E1131" s="6" t="s">
        <v>58</v>
      </c>
      <c r="F1131" s="6" t="s">
        <v>60</v>
      </c>
      <c r="G1131" s="6" t="n">
        <v>13</v>
      </c>
      <c r="H1131" s="6" t="n">
        <v>1329000</v>
      </c>
      <c r="I1131" s="6" t="n">
        <v>690600</v>
      </c>
      <c r="J1131" s="6" t="n">
        <v>2065200</v>
      </c>
      <c r="K1131" s="6" t="n">
        <v>736400</v>
      </c>
      <c r="L1131" s="6" t="n">
        <v>8</v>
      </c>
      <c r="M1131" s="6" t="n">
        <v>0</v>
      </c>
      <c r="N1131" s="6" t="n">
        <v>795.3</v>
      </c>
    </row>
    <row r="1132" customFormat="false" ht="15" hidden="false" customHeight="false" outlineLevel="0" collapsed="false">
      <c r="A1132" s="6" t="s">
        <v>35</v>
      </c>
      <c r="B1132" s="6" t="s">
        <v>26</v>
      </c>
      <c r="C1132" s="6" t="s">
        <v>54</v>
      </c>
      <c r="D1132" s="6" t="s">
        <v>114</v>
      </c>
      <c r="E1132" s="6" t="s">
        <v>60</v>
      </c>
      <c r="F1132" s="6" t="s">
        <v>58</v>
      </c>
      <c r="G1132" s="6" t="n">
        <v>4</v>
      </c>
      <c r="H1132" s="6" t="n">
        <v>613700</v>
      </c>
      <c r="I1132" s="6" t="n">
        <v>451400</v>
      </c>
      <c r="J1132" s="6" t="n">
        <v>776000</v>
      </c>
      <c r="K1132" s="6" t="n">
        <v>162300</v>
      </c>
      <c r="L1132" s="6" t="n">
        <v>3</v>
      </c>
      <c r="M1132" s="6" t="n">
        <v>0</v>
      </c>
      <c r="N1132" s="6" t="n">
        <v>156.6</v>
      </c>
    </row>
    <row r="1133" customFormat="false" ht="15" hidden="false" customHeight="false" outlineLevel="0" collapsed="false">
      <c r="A1133" s="6" t="s">
        <v>35</v>
      </c>
      <c r="B1133" s="6" t="s">
        <v>26</v>
      </c>
      <c r="C1133" s="6" t="s">
        <v>54</v>
      </c>
      <c r="D1133" s="6" t="s">
        <v>114</v>
      </c>
      <c r="E1133" s="6" t="s">
        <v>60</v>
      </c>
      <c r="F1133" s="6" t="s">
        <v>60</v>
      </c>
      <c r="G1133" s="6" t="n">
        <v>8</v>
      </c>
      <c r="H1133" s="6" t="n">
        <v>915500</v>
      </c>
      <c r="I1133" s="6" t="n">
        <v>195100</v>
      </c>
      <c r="J1133" s="6" t="n">
        <v>1597400</v>
      </c>
      <c r="K1133" s="6" t="n">
        <v>681700</v>
      </c>
      <c r="L1133" s="6" t="n">
        <v>8</v>
      </c>
      <c r="M1133" s="6" t="n">
        <v>0</v>
      </c>
      <c r="N1133" s="6" t="n">
        <v>588.1</v>
      </c>
    </row>
    <row r="1134" customFormat="false" ht="15" hidden="false" customHeight="false" outlineLevel="0" collapsed="false">
      <c r="A1134" s="6" t="s">
        <v>35</v>
      </c>
      <c r="B1134" s="6" t="s">
        <v>26</v>
      </c>
      <c r="C1134" s="6" t="s">
        <v>50</v>
      </c>
      <c r="D1134" s="6" t="s">
        <v>111</v>
      </c>
      <c r="E1134" s="6" t="s">
        <v>58</v>
      </c>
      <c r="F1134" s="6" t="s">
        <v>58</v>
      </c>
      <c r="G1134" s="6" t="n">
        <v>6</v>
      </c>
      <c r="H1134" s="6" t="n">
        <v>1243000</v>
      </c>
      <c r="I1134" s="6" t="n">
        <v>529800</v>
      </c>
      <c r="J1134" s="6" t="n">
        <v>3058300</v>
      </c>
      <c r="K1134" s="6" t="n">
        <v>1815300</v>
      </c>
      <c r="L1134" s="6" t="n">
        <v>6</v>
      </c>
      <c r="M1134" s="6" t="n">
        <v>1</v>
      </c>
      <c r="N1134" s="6" t="n">
        <v>877.6</v>
      </c>
    </row>
    <row r="1135" customFormat="false" ht="15" hidden="false" customHeight="false" outlineLevel="0" collapsed="false">
      <c r="A1135" s="6" t="s">
        <v>35</v>
      </c>
      <c r="B1135" s="6" t="s">
        <v>26</v>
      </c>
      <c r="C1135" s="6" t="s">
        <v>50</v>
      </c>
      <c r="D1135" s="6" t="s">
        <v>111</v>
      </c>
      <c r="E1135" s="6" t="s">
        <v>58</v>
      </c>
      <c r="F1135" s="6" t="s">
        <v>60</v>
      </c>
      <c r="G1135" s="6" t="n">
        <v>12</v>
      </c>
      <c r="H1135" s="6" t="n">
        <v>1735700</v>
      </c>
      <c r="I1135" s="6" t="n">
        <v>725500</v>
      </c>
      <c r="J1135" s="6" t="n">
        <v>4011200</v>
      </c>
      <c r="K1135" s="6" t="n">
        <v>2275700</v>
      </c>
      <c r="L1135" s="6" t="n">
        <v>12</v>
      </c>
      <c r="M1135" s="6" t="n">
        <v>0</v>
      </c>
      <c r="N1135" s="6" t="n">
        <v>1621.7</v>
      </c>
    </row>
    <row r="1136" customFormat="false" ht="15" hidden="false" customHeight="false" outlineLevel="0" collapsed="false">
      <c r="A1136" s="6" t="s">
        <v>35</v>
      </c>
      <c r="B1136" s="6" t="s">
        <v>26</v>
      </c>
      <c r="C1136" s="6" t="s">
        <v>50</v>
      </c>
      <c r="D1136" s="6" t="s">
        <v>111</v>
      </c>
      <c r="E1136" s="6" t="s">
        <v>60</v>
      </c>
      <c r="F1136" s="6" t="s">
        <v>58</v>
      </c>
      <c r="G1136" s="6" t="n">
        <v>1</v>
      </c>
      <c r="H1136" s="6" t="n">
        <v>155900</v>
      </c>
      <c r="I1136" s="6" t="n">
        <v>69200</v>
      </c>
      <c r="J1136" s="6" t="n">
        <v>348100</v>
      </c>
      <c r="K1136" s="6" t="n">
        <v>192300</v>
      </c>
      <c r="L1136" s="6" t="n">
        <v>1</v>
      </c>
      <c r="M1136" s="6" t="n">
        <v>0</v>
      </c>
      <c r="N1136" s="6" t="n">
        <v>123.4</v>
      </c>
    </row>
    <row r="1137" customFormat="false" ht="15" hidden="false" customHeight="false" outlineLevel="0" collapsed="false">
      <c r="A1137" s="6" t="s">
        <v>35</v>
      </c>
      <c r="B1137" s="6" t="s">
        <v>26</v>
      </c>
      <c r="C1137" s="6" t="s">
        <v>50</v>
      </c>
      <c r="D1137" s="6" t="s">
        <v>111</v>
      </c>
      <c r="E1137" s="6" t="s">
        <v>60</v>
      </c>
      <c r="F1137" s="6" t="s">
        <v>60</v>
      </c>
      <c r="G1137" s="6" t="n">
        <v>3</v>
      </c>
      <c r="H1137" s="6" t="n">
        <v>418300</v>
      </c>
      <c r="I1137" s="6" t="n">
        <v>120900</v>
      </c>
      <c r="J1137" s="6" t="n">
        <v>1107900</v>
      </c>
      <c r="K1137" s="6" t="n">
        <v>689600</v>
      </c>
      <c r="L1137" s="6" t="n">
        <v>3</v>
      </c>
      <c r="M1137" s="6" t="n">
        <v>0</v>
      </c>
      <c r="N1137" s="6" t="n">
        <v>526.6</v>
      </c>
    </row>
    <row r="1138" customFormat="false" ht="15" hidden="false" customHeight="false" outlineLevel="0" collapsed="false">
      <c r="A1138" s="6" t="s">
        <v>35</v>
      </c>
      <c r="B1138" s="6" t="s">
        <v>26</v>
      </c>
      <c r="C1138" s="6" t="s">
        <v>50</v>
      </c>
      <c r="D1138" s="6" t="s">
        <v>112</v>
      </c>
      <c r="E1138" s="6" t="s">
        <v>58</v>
      </c>
      <c r="F1138" s="6" t="s">
        <v>58</v>
      </c>
      <c r="G1138" s="6" t="n">
        <v>5</v>
      </c>
      <c r="H1138" s="6" t="n">
        <v>1119300</v>
      </c>
      <c r="I1138" s="6" t="n">
        <v>643600</v>
      </c>
      <c r="J1138" s="6" t="n">
        <v>1622300</v>
      </c>
      <c r="K1138" s="6" t="n">
        <v>503000</v>
      </c>
      <c r="L1138" s="6" t="n">
        <v>4</v>
      </c>
      <c r="M1138" s="6" t="n">
        <v>0</v>
      </c>
      <c r="N1138" s="6" t="n">
        <v>260</v>
      </c>
    </row>
    <row r="1139" customFormat="false" ht="15" hidden="false" customHeight="false" outlineLevel="0" collapsed="false">
      <c r="A1139" s="6" t="s">
        <v>35</v>
      </c>
      <c r="B1139" s="6" t="s">
        <v>26</v>
      </c>
      <c r="C1139" s="6" t="s">
        <v>50</v>
      </c>
      <c r="D1139" s="6" t="s">
        <v>112</v>
      </c>
      <c r="E1139" s="6" t="s">
        <v>58</v>
      </c>
      <c r="F1139" s="6" t="s">
        <v>60</v>
      </c>
      <c r="G1139" s="6" t="n">
        <v>13</v>
      </c>
      <c r="H1139" s="6" t="n">
        <v>1799700</v>
      </c>
      <c r="I1139" s="6" t="n">
        <v>914900</v>
      </c>
      <c r="J1139" s="6" t="n">
        <v>4442800</v>
      </c>
      <c r="K1139" s="6" t="n">
        <v>2643000</v>
      </c>
      <c r="L1139" s="6" t="n">
        <v>13</v>
      </c>
      <c r="M1139" s="6" t="n">
        <v>0</v>
      </c>
      <c r="N1139" s="6" t="n">
        <v>1931</v>
      </c>
    </row>
    <row r="1140" customFormat="false" ht="15" hidden="false" customHeight="false" outlineLevel="0" collapsed="false">
      <c r="A1140" s="6" t="s">
        <v>35</v>
      </c>
      <c r="B1140" s="6" t="s">
        <v>26</v>
      </c>
      <c r="C1140" s="6" t="s">
        <v>50</v>
      </c>
      <c r="D1140" s="6" t="s">
        <v>112</v>
      </c>
      <c r="E1140" s="6" t="s">
        <v>60</v>
      </c>
      <c r="F1140" s="6" t="s">
        <v>58</v>
      </c>
      <c r="G1140" s="6" t="n">
        <v>2</v>
      </c>
      <c r="H1140" s="6" t="n">
        <v>449800</v>
      </c>
      <c r="I1140" s="6" t="n">
        <v>0</v>
      </c>
      <c r="J1140" s="6" t="n">
        <v>748200</v>
      </c>
      <c r="K1140" s="6" t="n">
        <v>298300</v>
      </c>
      <c r="L1140" s="6" t="n">
        <v>2</v>
      </c>
      <c r="M1140" s="6" t="n">
        <v>0</v>
      </c>
      <c r="N1140" s="6" t="n">
        <v>156.7</v>
      </c>
    </row>
    <row r="1141" customFormat="false" ht="15" hidden="false" customHeight="false" outlineLevel="0" collapsed="false">
      <c r="A1141" s="6" t="s">
        <v>35</v>
      </c>
      <c r="B1141" s="6" t="s">
        <v>26</v>
      </c>
      <c r="C1141" s="6" t="s">
        <v>50</v>
      </c>
      <c r="D1141" s="6" t="s">
        <v>112</v>
      </c>
      <c r="E1141" s="6" t="s">
        <v>60</v>
      </c>
      <c r="F1141" s="6" t="s">
        <v>60</v>
      </c>
      <c r="G1141" s="6" t="n">
        <v>6</v>
      </c>
      <c r="H1141" s="6" t="n">
        <v>870700</v>
      </c>
      <c r="I1141" s="6" t="n">
        <v>380600</v>
      </c>
      <c r="J1141" s="6" t="n">
        <v>2274000</v>
      </c>
      <c r="K1141" s="6" t="n">
        <v>1403300</v>
      </c>
      <c r="L1141" s="6" t="n">
        <v>5</v>
      </c>
      <c r="M1141" s="6" t="n">
        <v>2</v>
      </c>
      <c r="N1141" s="6" t="n">
        <v>983.1</v>
      </c>
    </row>
    <row r="1142" customFormat="false" ht="15" hidden="false" customHeight="false" outlineLevel="0" collapsed="false">
      <c r="A1142" s="6" t="s">
        <v>35</v>
      </c>
      <c r="B1142" s="6" t="s">
        <v>26</v>
      </c>
      <c r="C1142" s="6" t="s">
        <v>50</v>
      </c>
      <c r="D1142" s="6" t="s">
        <v>113</v>
      </c>
      <c r="E1142" s="6" t="s">
        <v>58</v>
      </c>
      <c r="F1142" s="6" t="s">
        <v>58</v>
      </c>
      <c r="G1142" s="6" t="n">
        <v>7</v>
      </c>
      <c r="H1142" s="6" t="n">
        <v>1329000</v>
      </c>
      <c r="I1142" s="6" t="n">
        <v>533000</v>
      </c>
      <c r="J1142" s="6" t="n">
        <v>2446100</v>
      </c>
      <c r="K1142" s="6" t="n">
        <v>1117100</v>
      </c>
      <c r="L1142" s="6" t="n">
        <v>6</v>
      </c>
      <c r="M1142" s="6" t="n">
        <v>0</v>
      </c>
      <c r="N1142" s="6" t="n">
        <v>671.2</v>
      </c>
    </row>
    <row r="1143" customFormat="false" ht="15" hidden="false" customHeight="false" outlineLevel="0" collapsed="false">
      <c r="A1143" s="6" t="s">
        <v>35</v>
      </c>
      <c r="B1143" s="6" t="s">
        <v>26</v>
      </c>
      <c r="C1143" s="6" t="s">
        <v>50</v>
      </c>
      <c r="D1143" s="6" t="s">
        <v>113</v>
      </c>
      <c r="E1143" s="6" t="s">
        <v>58</v>
      </c>
      <c r="F1143" s="6" t="s">
        <v>60</v>
      </c>
      <c r="G1143" s="6" t="n">
        <v>18</v>
      </c>
      <c r="H1143" s="6" t="n">
        <v>2490200</v>
      </c>
      <c r="I1143" s="6" t="n">
        <v>1131800</v>
      </c>
      <c r="J1143" s="6" t="n">
        <v>7047200</v>
      </c>
      <c r="K1143" s="6" t="n">
        <v>4556900</v>
      </c>
      <c r="L1143" s="6" t="n">
        <v>18</v>
      </c>
      <c r="M1143" s="6" t="n">
        <v>2</v>
      </c>
      <c r="N1143" s="6" t="n">
        <v>3316.5</v>
      </c>
    </row>
    <row r="1144" customFormat="false" ht="15" hidden="false" customHeight="false" outlineLevel="0" collapsed="false">
      <c r="A1144" s="6" t="s">
        <v>35</v>
      </c>
      <c r="B1144" s="6" t="s">
        <v>26</v>
      </c>
      <c r="C1144" s="6" t="s">
        <v>50</v>
      </c>
      <c r="D1144" s="6" t="s">
        <v>113</v>
      </c>
      <c r="E1144" s="6" t="s">
        <v>60</v>
      </c>
      <c r="F1144" s="6" t="s">
        <v>60</v>
      </c>
      <c r="G1144" s="6" t="n">
        <v>10</v>
      </c>
      <c r="H1144" s="6" t="n">
        <v>1429700</v>
      </c>
      <c r="I1144" s="6" t="n">
        <v>774400</v>
      </c>
      <c r="J1144" s="6" t="n">
        <v>3905300</v>
      </c>
      <c r="K1144" s="6" t="n">
        <v>2475500</v>
      </c>
      <c r="L1144" s="6" t="n">
        <v>10</v>
      </c>
      <c r="M1144" s="6" t="n">
        <v>2</v>
      </c>
      <c r="N1144" s="6" t="n">
        <v>1762.5</v>
      </c>
    </row>
    <row r="1145" customFormat="false" ht="15" hidden="false" customHeight="false" outlineLevel="0" collapsed="false">
      <c r="A1145" s="6" t="s">
        <v>35</v>
      </c>
      <c r="B1145" s="6" t="s">
        <v>26</v>
      </c>
      <c r="C1145" s="6" t="s">
        <v>50</v>
      </c>
      <c r="D1145" s="6" t="s">
        <v>114</v>
      </c>
      <c r="E1145" s="6" t="s">
        <v>58</v>
      </c>
      <c r="F1145" s="6" t="s">
        <v>58</v>
      </c>
      <c r="G1145" s="6" t="n">
        <v>6</v>
      </c>
      <c r="H1145" s="6" t="n">
        <v>1186100</v>
      </c>
      <c r="I1145" s="6" t="n">
        <v>481800</v>
      </c>
      <c r="J1145" s="6" t="n">
        <v>1689200</v>
      </c>
      <c r="K1145" s="6" t="n">
        <v>503200</v>
      </c>
      <c r="L1145" s="6" t="n">
        <v>4</v>
      </c>
      <c r="M1145" s="6" t="n">
        <v>0</v>
      </c>
      <c r="N1145" s="6" t="n">
        <v>246.7</v>
      </c>
    </row>
    <row r="1146" customFormat="false" ht="15" hidden="false" customHeight="false" outlineLevel="0" collapsed="false">
      <c r="A1146" s="6" t="s">
        <v>35</v>
      </c>
      <c r="B1146" s="6" t="s">
        <v>26</v>
      </c>
      <c r="C1146" s="6" t="s">
        <v>50</v>
      </c>
      <c r="D1146" s="6" t="s">
        <v>114</v>
      </c>
      <c r="E1146" s="6" t="s">
        <v>58</v>
      </c>
      <c r="F1146" s="6" t="s">
        <v>60</v>
      </c>
      <c r="G1146" s="6" t="n">
        <v>8</v>
      </c>
      <c r="H1146" s="6" t="n">
        <v>1080600</v>
      </c>
      <c r="I1146" s="6" t="n">
        <v>526100</v>
      </c>
      <c r="J1146" s="6" t="n">
        <v>2686400</v>
      </c>
      <c r="K1146" s="6" t="n">
        <v>1606000</v>
      </c>
      <c r="L1146" s="6" t="n">
        <v>8</v>
      </c>
      <c r="M1146" s="6" t="n">
        <v>0</v>
      </c>
      <c r="N1146" s="6" t="n">
        <v>1222.6</v>
      </c>
    </row>
    <row r="1147" customFormat="false" ht="15" hidden="false" customHeight="false" outlineLevel="0" collapsed="false">
      <c r="A1147" s="6" t="s">
        <v>35</v>
      </c>
      <c r="B1147" s="6" t="s">
        <v>26</v>
      </c>
      <c r="C1147" s="6" t="s">
        <v>50</v>
      </c>
      <c r="D1147" s="6" t="s">
        <v>114</v>
      </c>
      <c r="E1147" s="6" t="s">
        <v>60</v>
      </c>
      <c r="F1147" s="6" t="s">
        <v>58</v>
      </c>
      <c r="G1147" s="6" t="n">
        <v>1</v>
      </c>
      <c r="H1147" s="6" t="n">
        <v>208200</v>
      </c>
      <c r="I1147" s="6" t="n">
        <v>0</v>
      </c>
      <c r="J1147" s="6" t="n">
        <v>201400</v>
      </c>
      <c r="K1147" s="6" t="n">
        <v>-6800</v>
      </c>
      <c r="L1147" s="6" t="n">
        <v>0</v>
      </c>
      <c r="M1147" s="6" t="n">
        <v>0</v>
      </c>
      <c r="N1147" s="6" t="n">
        <v>-3.3</v>
      </c>
    </row>
    <row r="1148" customFormat="false" ht="15" hidden="false" customHeight="false" outlineLevel="0" collapsed="false">
      <c r="A1148" s="6" t="s">
        <v>35</v>
      </c>
      <c r="B1148" s="6" t="s">
        <v>26</v>
      </c>
      <c r="C1148" s="6" t="s">
        <v>50</v>
      </c>
      <c r="D1148" s="6" t="s">
        <v>114</v>
      </c>
      <c r="E1148" s="6" t="s">
        <v>60</v>
      </c>
      <c r="F1148" s="6" t="s">
        <v>60</v>
      </c>
      <c r="G1148" s="6" t="n">
        <v>4</v>
      </c>
      <c r="H1148" s="6" t="n">
        <v>603200</v>
      </c>
      <c r="I1148" s="6" t="n">
        <v>368700</v>
      </c>
      <c r="J1148" s="6" t="n">
        <v>1084100</v>
      </c>
      <c r="K1148" s="6" t="n">
        <v>480900</v>
      </c>
      <c r="L1148" s="6" t="n">
        <v>3</v>
      </c>
      <c r="M1148" s="6" t="n">
        <v>0</v>
      </c>
      <c r="N1148" s="6" t="n">
        <v>366.8</v>
      </c>
    </row>
    <row r="1149" customFormat="false" ht="15" hidden="false" customHeight="false" outlineLevel="0" collapsed="false">
      <c r="A1149" s="6" t="s">
        <v>35</v>
      </c>
      <c r="B1149" s="6" t="s">
        <v>26</v>
      </c>
      <c r="C1149" s="6" t="s">
        <v>52</v>
      </c>
      <c r="D1149" s="6" t="s">
        <v>111</v>
      </c>
      <c r="E1149" s="6" t="s">
        <v>58</v>
      </c>
      <c r="F1149" s="6" t="s">
        <v>58</v>
      </c>
      <c r="G1149" s="6" t="n">
        <v>18</v>
      </c>
      <c r="H1149" s="6" t="n">
        <v>1888600</v>
      </c>
      <c r="I1149" s="6" t="n">
        <v>1114700</v>
      </c>
      <c r="J1149" s="6" t="n">
        <v>3490800</v>
      </c>
      <c r="K1149" s="6" t="n">
        <v>1602400</v>
      </c>
      <c r="L1149" s="6" t="n">
        <v>17</v>
      </c>
      <c r="M1149" s="6" t="n">
        <v>0</v>
      </c>
      <c r="N1149" s="6" t="n">
        <v>1627.1</v>
      </c>
    </row>
    <row r="1150" customFormat="false" ht="15" hidden="false" customHeight="false" outlineLevel="0" collapsed="false">
      <c r="A1150" s="6" t="s">
        <v>35</v>
      </c>
      <c r="B1150" s="6" t="s">
        <v>26</v>
      </c>
      <c r="C1150" s="6" t="s">
        <v>52</v>
      </c>
      <c r="D1150" s="6" t="s">
        <v>111</v>
      </c>
      <c r="E1150" s="6" t="s">
        <v>58</v>
      </c>
      <c r="F1150" s="6" t="s">
        <v>60</v>
      </c>
      <c r="G1150" s="6" t="n">
        <v>60</v>
      </c>
      <c r="H1150" s="6" t="n">
        <v>4487900</v>
      </c>
      <c r="I1150" s="6" t="n">
        <v>1736700</v>
      </c>
      <c r="J1150" s="6" t="n">
        <v>15114600</v>
      </c>
      <c r="K1150" s="6" t="n">
        <v>10627100</v>
      </c>
      <c r="L1150" s="6" t="n">
        <v>60</v>
      </c>
      <c r="M1150" s="6" t="n">
        <v>2</v>
      </c>
      <c r="N1150" s="6" t="n">
        <v>14921.4</v>
      </c>
    </row>
    <row r="1151" customFormat="false" ht="15" hidden="false" customHeight="false" outlineLevel="0" collapsed="false">
      <c r="A1151" s="6" t="s">
        <v>35</v>
      </c>
      <c r="B1151" s="6" t="s">
        <v>26</v>
      </c>
      <c r="C1151" s="6" t="s">
        <v>52</v>
      </c>
      <c r="D1151" s="6" t="s">
        <v>111</v>
      </c>
      <c r="E1151" s="6" t="s">
        <v>60</v>
      </c>
      <c r="F1151" s="6" t="s">
        <v>58</v>
      </c>
      <c r="G1151" s="6" t="n">
        <v>18</v>
      </c>
      <c r="H1151" s="6" t="n">
        <v>1967700</v>
      </c>
      <c r="I1151" s="6" t="n">
        <v>786000</v>
      </c>
      <c r="J1151" s="6" t="n">
        <v>3670500</v>
      </c>
      <c r="K1151" s="6" t="n">
        <v>1702500</v>
      </c>
      <c r="L1151" s="6" t="n">
        <v>16</v>
      </c>
      <c r="M1151" s="6" t="n">
        <v>0</v>
      </c>
      <c r="N1151" s="6" t="n">
        <v>1664.8</v>
      </c>
    </row>
    <row r="1152" customFormat="false" ht="15" hidden="false" customHeight="false" outlineLevel="0" collapsed="false">
      <c r="A1152" s="6" t="s">
        <v>35</v>
      </c>
      <c r="B1152" s="6" t="s">
        <v>26</v>
      </c>
      <c r="C1152" s="6" t="s">
        <v>52</v>
      </c>
      <c r="D1152" s="6" t="s">
        <v>111</v>
      </c>
      <c r="E1152" s="6" t="s">
        <v>60</v>
      </c>
      <c r="F1152" s="6" t="s">
        <v>60</v>
      </c>
      <c r="G1152" s="6" t="n">
        <v>37</v>
      </c>
      <c r="H1152" s="6" t="n">
        <v>2792000</v>
      </c>
      <c r="I1152" s="6" t="n">
        <v>1043700</v>
      </c>
      <c r="J1152" s="6" t="n">
        <v>9836500</v>
      </c>
      <c r="K1152" s="6" t="n">
        <v>7045000</v>
      </c>
      <c r="L1152" s="6" t="n">
        <v>37</v>
      </c>
      <c r="M1152" s="6" t="n">
        <v>0</v>
      </c>
      <c r="N1152" s="6" t="n">
        <v>9850.1</v>
      </c>
    </row>
    <row r="1153" customFormat="false" ht="15" hidden="false" customHeight="false" outlineLevel="0" collapsed="false">
      <c r="A1153" s="6" t="s">
        <v>35</v>
      </c>
      <c r="B1153" s="6" t="s">
        <v>26</v>
      </c>
      <c r="C1153" s="6" t="s">
        <v>52</v>
      </c>
      <c r="D1153" s="6" t="s">
        <v>112</v>
      </c>
      <c r="E1153" s="6" t="s">
        <v>58</v>
      </c>
      <c r="F1153" s="6" t="s">
        <v>58</v>
      </c>
      <c r="G1153" s="6" t="n">
        <v>42</v>
      </c>
      <c r="H1153" s="6" t="n">
        <v>4186600</v>
      </c>
      <c r="I1153" s="6" t="n">
        <v>1755800</v>
      </c>
      <c r="J1153" s="6" t="n">
        <v>9603500</v>
      </c>
      <c r="K1153" s="6" t="n">
        <v>5417000</v>
      </c>
      <c r="L1153" s="6" t="n">
        <v>41</v>
      </c>
      <c r="M1153" s="6" t="n">
        <v>1</v>
      </c>
      <c r="N1153" s="6" t="n">
        <v>5967.6</v>
      </c>
    </row>
    <row r="1154" customFormat="false" ht="15" hidden="false" customHeight="false" outlineLevel="0" collapsed="false">
      <c r="A1154" s="6" t="s">
        <v>35</v>
      </c>
      <c r="B1154" s="6" t="s">
        <v>26</v>
      </c>
      <c r="C1154" s="6" t="s">
        <v>52</v>
      </c>
      <c r="D1154" s="6" t="s">
        <v>112</v>
      </c>
      <c r="E1154" s="6" t="s">
        <v>58</v>
      </c>
      <c r="F1154" s="6" t="s">
        <v>60</v>
      </c>
      <c r="G1154" s="6" t="n">
        <v>58</v>
      </c>
      <c r="H1154" s="6" t="n">
        <v>4408000</v>
      </c>
      <c r="I1154" s="6" t="n">
        <v>1511800</v>
      </c>
      <c r="J1154" s="6" t="n">
        <v>13944300</v>
      </c>
      <c r="K1154" s="6" t="n">
        <v>9537300</v>
      </c>
      <c r="L1154" s="6" t="n">
        <v>58</v>
      </c>
      <c r="M1154" s="6" t="n">
        <v>1</v>
      </c>
      <c r="N1154" s="6" t="n">
        <v>12898.2</v>
      </c>
    </row>
    <row r="1155" customFormat="false" ht="15" hidden="false" customHeight="false" outlineLevel="0" collapsed="false">
      <c r="A1155" s="6" t="s">
        <v>35</v>
      </c>
      <c r="B1155" s="6" t="s">
        <v>26</v>
      </c>
      <c r="C1155" s="6" t="s">
        <v>52</v>
      </c>
      <c r="D1155" s="6" t="s">
        <v>112</v>
      </c>
      <c r="E1155" s="6" t="s">
        <v>60</v>
      </c>
      <c r="F1155" s="6" t="s">
        <v>58</v>
      </c>
      <c r="G1155" s="6" t="n">
        <v>20</v>
      </c>
      <c r="H1155" s="6" t="n">
        <v>2173300</v>
      </c>
      <c r="I1155" s="6" t="n">
        <v>705500</v>
      </c>
      <c r="J1155" s="6" t="n">
        <v>4524700</v>
      </c>
      <c r="K1155" s="6" t="n">
        <v>2351100</v>
      </c>
      <c r="L1155" s="6" t="n">
        <v>18</v>
      </c>
      <c r="M1155" s="6" t="n">
        <v>0</v>
      </c>
      <c r="N1155" s="6" t="n">
        <v>2218.5</v>
      </c>
    </row>
    <row r="1156" customFormat="false" ht="15" hidden="false" customHeight="false" outlineLevel="0" collapsed="false">
      <c r="A1156" s="6" t="s">
        <v>35</v>
      </c>
      <c r="B1156" s="6" t="s">
        <v>26</v>
      </c>
      <c r="C1156" s="6" t="s">
        <v>52</v>
      </c>
      <c r="D1156" s="6" t="s">
        <v>112</v>
      </c>
      <c r="E1156" s="6" t="s">
        <v>60</v>
      </c>
      <c r="F1156" s="6" t="s">
        <v>60</v>
      </c>
      <c r="G1156" s="6" t="n">
        <v>30</v>
      </c>
      <c r="H1156" s="6" t="n">
        <v>2194900</v>
      </c>
      <c r="I1156" s="6" t="n">
        <v>1069000</v>
      </c>
      <c r="J1156" s="6" t="n">
        <v>7249500</v>
      </c>
      <c r="K1156" s="6" t="n">
        <v>5054600</v>
      </c>
      <c r="L1156" s="6" t="n">
        <v>30</v>
      </c>
      <c r="M1156" s="6" t="n">
        <v>0</v>
      </c>
      <c r="N1156" s="6" t="n">
        <v>6993.7</v>
      </c>
    </row>
    <row r="1157" customFormat="false" ht="15" hidden="false" customHeight="false" outlineLevel="0" collapsed="false">
      <c r="A1157" s="6" t="s">
        <v>35</v>
      </c>
      <c r="B1157" s="6" t="s">
        <v>26</v>
      </c>
      <c r="C1157" s="6" t="s">
        <v>52</v>
      </c>
      <c r="D1157" s="6" t="s">
        <v>113</v>
      </c>
      <c r="E1157" s="6" t="s">
        <v>58</v>
      </c>
      <c r="F1157" s="6" t="s">
        <v>58</v>
      </c>
      <c r="G1157" s="6" t="n">
        <v>39</v>
      </c>
      <c r="H1157" s="6" t="n">
        <v>4164000</v>
      </c>
      <c r="I1157" s="6" t="n">
        <v>1420300</v>
      </c>
      <c r="J1157" s="6" t="n">
        <v>9089800</v>
      </c>
      <c r="K1157" s="6" t="n">
        <v>4925200</v>
      </c>
      <c r="L1157" s="6" t="n">
        <v>38</v>
      </c>
      <c r="M1157" s="6" t="n">
        <v>0</v>
      </c>
      <c r="N1157" s="6" t="n">
        <v>4904</v>
      </c>
    </row>
    <row r="1158" customFormat="false" ht="15" hidden="false" customHeight="false" outlineLevel="0" collapsed="false">
      <c r="A1158" s="6" t="s">
        <v>35</v>
      </c>
      <c r="B1158" s="6" t="s">
        <v>26</v>
      </c>
      <c r="C1158" s="6" t="s">
        <v>52</v>
      </c>
      <c r="D1158" s="6" t="s">
        <v>113</v>
      </c>
      <c r="E1158" s="6" t="s">
        <v>58</v>
      </c>
      <c r="F1158" s="6" t="s">
        <v>60</v>
      </c>
      <c r="G1158" s="6" t="n">
        <v>78</v>
      </c>
      <c r="H1158" s="6" t="n">
        <v>5794100</v>
      </c>
      <c r="I1158" s="6" t="n">
        <v>2779200</v>
      </c>
      <c r="J1158" s="6" t="n">
        <v>19517300</v>
      </c>
      <c r="K1158" s="6" t="n">
        <v>13723300</v>
      </c>
      <c r="L1158" s="6" t="n">
        <v>77</v>
      </c>
      <c r="M1158" s="6" t="n">
        <v>1</v>
      </c>
      <c r="N1158" s="6" t="n">
        <v>19193.6</v>
      </c>
    </row>
    <row r="1159" customFormat="false" ht="15" hidden="false" customHeight="false" outlineLevel="0" collapsed="false">
      <c r="A1159" s="6" t="s">
        <v>35</v>
      </c>
      <c r="B1159" s="6" t="s">
        <v>26</v>
      </c>
      <c r="C1159" s="6" t="s">
        <v>52</v>
      </c>
      <c r="D1159" s="6" t="s">
        <v>113</v>
      </c>
      <c r="E1159" s="6" t="s">
        <v>60</v>
      </c>
      <c r="F1159" s="6" t="s">
        <v>58</v>
      </c>
      <c r="G1159" s="6" t="n">
        <v>22</v>
      </c>
      <c r="H1159" s="6" t="n">
        <v>2310700</v>
      </c>
      <c r="I1159" s="6" t="n">
        <v>1319700</v>
      </c>
      <c r="J1159" s="6" t="n">
        <v>4816800</v>
      </c>
      <c r="K1159" s="6" t="n">
        <v>2506100</v>
      </c>
      <c r="L1159" s="6" t="n">
        <v>20</v>
      </c>
      <c r="M1159" s="6" t="n">
        <v>0</v>
      </c>
      <c r="N1159" s="6" t="n">
        <v>2484.6</v>
      </c>
    </row>
    <row r="1160" customFormat="false" ht="15" hidden="false" customHeight="false" outlineLevel="0" collapsed="false">
      <c r="A1160" s="6" t="s">
        <v>35</v>
      </c>
      <c r="B1160" s="6" t="s">
        <v>26</v>
      </c>
      <c r="C1160" s="6" t="s">
        <v>52</v>
      </c>
      <c r="D1160" s="6" t="s">
        <v>113</v>
      </c>
      <c r="E1160" s="6" t="s">
        <v>60</v>
      </c>
      <c r="F1160" s="6" t="s">
        <v>60</v>
      </c>
      <c r="G1160" s="6" t="n">
        <v>50</v>
      </c>
      <c r="H1160" s="6" t="n">
        <v>3783000</v>
      </c>
      <c r="I1160" s="6" t="n">
        <v>1988100</v>
      </c>
      <c r="J1160" s="6" t="n">
        <v>13265300</v>
      </c>
      <c r="K1160" s="6" t="n">
        <v>9482300</v>
      </c>
      <c r="L1160" s="6" t="n">
        <v>50</v>
      </c>
      <c r="M1160" s="6" t="n">
        <v>3</v>
      </c>
      <c r="N1160" s="6" t="n">
        <v>13465.9</v>
      </c>
    </row>
    <row r="1161" customFormat="false" ht="15" hidden="false" customHeight="false" outlineLevel="0" collapsed="false">
      <c r="A1161" s="6" t="s">
        <v>35</v>
      </c>
      <c r="B1161" s="6" t="s">
        <v>26</v>
      </c>
      <c r="C1161" s="6" t="s">
        <v>52</v>
      </c>
      <c r="D1161" s="6" t="s">
        <v>114</v>
      </c>
      <c r="E1161" s="6" t="s">
        <v>58</v>
      </c>
      <c r="F1161" s="6" t="s">
        <v>58</v>
      </c>
      <c r="G1161" s="6" t="n">
        <v>15</v>
      </c>
      <c r="H1161" s="6" t="n">
        <v>1586700</v>
      </c>
      <c r="I1161" s="6" t="n">
        <v>575000</v>
      </c>
      <c r="J1161" s="6" t="n">
        <v>3268000</v>
      </c>
      <c r="K1161" s="6" t="n">
        <v>1681600</v>
      </c>
      <c r="L1161" s="6" t="n">
        <v>14</v>
      </c>
      <c r="M1161" s="6" t="n">
        <v>0</v>
      </c>
      <c r="N1161" s="6" t="n">
        <v>1648.4</v>
      </c>
    </row>
    <row r="1162" customFormat="false" ht="15" hidden="false" customHeight="false" outlineLevel="0" collapsed="false">
      <c r="A1162" s="6" t="s">
        <v>35</v>
      </c>
      <c r="B1162" s="6" t="s">
        <v>26</v>
      </c>
      <c r="C1162" s="6" t="s">
        <v>52</v>
      </c>
      <c r="D1162" s="6" t="s">
        <v>114</v>
      </c>
      <c r="E1162" s="6" t="s">
        <v>58</v>
      </c>
      <c r="F1162" s="6" t="s">
        <v>60</v>
      </c>
      <c r="G1162" s="6" t="n">
        <v>55</v>
      </c>
      <c r="H1162" s="6" t="n">
        <v>4044500</v>
      </c>
      <c r="I1162" s="6" t="n">
        <v>1731500</v>
      </c>
      <c r="J1162" s="6" t="n">
        <v>11828900</v>
      </c>
      <c r="K1162" s="6" t="n">
        <v>7784600</v>
      </c>
      <c r="L1162" s="6" t="n">
        <v>55</v>
      </c>
      <c r="M1162" s="6" t="n">
        <v>0</v>
      </c>
      <c r="N1162" s="6" t="n">
        <v>11141.2</v>
      </c>
    </row>
    <row r="1163" customFormat="false" ht="15" hidden="false" customHeight="false" outlineLevel="0" collapsed="false">
      <c r="A1163" s="6" t="s">
        <v>35</v>
      </c>
      <c r="B1163" s="6" t="s">
        <v>26</v>
      </c>
      <c r="C1163" s="6" t="s">
        <v>52</v>
      </c>
      <c r="D1163" s="6" t="s">
        <v>114</v>
      </c>
      <c r="E1163" s="6" t="s">
        <v>60</v>
      </c>
      <c r="F1163" s="6" t="s">
        <v>58</v>
      </c>
      <c r="G1163" s="6" t="n">
        <v>10</v>
      </c>
      <c r="H1163" s="6" t="n">
        <v>1010900</v>
      </c>
      <c r="I1163" s="6" t="n">
        <v>498800</v>
      </c>
      <c r="J1163" s="6" t="n">
        <v>1860700</v>
      </c>
      <c r="K1163" s="6" t="n">
        <v>850100</v>
      </c>
      <c r="L1163" s="6" t="n">
        <v>9</v>
      </c>
      <c r="M1163" s="6" t="n">
        <v>0</v>
      </c>
      <c r="N1163" s="6" t="n">
        <v>934.4</v>
      </c>
    </row>
    <row r="1164" customFormat="false" ht="15" hidden="false" customHeight="false" outlineLevel="0" collapsed="false">
      <c r="A1164" s="6" t="s">
        <v>35</v>
      </c>
      <c r="B1164" s="6" t="s">
        <v>26</v>
      </c>
      <c r="C1164" s="6" t="s">
        <v>52</v>
      </c>
      <c r="D1164" s="6" t="s">
        <v>114</v>
      </c>
      <c r="E1164" s="6" t="s">
        <v>60</v>
      </c>
      <c r="F1164" s="6" t="s">
        <v>60</v>
      </c>
      <c r="G1164" s="6" t="n">
        <v>35</v>
      </c>
      <c r="H1164" s="6" t="n">
        <v>2730400</v>
      </c>
      <c r="I1164" s="6" t="n">
        <v>955100</v>
      </c>
      <c r="J1164" s="6" t="n">
        <v>9803700</v>
      </c>
      <c r="K1164" s="6" t="n">
        <v>7073400</v>
      </c>
      <c r="L1164" s="6" t="n">
        <v>35</v>
      </c>
      <c r="M1164" s="6" t="n">
        <v>0</v>
      </c>
      <c r="N1164" s="6" t="n">
        <v>9508</v>
      </c>
    </row>
    <row r="1165" customFormat="false" ht="15" hidden="false" customHeight="false" outlineLevel="0" collapsed="false">
      <c r="A1165" s="6" t="s">
        <v>35</v>
      </c>
      <c r="B1165" s="6" t="s">
        <v>26</v>
      </c>
      <c r="C1165" s="6" t="s">
        <v>53</v>
      </c>
      <c r="D1165" s="6" t="s">
        <v>111</v>
      </c>
      <c r="E1165" s="6" t="s">
        <v>58</v>
      </c>
      <c r="F1165" s="6" t="s">
        <v>58</v>
      </c>
      <c r="G1165" s="6" t="n">
        <v>24</v>
      </c>
      <c r="H1165" s="6" t="n">
        <v>1979500</v>
      </c>
      <c r="I1165" s="6" t="n">
        <v>656600</v>
      </c>
      <c r="J1165" s="6" t="n">
        <v>4009200</v>
      </c>
      <c r="K1165" s="6" t="n">
        <v>2029800</v>
      </c>
      <c r="L1165" s="6" t="n">
        <v>24</v>
      </c>
      <c r="M1165" s="6" t="n">
        <v>0</v>
      </c>
      <c r="N1165" s="6" t="n">
        <v>2728.8</v>
      </c>
    </row>
    <row r="1166" customFormat="false" ht="15" hidden="false" customHeight="false" outlineLevel="0" collapsed="false">
      <c r="A1166" s="6" t="s">
        <v>35</v>
      </c>
      <c r="B1166" s="6" t="s">
        <v>26</v>
      </c>
      <c r="C1166" s="6" t="s">
        <v>53</v>
      </c>
      <c r="D1166" s="6" t="s">
        <v>111</v>
      </c>
      <c r="E1166" s="6" t="s">
        <v>58</v>
      </c>
      <c r="F1166" s="6" t="s">
        <v>60</v>
      </c>
      <c r="G1166" s="6" t="n">
        <v>42</v>
      </c>
      <c r="H1166" s="6" t="n">
        <v>2527600</v>
      </c>
      <c r="I1166" s="6" t="n">
        <v>1230700</v>
      </c>
      <c r="J1166" s="6" t="n">
        <v>8593400</v>
      </c>
      <c r="K1166" s="6" t="n">
        <v>6066100</v>
      </c>
      <c r="L1166" s="6" t="n">
        <v>42</v>
      </c>
      <c r="M1166" s="6" t="n">
        <v>0</v>
      </c>
      <c r="N1166" s="6" t="n">
        <v>10550.6</v>
      </c>
    </row>
    <row r="1167" customFormat="false" ht="15" hidden="false" customHeight="false" outlineLevel="0" collapsed="false">
      <c r="A1167" s="6" t="s">
        <v>35</v>
      </c>
      <c r="B1167" s="6" t="s">
        <v>26</v>
      </c>
      <c r="C1167" s="6" t="s">
        <v>53</v>
      </c>
      <c r="D1167" s="6" t="s">
        <v>111</v>
      </c>
      <c r="E1167" s="6" t="s">
        <v>60</v>
      </c>
      <c r="F1167" s="6" t="s">
        <v>58</v>
      </c>
      <c r="G1167" s="6" t="n">
        <v>13</v>
      </c>
      <c r="H1167" s="6" t="n">
        <v>1127100</v>
      </c>
      <c r="I1167" s="6" t="n">
        <v>510400</v>
      </c>
      <c r="J1167" s="6" t="n">
        <v>2054600</v>
      </c>
      <c r="K1167" s="6" t="n">
        <v>927300</v>
      </c>
      <c r="L1167" s="6" t="n">
        <v>13</v>
      </c>
      <c r="M1167" s="6" t="n">
        <v>0</v>
      </c>
      <c r="N1167" s="6" t="n">
        <v>1281.6</v>
      </c>
    </row>
    <row r="1168" customFormat="false" ht="15" hidden="false" customHeight="false" outlineLevel="0" collapsed="false">
      <c r="A1168" s="6" t="s">
        <v>35</v>
      </c>
      <c r="B1168" s="6" t="s">
        <v>26</v>
      </c>
      <c r="C1168" s="6" t="s">
        <v>53</v>
      </c>
      <c r="D1168" s="6" t="s">
        <v>111</v>
      </c>
      <c r="E1168" s="6" t="s">
        <v>60</v>
      </c>
      <c r="F1168" s="6" t="s">
        <v>60</v>
      </c>
      <c r="G1168" s="6" t="n">
        <v>24</v>
      </c>
      <c r="H1168" s="6" t="n">
        <v>1379400</v>
      </c>
      <c r="I1168" s="6" t="n">
        <v>450000</v>
      </c>
      <c r="J1168" s="6" t="n">
        <v>5333900</v>
      </c>
      <c r="K1168" s="6" t="n">
        <v>3954700</v>
      </c>
      <c r="L1168" s="6" t="n">
        <v>24</v>
      </c>
      <c r="M1168" s="6" t="n">
        <v>1</v>
      </c>
      <c r="N1168" s="6" t="n">
        <v>6829.3</v>
      </c>
    </row>
    <row r="1169" customFormat="false" ht="15" hidden="false" customHeight="false" outlineLevel="0" collapsed="false">
      <c r="A1169" s="6" t="s">
        <v>35</v>
      </c>
      <c r="B1169" s="6" t="s">
        <v>26</v>
      </c>
      <c r="C1169" s="6" t="s">
        <v>53</v>
      </c>
      <c r="D1169" s="6" t="s">
        <v>112</v>
      </c>
      <c r="E1169" s="6" t="s">
        <v>58</v>
      </c>
      <c r="F1169" s="6" t="s">
        <v>58</v>
      </c>
      <c r="G1169" s="6" t="n">
        <v>26</v>
      </c>
      <c r="H1169" s="6" t="n">
        <v>2187900</v>
      </c>
      <c r="I1169" s="6" t="n">
        <v>788300</v>
      </c>
      <c r="J1169" s="6" t="n">
        <v>5143300</v>
      </c>
      <c r="K1169" s="6" t="n">
        <v>2955400</v>
      </c>
      <c r="L1169" s="6" t="n">
        <v>25</v>
      </c>
      <c r="M1169" s="6" t="n">
        <v>0</v>
      </c>
      <c r="N1169" s="6" t="n">
        <v>3591.2</v>
      </c>
    </row>
    <row r="1170" customFormat="false" ht="15" hidden="false" customHeight="false" outlineLevel="0" collapsed="false">
      <c r="A1170" s="6" t="s">
        <v>35</v>
      </c>
      <c r="B1170" s="6" t="s">
        <v>26</v>
      </c>
      <c r="C1170" s="6" t="s">
        <v>53</v>
      </c>
      <c r="D1170" s="6" t="s">
        <v>112</v>
      </c>
      <c r="E1170" s="6" t="s">
        <v>58</v>
      </c>
      <c r="F1170" s="6" t="s">
        <v>60</v>
      </c>
      <c r="G1170" s="6" t="n">
        <v>64</v>
      </c>
      <c r="H1170" s="6" t="n">
        <v>3760700</v>
      </c>
      <c r="I1170" s="6" t="n">
        <v>1586100</v>
      </c>
      <c r="J1170" s="6" t="n">
        <v>12217500</v>
      </c>
      <c r="K1170" s="6" t="n">
        <v>8457000</v>
      </c>
      <c r="L1170" s="6" t="n">
        <v>63</v>
      </c>
      <c r="M1170" s="6" t="n">
        <v>0</v>
      </c>
      <c r="N1170" s="6" t="n">
        <v>14942.1</v>
      </c>
    </row>
    <row r="1171" customFormat="false" ht="15" hidden="false" customHeight="false" outlineLevel="0" collapsed="false">
      <c r="A1171" s="6" t="s">
        <v>35</v>
      </c>
      <c r="B1171" s="6" t="s">
        <v>26</v>
      </c>
      <c r="C1171" s="6" t="s">
        <v>53</v>
      </c>
      <c r="D1171" s="6" t="s">
        <v>112</v>
      </c>
      <c r="E1171" s="6" t="s">
        <v>60</v>
      </c>
      <c r="F1171" s="6" t="s">
        <v>58</v>
      </c>
      <c r="G1171" s="6" t="n">
        <v>12</v>
      </c>
      <c r="H1171" s="6" t="n">
        <v>985400</v>
      </c>
      <c r="I1171" s="6" t="n">
        <v>445700</v>
      </c>
      <c r="J1171" s="6" t="n">
        <v>2541300</v>
      </c>
      <c r="K1171" s="6" t="n">
        <v>1555700</v>
      </c>
      <c r="L1171" s="6" t="n">
        <v>12</v>
      </c>
      <c r="M1171" s="6" t="n">
        <v>0</v>
      </c>
      <c r="N1171" s="6" t="n">
        <v>2025</v>
      </c>
    </row>
    <row r="1172" customFormat="false" ht="15" hidden="false" customHeight="false" outlineLevel="0" collapsed="false">
      <c r="A1172" s="6" t="s">
        <v>35</v>
      </c>
      <c r="B1172" s="6" t="s">
        <v>26</v>
      </c>
      <c r="C1172" s="6" t="s">
        <v>53</v>
      </c>
      <c r="D1172" s="6" t="s">
        <v>112</v>
      </c>
      <c r="E1172" s="6" t="s">
        <v>60</v>
      </c>
      <c r="F1172" s="6" t="s">
        <v>60</v>
      </c>
      <c r="G1172" s="6" t="n">
        <v>35</v>
      </c>
      <c r="H1172" s="6" t="n">
        <v>1975900</v>
      </c>
      <c r="I1172" s="6" t="n">
        <v>1020500</v>
      </c>
      <c r="J1172" s="6" t="n">
        <v>7921900</v>
      </c>
      <c r="K1172" s="6" t="n">
        <v>5945800</v>
      </c>
      <c r="L1172" s="6" t="n">
        <v>35</v>
      </c>
      <c r="M1172" s="6" t="n">
        <v>0</v>
      </c>
      <c r="N1172" s="6" t="n">
        <v>10956.7</v>
      </c>
    </row>
    <row r="1173" customFormat="false" ht="15" hidden="false" customHeight="false" outlineLevel="0" collapsed="false">
      <c r="A1173" s="6" t="s">
        <v>35</v>
      </c>
      <c r="B1173" s="6" t="s">
        <v>26</v>
      </c>
      <c r="C1173" s="6" t="s">
        <v>53</v>
      </c>
      <c r="D1173" s="6" t="s">
        <v>113</v>
      </c>
      <c r="E1173" s="6" t="s">
        <v>58</v>
      </c>
      <c r="F1173" s="6" t="s">
        <v>58</v>
      </c>
      <c r="G1173" s="6" t="n">
        <v>27</v>
      </c>
      <c r="H1173" s="6" t="n">
        <v>2156800</v>
      </c>
      <c r="I1173" s="6" t="n">
        <v>807100</v>
      </c>
      <c r="J1173" s="6" t="n">
        <v>4156000</v>
      </c>
      <c r="K1173" s="6" t="n">
        <v>1998800</v>
      </c>
      <c r="L1173" s="6" t="n">
        <v>25</v>
      </c>
      <c r="M1173" s="6" t="n">
        <v>0</v>
      </c>
      <c r="N1173" s="6" t="n">
        <v>2874.9</v>
      </c>
    </row>
    <row r="1174" customFormat="false" ht="15" hidden="false" customHeight="false" outlineLevel="0" collapsed="false">
      <c r="A1174" s="6" t="s">
        <v>35</v>
      </c>
      <c r="B1174" s="6" t="s">
        <v>26</v>
      </c>
      <c r="C1174" s="6" t="s">
        <v>53</v>
      </c>
      <c r="D1174" s="6" t="s">
        <v>113</v>
      </c>
      <c r="E1174" s="6" t="s">
        <v>58</v>
      </c>
      <c r="F1174" s="6" t="s">
        <v>60</v>
      </c>
      <c r="G1174" s="6" t="n">
        <v>72</v>
      </c>
      <c r="H1174" s="6" t="n">
        <v>4160600</v>
      </c>
      <c r="I1174" s="6" t="n">
        <v>1794900</v>
      </c>
      <c r="J1174" s="6" t="n">
        <v>14662900</v>
      </c>
      <c r="K1174" s="6" t="n">
        <v>10502000</v>
      </c>
      <c r="L1174" s="6" t="n">
        <v>71</v>
      </c>
      <c r="M1174" s="6" t="n">
        <v>0</v>
      </c>
      <c r="N1174" s="6" t="n">
        <v>18783.2</v>
      </c>
    </row>
    <row r="1175" customFormat="false" ht="15" hidden="false" customHeight="false" outlineLevel="0" collapsed="false">
      <c r="A1175" s="6" t="s">
        <v>35</v>
      </c>
      <c r="B1175" s="6" t="s">
        <v>26</v>
      </c>
      <c r="C1175" s="6" t="s">
        <v>53</v>
      </c>
      <c r="D1175" s="6" t="s">
        <v>113</v>
      </c>
      <c r="E1175" s="6" t="s">
        <v>60</v>
      </c>
      <c r="F1175" s="6" t="s">
        <v>58</v>
      </c>
      <c r="G1175" s="6" t="n">
        <v>20</v>
      </c>
      <c r="H1175" s="6" t="n">
        <v>1561100</v>
      </c>
      <c r="I1175" s="6" t="n">
        <v>607200</v>
      </c>
      <c r="J1175" s="6" t="n">
        <v>3692100</v>
      </c>
      <c r="K1175" s="6" t="n">
        <v>2131300</v>
      </c>
      <c r="L1175" s="6" t="n">
        <v>19</v>
      </c>
      <c r="M1175" s="6" t="n">
        <v>0</v>
      </c>
      <c r="N1175" s="6" t="n">
        <v>2903.9</v>
      </c>
    </row>
    <row r="1176" customFormat="false" ht="15" hidden="false" customHeight="false" outlineLevel="0" collapsed="false">
      <c r="A1176" s="6" t="s">
        <v>35</v>
      </c>
      <c r="B1176" s="6" t="s">
        <v>26</v>
      </c>
      <c r="C1176" s="6" t="s">
        <v>53</v>
      </c>
      <c r="D1176" s="6" t="s">
        <v>113</v>
      </c>
      <c r="E1176" s="6" t="s">
        <v>60</v>
      </c>
      <c r="F1176" s="6" t="s">
        <v>60</v>
      </c>
      <c r="G1176" s="6" t="n">
        <v>37</v>
      </c>
      <c r="H1176" s="6" t="n">
        <v>2238600</v>
      </c>
      <c r="I1176" s="6" t="n">
        <v>980900</v>
      </c>
      <c r="J1176" s="6" t="n">
        <v>9051300</v>
      </c>
      <c r="K1176" s="6" t="n">
        <v>6812600</v>
      </c>
      <c r="L1176" s="6" t="n">
        <v>37</v>
      </c>
      <c r="M1176" s="6" t="n">
        <v>1</v>
      </c>
      <c r="N1176" s="6" t="n">
        <v>11663</v>
      </c>
    </row>
    <row r="1177" customFormat="false" ht="15" hidden="false" customHeight="false" outlineLevel="0" collapsed="false">
      <c r="A1177" s="6" t="s">
        <v>35</v>
      </c>
      <c r="B1177" s="6" t="s">
        <v>26</v>
      </c>
      <c r="C1177" s="6" t="s">
        <v>53</v>
      </c>
      <c r="D1177" s="6" t="s">
        <v>114</v>
      </c>
      <c r="E1177" s="6" t="s">
        <v>58</v>
      </c>
      <c r="F1177" s="6" t="s">
        <v>58</v>
      </c>
      <c r="G1177" s="6" t="n">
        <v>19</v>
      </c>
      <c r="H1177" s="6" t="n">
        <v>1552600</v>
      </c>
      <c r="I1177" s="6" t="n">
        <v>852500</v>
      </c>
      <c r="J1177" s="6" t="n">
        <v>3456500</v>
      </c>
      <c r="K1177" s="6" t="n">
        <v>1903500</v>
      </c>
      <c r="L1177" s="6" t="n">
        <v>18</v>
      </c>
      <c r="M1177" s="6" t="n">
        <v>0</v>
      </c>
      <c r="N1177" s="6" t="n">
        <v>2527.3</v>
      </c>
    </row>
    <row r="1178" customFormat="false" ht="15" hidden="false" customHeight="false" outlineLevel="0" collapsed="false">
      <c r="A1178" s="6" t="s">
        <v>35</v>
      </c>
      <c r="B1178" s="6" t="s">
        <v>26</v>
      </c>
      <c r="C1178" s="6" t="s">
        <v>53</v>
      </c>
      <c r="D1178" s="6" t="s">
        <v>114</v>
      </c>
      <c r="E1178" s="6" t="s">
        <v>58</v>
      </c>
      <c r="F1178" s="6" t="s">
        <v>60</v>
      </c>
      <c r="G1178" s="6" t="n">
        <v>50</v>
      </c>
      <c r="H1178" s="6" t="n">
        <v>2912600</v>
      </c>
      <c r="I1178" s="6" t="n">
        <v>1363500</v>
      </c>
      <c r="J1178" s="6" t="n">
        <v>9607900</v>
      </c>
      <c r="K1178" s="6" t="n">
        <v>6695200</v>
      </c>
      <c r="L1178" s="6" t="n">
        <v>49</v>
      </c>
      <c r="M1178" s="6" t="n">
        <v>0</v>
      </c>
      <c r="N1178" s="6" t="n">
        <v>11783.9</v>
      </c>
    </row>
    <row r="1179" customFormat="false" ht="15" hidden="false" customHeight="false" outlineLevel="0" collapsed="false">
      <c r="A1179" s="6" t="s">
        <v>35</v>
      </c>
      <c r="B1179" s="6" t="s">
        <v>26</v>
      </c>
      <c r="C1179" s="6" t="s">
        <v>53</v>
      </c>
      <c r="D1179" s="6" t="s">
        <v>114</v>
      </c>
      <c r="E1179" s="6" t="s">
        <v>60</v>
      </c>
      <c r="F1179" s="6" t="s">
        <v>58</v>
      </c>
      <c r="G1179" s="6" t="n">
        <v>15</v>
      </c>
      <c r="H1179" s="6" t="n">
        <v>1319500</v>
      </c>
      <c r="I1179" s="6" t="n">
        <v>514400</v>
      </c>
      <c r="J1179" s="6" t="n">
        <v>3234000</v>
      </c>
      <c r="K1179" s="6" t="n">
        <v>1914300</v>
      </c>
      <c r="L1179" s="6" t="n">
        <v>15</v>
      </c>
      <c r="M1179" s="6" t="n">
        <v>0</v>
      </c>
      <c r="N1179" s="6" t="n">
        <v>2264.3</v>
      </c>
    </row>
    <row r="1180" customFormat="false" ht="15" hidden="false" customHeight="false" outlineLevel="0" collapsed="false">
      <c r="A1180" s="6" t="s">
        <v>35</v>
      </c>
      <c r="B1180" s="6" t="s">
        <v>26</v>
      </c>
      <c r="C1180" s="6" t="s">
        <v>53</v>
      </c>
      <c r="D1180" s="6" t="s">
        <v>114</v>
      </c>
      <c r="E1180" s="6" t="s">
        <v>60</v>
      </c>
      <c r="F1180" s="6" t="s">
        <v>60</v>
      </c>
      <c r="G1180" s="6" t="n">
        <v>22</v>
      </c>
      <c r="H1180" s="6" t="n">
        <v>1336600</v>
      </c>
      <c r="I1180" s="6" t="n">
        <v>614800</v>
      </c>
      <c r="J1180" s="6" t="n">
        <v>4395400</v>
      </c>
      <c r="K1180" s="6" t="n">
        <v>3058800</v>
      </c>
      <c r="L1180" s="6" t="n">
        <v>21</v>
      </c>
      <c r="M1180" s="6" t="n">
        <v>0</v>
      </c>
      <c r="N1180" s="6" t="n">
        <v>5069</v>
      </c>
    </row>
    <row r="1181" customFormat="false" ht="15" hidden="false" customHeight="false" outlineLevel="0" collapsed="false">
      <c r="A1181" s="6" t="s">
        <v>35</v>
      </c>
      <c r="B1181" s="6" t="s">
        <v>26</v>
      </c>
      <c r="C1181" s="6" t="s">
        <v>51</v>
      </c>
      <c r="D1181" s="6" t="s">
        <v>111</v>
      </c>
      <c r="E1181" s="6" t="s">
        <v>58</v>
      </c>
      <c r="F1181" s="6" t="s">
        <v>58</v>
      </c>
      <c r="G1181" s="6" t="n">
        <v>22</v>
      </c>
      <c r="H1181" s="6" t="n">
        <v>2342900</v>
      </c>
      <c r="I1181" s="6" t="n">
        <v>941400</v>
      </c>
      <c r="J1181" s="6" t="n">
        <v>4377000</v>
      </c>
      <c r="K1181" s="6" t="n">
        <v>2033800</v>
      </c>
      <c r="L1181" s="6" t="n">
        <v>21</v>
      </c>
      <c r="M1181" s="6" t="n">
        <v>0</v>
      </c>
      <c r="N1181" s="6" t="n">
        <v>1989.3</v>
      </c>
    </row>
    <row r="1182" customFormat="false" ht="15" hidden="false" customHeight="false" outlineLevel="0" collapsed="false">
      <c r="A1182" s="6" t="s">
        <v>35</v>
      </c>
      <c r="B1182" s="6" t="s">
        <v>26</v>
      </c>
      <c r="C1182" s="6" t="s">
        <v>51</v>
      </c>
      <c r="D1182" s="6" t="s">
        <v>111</v>
      </c>
      <c r="E1182" s="6" t="s">
        <v>58</v>
      </c>
      <c r="F1182" s="6" t="s">
        <v>60</v>
      </c>
      <c r="G1182" s="6" t="n">
        <v>38</v>
      </c>
      <c r="H1182" s="6" t="n">
        <v>3202200</v>
      </c>
      <c r="I1182" s="6" t="n">
        <v>1554100</v>
      </c>
      <c r="J1182" s="6" t="n">
        <v>11315800</v>
      </c>
      <c r="K1182" s="6" t="n">
        <v>8113600</v>
      </c>
      <c r="L1182" s="6" t="n">
        <v>38</v>
      </c>
      <c r="M1182" s="6" t="n">
        <v>4</v>
      </c>
      <c r="N1182" s="6" t="n">
        <v>10042.3</v>
      </c>
    </row>
    <row r="1183" customFormat="false" ht="15" hidden="false" customHeight="false" outlineLevel="0" collapsed="false">
      <c r="A1183" s="6" t="s">
        <v>35</v>
      </c>
      <c r="B1183" s="6" t="s">
        <v>26</v>
      </c>
      <c r="C1183" s="6" t="s">
        <v>51</v>
      </c>
      <c r="D1183" s="6" t="s">
        <v>111</v>
      </c>
      <c r="E1183" s="6" t="s">
        <v>60</v>
      </c>
      <c r="F1183" s="6" t="s">
        <v>58</v>
      </c>
      <c r="G1183" s="6" t="n">
        <v>9</v>
      </c>
      <c r="H1183" s="6" t="n">
        <v>995200</v>
      </c>
      <c r="I1183" s="6" t="n">
        <v>515300</v>
      </c>
      <c r="J1183" s="6" t="n">
        <v>2243400</v>
      </c>
      <c r="K1183" s="6" t="n">
        <v>1248100</v>
      </c>
      <c r="L1183" s="6" t="n">
        <v>9</v>
      </c>
      <c r="M1183" s="6" t="n">
        <v>0</v>
      </c>
      <c r="N1183" s="6" t="n">
        <v>1237.1</v>
      </c>
    </row>
    <row r="1184" customFormat="false" ht="15" hidden="false" customHeight="false" outlineLevel="0" collapsed="false">
      <c r="A1184" s="6" t="s">
        <v>35</v>
      </c>
      <c r="B1184" s="6" t="s">
        <v>26</v>
      </c>
      <c r="C1184" s="6" t="s">
        <v>51</v>
      </c>
      <c r="D1184" s="6" t="s">
        <v>111</v>
      </c>
      <c r="E1184" s="6" t="s">
        <v>60</v>
      </c>
      <c r="F1184" s="6" t="s">
        <v>60</v>
      </c>
      <c r="G1184" s="6" t="n">
        <v>15</v>
      </c>
      <c r="H1184" s="6" t="n">
        <v>1200900</v>
      </c>
      <c r="I1184" s="6" t="n">
        <v>417300</v>
      </c>
      <c r="J1184" s="6" t="n">
        <v>5606200</v>
      </c>
      <c r="K1184" s="6" t="n">
        <v>4405300</v>
      </c>
      <c r="L1184" s="6" t="n">
        <v>15</v>
      </c>
      <c r="M1184" s="6" t="n">
        <v>3</v>
      </c>
      <c r="N1184" s="6" t="n">
        <v>5457.8</v>
      </c>
    </row>
    <row r="1185" customFormat="false" ht="15" hidden="false" customHeight="false" outlineLevel="0" collapsed="false">
      <c r="A1185" s="6" t="s">
        <v>35</v>
      </c>
      <c r="B1185" s="6" t="s">
        <v>26</v>
      </c>
      <c r="C1185" s="6" t="s">
        <v>51</v>
      </c>
      <c r="D1185" s="6" t="s">
        <v>112</v>
      </c>
      <c r="E1185" s="6" t="s">
        <v>58</v>
      </c>
      <c r="F1185" s="6" t="s">
        <v>58</v>
      </c>
      <c r="G1185" s="6" t="n">
        <v>17</v>
      </c>
      <c r="H1185" s="6" t="n">
        <v>1892000</v>
      </c>
      <c r="I1185" s="6" t="n">
        <v>773100</v>
      </c>
      <c r="J1185" s="6" t="n">
        <v>4148200</v>
      </c>
      <c r="K1185" s="6" t="n">
        <v>2256200</v>
      </c>
      <c r="L1185" s="6" t="n">
        <v>17</v>
      </c>
      <c r="M1185" s="6" t="n">
        <v>0</v>
      </c>
      <c r="N1185" s="6" t="n">
        <v>2219.9</v>
      </c>
    </row>
    <row r="1186" customFormat="false" ht="15" hidden="false" customHeight="false" outlineLevel="0" collapsed="false">
      <c r="A1186" s="6" t="s">
        <v>35</v>
      </c>
      <c r="B1186" s="6" t="s">
        <v>26</v>
      </c>
      <c r="C1186" s="6" t="s">
        <v>51</v>
      </c>
      <c r="D1186" s="6" t="s">
        <v>112</v>
      </c>
      <c r="E1186" s="6" t="s">
        <v>58</v>
      </c>
      <c r="F1186" s="6" t="s">
        <v>60</v>
      </c>
      <c r="G1186" s="6" t="n">
        <v>34</v>
      </c>
      <c r="H1186" s="6" t="n">
        <v>2862700</v>
      </c>
      <c r="I1186" s="6" t="n">
        <v>1266900</v>
      </c>
      <c r="J1186" s="6" t="n">
        <v>8622700</v>
      </c>
      <c r="K1186" s="6" t="n">
        <v>5759700</v>
      </c>
      <c r="L1186" s="6" t="n">
        <v>34</v>
      </c>
      <c r="M1186" s="6" t="n">
        <v>1</v>
      </c>
      <c r="N1186" s="6" t="n">
        <v>7143</v>
      </c>
    </row>
    <row r="1187" customFormat="false" ht="15" hidden="false" customHeight="false" outlineLevel="0" collapsed="false">
      <c r="A1187" s="6" t="s">
        <v>35</v>
      </c>
      <c r="B1187" s="6" t="s">
        <v>26</v>
      </c>
      <c r="C1187" s="6" t="s">
        <v>51</v>
      </c>
      <c r="D1187" s="6" t="s">
        <v>112</v>
      </c>
      <c r="E1187" s="6" t="s">
        <v>60</v>
      </c>
      <c r="F1187" s="6" t="s">
        <v>58</v>
      </c>
      <c r="G1187" s="6" t="n">
        <v>13</v>
      </c>
      <c r="H1187" s="6" t="n">
        <v>1490000</v>
      </c>
      <c r="I1187" s="6" t="n">
        <v>679400</v>
      </c>
      <c r="J1187" s="6" t="n">
        <v>4051300</v>
      </c>
      <c r="K1187" s="6" t="n">
        <v>2561500</v>
      </c>
      <c r="L1187" s="6" t="n">
        <v>13</v>
      </c>
      <c r="M1187" s="6" t="n">
        <v>0</v>
      </c>
      <c r="N1187" s="6" t="n">
        <v>2522.6</v>
      </c>
    </row>
    <row r="1188" customFormat="false" ht="15" hidden="false" customHeight="false" outlineLevel="0" collapsed="false">
      <c r="A1188" s="6" t="s">
        <v>35</v>
      </c>
      <c r="B1188" s="6" t="s">
        <v>26</v>
      </c>
      <c r="C1188" s="6" t="s">
        <v>51</v>
      </c>
      <c r="D1188" s="6" t="s">
        <v>112</v>
      </c>
      <c r="E1188" s="6" t="s">
        <v>60</v>
      </c>
      <c r="F1188" s="6" t="s">
        <v>60</v>
      </c>
      <c r="G1188" s="6" t="n">
        <v>17</v>
      </c>
      <c r="H1188" s="6" t="n">
        <v>1310200</v>
      </c>
      <c r="I1188" s="6" t="n">
        <v>432300</v>
      </c>
      <c r="J1188" s="6" t="n">
        <v>5588100</v>
      </c>
      <c r="K1188" s="6" t="n">
        <v>4278100</v>
      </c>
      <c r="L1188" s="6" t="n">
        <v>17</v>
      </c>
      <c r="M1188" s="6" t="n">
        <v>1</v>
      </c>
      <c r="N1188" s="6" t="n">
        <v>5763.6</v>
      </c>
    </row>
    <row r="1189" customFormat="false" ht="15" hidden="false" customHeight="false" outlineLevel="0" collapsed="false">
      <c r="A1189" s="6" t="s">
        <v>35</v>
      </c>
      <c r="B1189" s="6" t="s">
        <v>26</v>
      </c>
      <c r="C1189" s="6" t="s">
        <v>51</v>
      </c>
      <c r="D1189" s="6" t="s">
        <v>113</v>
      </c>
      <c r="E1189" s="6" t="s">
        <v>58</v>
      </c>
      <c r="F1189" s="6" t="s">
        <v>58</v>
      </c>
      <c r="G1189" s="6" t="n">
        <v>16</v>
      </c>
      <c r="H1189" s="6" t="n">
        <v>2037600</v>
      </c>
      <c r="I1189" s="6" t="n">
        <v>1220200</v>
      </c>
      <c r="J1189" s="6" t="n">
        <v>3296500</v>
      </c>
      <c r="K1189" s="6" t="n">
        <v>1259100</v>
      </c>
      <c r="L1189" s="6" t="n">
        <v>13</v>
      </c>
      <c r="M1189" s="6" t="n">
        <v>0</v>
      </c>
      <c r="N1189" s="6" t="n">
        <v>1261.2</v>
      </c>
    </row>
    <row r="1190" customFormat="false" ht="15" hidden="false" customHeight="false" outlineLevel="0" collapsed="false">
      <c r="A1190" s="6" t="s">
        <v>35</v>
      </c>
      <c r="B1190" s="6" t="s">
        <v>26</v>
      </c>
      <c r="C1190" s="6" t="s">
        <v>51</v>
      </c>
      <c r="D1190" s="6" t="s">
        <v>113</v>
      </c>
      <c r="E1190" s="6" t="s">
        <v>58</v>
      </c>
      <c r="F1190" s="6" t="s">
        <v>60</v>
      </c>
      <c r="G1190" s="6" t="n">
        <v>45</v>
      </c>
      <c r="H1190" s="6" t="n">
        <v>3796200</v>
      </c>
      <c r="I1190" s="6" t="n">
        <v>1818400</v>
      </c>
      <c r="J1190" s="6" t="n">
        <v>11068600</v>
      </c>
      <c r="K1190" s="6" t="n">
        <v>7272300</v>
      </c>
      <c r="L1190" s="6" t="n">
        <v>45</v>
      </c>
      <c r="M1190" s="6" t="n">
        <v>0</v>
      </c>
      <c r="N1190" s="6" t="n">
        <v>8992.4</v>
      </c>
    </row>
    <row r="1191" customFormat="false" ht="15" hidden="false" customHeight="false" outlineLevel="0" collapsed="false">
      <c r="A1191" s="6" t="s">
        <v>35</v>
      </c>
      <c r="B1191" s="6" t="s">
        <v>26</v>
      </c>
      <c r="C1191" s="6" t="s">
        <v>51</v>
      </c>
      <c r="D1191" s="6" t="s">
        <v>113</v>
      </c>
      <c r="E1191" s="6" t="s">
        <v>60</v>
      </c>
      <c r="F1191" s="6" t="s">
        <v>58</v>
      </c>
      <c r="G1191" s="6" t="n">
        <v>15</v>
      </c>
      <c r="H1191" s="6" t="n">
        <v>1808700</v>
      </c>
      <c r="I1191" s="6" t="n">
        <v>788500</v>
      </c>
      <c r="J1191" s="6" t="n">
        <v>4450600</v>
      </c>
      <c r="K1191" s="6" t="n">
        <v>2642000</v>
      </c>
      <c r="L1191" s="6" t="n">
        <v>15</v>
      </c>
      <c r="M1191" s="6" t="n">
        <v>0</v>
      </c>
      <c r="N1191" s="6" t="n">
        <v>2315.9</v>
      </c>
    </row>
    <row r="1192" customFormat="false" ht="15" hidden="false" customHeight="false" outlineLevel="0" collapsed="false">
      <c r="A1192" s="6" t="s">
        <v>35</v>
      </c>
      <c r="B1192" s="6" t="s">
        <v>26</v>
      </c>
      <c r="C1192" s="6" t="s">
        <v>51</v>
      </c>
      <c r="D1192" s="6" t="s">
        <v>113</v>
      </c>
      <c r="E1192" s="6" t="s">
        <v>60</v>
      </c>
      <c r="F1192" s="6" t="s">
        <v>60</v>
      </c>
      <c r="G1192" s="6" t="n">
        <v>28</v>
      </c>
      <c r="H1192" s="6" t="n">
        <v>2343200</v>
      </c>
      <c r="I1192" s="6" t="n">
        <v>956100</v>
      </c>
      <c r="J1192" s="6" t="n">
        <v>7664800</v>
      </c>
      <c r="K1192" s="6" t="n">
        <v>5321400</v>
      </c>
      <c r="L1192" s="6" t="n">
        <v>28</v>
      </c>
      <c r="M1192" s="6" t="n">
        <v>1</v>
      </c>
      <c r="N1192" s="6" t="n">
        <v>6809.3</v>
      </c>
    </row>
    <row r="1193" customFormat="false" ht="15" hidden="false" customHeight="false" outlineLevel="0" collapsed="false">
      <c r="A1193" s="6" t="s">
        <v>35</v>
      </c>
      <c r="B1193" s="6" t="s">
        <v>26</v>
      </c>
      <c r="C1193" s="6" t="s">
        <v>51</v>
      </c>
      <c r="D1193" s="6" t="s">
        <v>114</v>
      </c>
      <c r="E1193" s="6" t="s">
        <v>58</v>
      </c>
      <c r="F1193" s="6" t="s">
        <v>58</v>
      </c>
      <c r="G1193" s="6" t="n">
        <v>19</v>
      </c>
      <c r="H1193" s="6" t="n">
        <v>2263500</v>
      </c>
      <c r="I1193" s="6" t="n">
        <v>966800</v>
      </c>
      <c r="J1193" s="6" t="n">
        <v>4045000</v>
      </c>
      <c r="K1193" s="6" t="n">
        <v>1781400</v>
      </c>
      <c r="L1193" s="6" t="n">
        <v>16</v>
      </c>
      <c r="M1193" s="6" t="n">
        <v>0</v>
      </c>
      <c r="N1193" s="6" t="n">
        <v>1666.6</v>
      </c>
    </row>
    <row r="1194" customFormat="false" ht="15" hidden="false" customHeight="false" outlineLevel="0" collapsed="false">
      <c r="A1194" s="6" t="s">
        <v>35</v>
      </c>
      <c r="B1194" s="6" t="s">
        <v>26</v>
      </c>
      <c r="C1194" s="6" t="s">
        <v>51</v>
      </c>
      <c r="D1194" s="6" t="s">
        <v>114</v>
      </c>
      <c r="E1194" s="6" t="s">
        <v>58</v>
      </c>
      <c r="F1194" s="6" t="s">
        <v>60</v>
      </c>
      <c r="G1194" s="6" t="n">
        <v>34</v>
      </c>
      <c r="H1194" s="6" t="n">
        <v>2730400</v>
      </c>
      <c r="I1194" s="6" t="n">
        <v>1348700</v>
      </c>
      <c r="J1194" s="6" t="n">
        <v>9345900</v>
      </c>
      <c r="K1194" s="6" t="n">
        <v>6615500</v>
      </c>
      <c r="L1194" s="6" t="n">
        <v>34</v>
      </c>
      <c r="M1194" s="6" t="n">
        <v>0</v>
      </c>
      <c r="N1194" s="6" t="n">
        <v>8780.7</v>
      </c>
    </row>
    <row r="1195" customFormat="false" ht="15" hidden="false" customHeight="false" outlineLevel="0" collapsed="false">
      <c r="A1195" s="6" t="s">
        <v>35</v>
      </c>
      <c r="B1195" s="6" t="s">
        <v>26</v>
      </c>
      <c r="C1195" s="6" t="s">
        <v>51</v>
      </c>
      <c r="D1195" s="6" t="s">
        <v>114</v>
      </c>
      <c r="E1195" s="6" t="s">
        <v>60</v>
      </c>
      <c r="F1195" s="6" t="s">
        <v>58</v>
      </c>
      <c r="G1195" s="6" t="n">
        <v>12</v>
      </c>
      <c r="H1195" s="6" t="n">
        <v>1288300</v>
      </c>
      <c r="I1195" s="6" t="n">
        <v>576500</v>
      </c>
      <c r="J1195" s="6" t="n">
        <v>3242400</v>
      </c>
      <c r="K1195" s="6" t="n">
        <v>1953900</v>
      </c>
      <c r="L1195" s="6" t="n">
        <v>11</v>
      </c>
      <c r="M1195" s="6" t="n">
        <v>0</v>
      </c>
      <c r="N1195" s="6" t="n">
        <v>1854.8</v>
      </c>
    </row>
    <row r="1196" customFormat="false" ht="15" hidden="false" customHeight="false" outlineLevel="0" collapsed="false">
      <c r="A1196" s="6" t="s">
        <v>35</v>
      </c>
      <c r="B1196" s="6" t="s">
        <v>26</v>
      </c>
      <c r="C1196" s="6" t="s">
        <v>51</v>
      </c>
      <c r="D1196" s="6" t="s">
        <v>114</v>
      </c>
      <c r="E1196" s="6" t="s">
        <v>60</v>
      </c>
      <c r="F1196" s="6" t="s">
        <v>60</v>
      </c>
      <c r="G1196" s="6" t="n">
        <v>21</v>
      </c>
      <c r="H1196" s="6" t="n">
        <v>1755800</v>
      </c>
      <c r="I1196" s="6" t="n">
        <v>782000</v>
      </c>
      <c r="J1196" s="6" t="n">
        <v>6470100</v>
      </c>
      <c r="K1196" s="6" t="n">
        <v>4714200</v>
      </c>
      <c r="L1196" s="6" t="n">
        <v>21</v>
      </c>
      <c r="M1196" s="6" t="n">
        <v>0</v>
      </c>
      <c r="N1196" s="6" t="n">
        <v>5874</v>
      </c>
    </row>
    <row r="1197" customFormat="false" ht="15" hidden="false" customHeight="false" outlineLevel="0" collapsed="false">
      <c r="A1197" s="6" t="s">
        <v>31</v>
      </c>
      <c r="B1197" s="6" t="s">
        <v>24</v>
      </c>
      <c r="C1197" s="6" t="s">
        <v>54</v>
      </c>
      <c r="D1197" s="6" t="s">
        <v>111</v>
      </c>
      <c r="E1197" s="6" t="s">
        <v>58</v>
      </c>
      <c r="F1197" s="6" t="s">
        <v>58</v>
      </c>
      <c r="G1197" s="6" t="n">
        <v>6</v>
      </c>
      <c r="H1197" s="6" t="n">
        <v>915600</v>
      </c>
      <c r="I1197" s="6" t="n">
        <v>174700</v>
      </c>
      <c r="J1197" s="6" t="n">
        <v>1456000</v>
      </c>
      <c r="K1197" s="6" t="n">
        <v>540400</v>
      </c>
      <c r="L1197" s="6" t="n">
        <v>5</v>
      </c>
      <c r="M1197" s="6" t="n">
        <v>0</v>
      </c>
      <c r="N1197" s="6" t="n">
        <v>371.8</v>
      </c>
    </row>
    <row r="1198" customFormat="false" ht="15" hidden="false" customHeight="false" outlineLevel="0" collapsed="false">
      <c r="A1198" s="6" t="s">
        <v>31</v>
      </c>
      <c r="B1198" s="6" t="s">
        <v>24</v>
      </c>
      <c r="C1198" s="6" t="s">
        <v>54</v>
      </c>
      <c r="D1198" s="6" t="s">
        <v>111</v>
      </c>
      <c r="E1198" s="6" t="s">
        <v>58</v>
      </c>
      <c r="F1198" s="6" t="s">
        <v>60</v>
      </c>
      <c r="G1198" s="6" t="n">
        <v>16</v>
      </c>
      <c r="H1198" s="6" t="n">
        <v>1635000</v>
      </c>
      <c r="I1198" s="6" t="n">
        <v>795700</v>
      </c>
      <c r="J1198" s="6" t="n">
        <v>5891800</v>
      </c>
      <c r="K1198" s="6" t="n">
        <v>4256900</v>
      </c>
      <c r="L1198" s="6" t="n">
        <v>16</v>
      </c>
      <c r="M1198" s="6" t="n">
        <v>1</v>
      </c>
      <c r="N1198" s="6" t="n">
        <v>4254.5</v>
      </c>
    </row>
    <row r="1199" customFormat="false" ht="15" hidden="false" customHeight="false" outlineLevel="0" collapsed="false">
      <c r="A1199" s="6" t="s">
        <v>31</v>
      </c>
      <c r="B1199" s="6" t="s">
        <v>24</v>
      </c>
      <c r="C1199" s="6" t="s">
        <v>54</v>
      </c>
      <c r="D1199" s="6" t="s">
        <v>111</v>
      </c>
      <c r="E1199" s="6" t="s">
        <v>60</v>
      </c>
      <c r="F1199" s="6" t="s">
        <v>58</v>
      </c>
      <c r="G1199" s="6" t="n">
        <v>7</v>
      </c>
      <c r="H1199" s="6" t="n">
        <v>1081600</v>
      </c>
      <c r="I1199" s="6" t="n">
        <v>319500</v>
      </c>
      <c r="J1199" s="6" t="n">
        <v>2505000</v>
      </c>
      <c r="K1199" s="6" t="n">
        <v>1423400</v>
      </c>
      <c r="L1199" s="6" t="n">
        <v>6</v>
      </c>
      <c r="M1199" s="6" t="n">
        <v>1</v>
      </c>
      <c r="N1199" s="6" t="n">
        <v>933.7</v>
      </c>
    </row>
    <row r="1200" customFormat="false" ht="15" hidden="false" customHeight="false" outlineLevel="0" collapsed="false">
      <c r="A1200" s="6" t="s">
        <v>31</v>
      </c>
      <c r="B1200" s="6" t="s">
        <v>24</v>
      </c>
      <c r="C1200" s="6" t="s">
        <v>54</v>
      </c>
      <c r="D1200" s="6" t="s">
        <v>111</v>
      </c>
      <c r="E1200" s="6" t="s">
        <v>60</v>
      </c>
      <c r="F1200" s="6" t="s">
        <v>60</v>
      </c>
      <c r="G1200" s="6" t="n">
        <v>16</v>
      </c>
      <c r="H1200" s="6" t="n">
        <v>1558300</v>
      </c>
      <c r="I1200" s="6" t="n">
        <v>526500</v>
      </c>
      <c r="J1200" s="6" t="n">
        <v>4796100</v>
      </c>
      <c r="K1200" s="6" t="n">
        <v>3237600</v>
      </c>
      <c r="L1200" s="6" t="n">
        <v>16</v>
      </c>
      <c r="M1200" s="6" t="n">
        <v>1</v>
      </c>
      <c r="N1200" s="6" t="n">
        <v>3546.3</v>
      </c>
    </row>
    <row r="1201" customFormat="false" ht="15" hidden="false" customHeight="false" outlineLevel="0" collapsed="false">
      <c r="A1201" s="6" t="s">
        <v>31</v>
      </c>
      <c r="B1201" s="6" t="s">
        <v>24</v>
      </c>
      <c r="C1201" s="6" t="s">
        <v>54</v>
      </c>
      <c r="D1201" s="6" t="s">
        <v>112</v>
      </c>
      <c r="E1201" s="6" t="s">
        <v>58</v>
      </c>
      <c r="F1201" s="6" t="s">
        <v>58</v>
      </c>
      <c r="G1201" s="6" t="n">
        <v>5</v>
      </c>
      <c r="H1201" s="6" t="n">
        <v>677700</v>
      </c>
      <c r="I1201" s="6" t="n">
        <v>408300</v>
      </c>
      <c r="J1201" s="6" t="n">
        <v>1114200</v>
      </c>
      <c r="K1201" s="6" t="n">
        <v>436500</v>
      </c>
      <c r="L1201" s="6" t="n">
        <v>5</v>
      </c>
      <c r="M1201" s="6" t="n">
        <v>0</v>
      </c>
      <c r="N1201" s="6" t="n">
        <v>332.3</v>
      </c>
    </row>
    <row r="1202" customFormat="false" ht="15" hidden="false" customHeight="false" outlineLevel="0" collapsed="false">
      <c r="A1202" s="6" t="s">
        <v>31</v>
      </c>
      <c r="B1202" s="6" t="s">
        <v>24</v>
      </c>
      <c r="C1202" s="6" t="s">
        <v>54</v>
      </c>
      <c r="D1202" s="6" t="s">
        <v>112</v>
      </c>
      <c r="E1202" s="6" t="s">
        <v>58</v>
      </c>
      <c r="F1202" s="6" t="s">
        <v>60</v>
      </c>
      <c r="G1202" s="6" t="n">
        <v>9</v>
      </c>
      <c r="H1202" s="6" t="n">
        <v>979300</v>
      </c>
      <c r="I1202" s="6" t="n">
        <v>275700</v>
      </c>
      <c r="J1202" s="6" t="n">
        <v>2449500</v>
      </c>
      <c r="K1202" s="6" t="n">
        <v>1470200</v>
      </c>
      <c r="L1202" s="6" t="n">
        <v>9</v>
      </c>
      <c r="M1202" s="6" t="n">
        <v>0</v>
      </c>
      <c r="N1202" s="6" t="n">
        <v>1353.3</v>
      </c>
    </row>
    <row r="1203" customFormat="false" ht="15" hidden="false" customHeight="false" outlineLevel="0" collapsed="false">
      <c r="A1203" s="6" t="s">
        <v>31</v>
      </c>
      <c r="B1203" s="6" t="s">
        <v>24</v>
      </c>
      <c r="C1203" s="6" t="s">
        <v>54</v>
      </c>
      <c r="D1203" s="6" t="s">
        <v>112</v>
      </c>
      <c r="E1203" s="6" t="s">
        <v>60</v>
      </c>
      <c r="F1203" s="6" t="s">
        <v>58</v>
      </c>
      <c r="G1203" s="6" t="n">
        <v>10</v>
      </c>
      <c r="H1203" s="6" t="n">
        <v>1465100</v>
      </c>
      <c r="I1203" s="6" t="n">
        <v>56600</v>
      </c>
      <c r="J1203" s="6" t="n">
        <v>3753500</v>
      </c>
      <c r="K1203" s="6" t="n">
        <v>2288300</v>
      </c>
      <c r="L1203" s="6" t="n">
        <v>9</v>
      </c>
      <c r="M1203" s="6" t="n">
        <v>0</v>
      </c>
      <c r="N1203" s="6" t="n">
        <v>1581.1</v>
      </c>
    </row>
    <row r="1204" customFormat="false" ht="15" hidden="false" customHeight="false" outlineLevel="0" collapsed="false">
      <c r="A1204" s="6" t="s">
        <v>31</v>
      </c>
      <c r="B1204" s="6" t="s">
        <v>24</v>
      </c>
      <c r="C1204" s="6" t="s">
        <v>54</v>
      </c>
      <c r="D1204" s="6" t="s">
        <v>112</v>
      </c>
      <c r="E1204" s="6" t="s">
        <v>60</v>
      </c>
      <c r="F1204" s="6" t="s">
        <v>60</v>
      </c>
      <c r="G1204" s="6" t="n">
        <v>13</v>
      </c>
      <c r="H1204" s="6" t="n">
        <v>1320300</v>
      </c>
      <c r="I1204" s="6" t="n">
        <v>407800</v>
      </c>
      <c r="J1204" s="6" t="n">
        <v>5008600</v>
      </c>
      <c r="K1204" s="6" t="n">
        <v>3688500</v>
      </c>
      <c r="L1204" s="6" t="n">
        <v>13</v>
      </c>
      <c r="M1204" s="6" t="n">
        <v>2</v>
      </c>
      <c r="N1204" s="6" t="n">
        <v>3666.9</v>
      </c>
    </row>
    <row r="1205" customFormat="false" ht="15" hidden="false" customHeight="false" outlineLevel="0" collapsed="false">
      <c r="A1205" s="6" t="s">
        <v>31</v>
      </c>
      <c r="B1205" s="6" t="s">
        <v>24</v>
      </c>
      <c r="C1205" s="6" t="s">
        <v>54</v>
      </c>
      <c r="D1205" s="6" t="s">
        <v>113</v>
      </c>
      <c r="E1205" s="6" t="s">
        <v>58</v>
      </c>
      <c r="F1205" s="6" t="s">
        <v>58</v>
      </c>
      <c r="G1205" s="6" t="n">
        <v>16</v>
      </c>
      <c r="H1205" s="6" t="n">
        <v>2222700</v>
      </c>
      <c r="I1205" s="6" t="n">
        <v>1263500</v>
      </c>
      <c r="J1205" s="6" t="n">
        <v>4962600</v>
      </c>
      <c r="K1205" s="6" t="n">
        <v>2739700</v>
      </c>
      <c r="L1205" s="6" t="n">
        <v>16</v>
      </c>
      <c r="M1205" s="6" t="n">
        <v>1</v>
      </c>
      <c r="N1205" s="6" t="n">
        <v>2064.3</v>
      </c>
    </row>
    <row r="1206" customFormat="false" ht="15" hidden="false" customHeight="false" outlineLevel="0" collapsed="false">
      <c r="A1206" s="6" t="s">
        <v>31</v>
      </c>
      <c r="B1206" s="6" t="s">
        <v>24</v>
      </c>
      <c r="C1206" s="6" t="s">
        <v>54</v>
      </c>
      <c r="D1206" s="6" t="s">
        <v>113</v>
      </c>
      <c r="E1206" s="6" t="s">
        <v>58</v>
      </c>
      <c r="F1206" s="6" t="s">
        <v>60</v>
      </c>
      <c r="G1206" s="6" t="n">
        <v>21</v>
      </c>
      <c r="H1206" s="6" t="n">
        <v>2275100</v>
      </c>
      <c r="I1206" s="6" t="n">
        <v>940400</v>
      </c>
      <c r="J1206" s="6" t="n">
        <v>7580200</v>
      </c>
      <c r="K1206" s="6" t="n">
        <v>5305100</v>
      </c>
      <c r="L1206" s="6" t="n">
        <v>21</v>
      </c>
      <c r="M1206" s="6" t="n">
        <v>4</v>
      </c>
      <c r="N1206" s="6" t="n">
        <v>4993.6</v>
      </c>
    </row>
    <row r="1207" customFormat="false" ht="15" hidden="false" customHeight="false" outlineLevel="0" collapsed="false">
      <c r="A1207" s="6" t="s">
        <v>31</v>
      </c>
      <c r="B1207" s="6" t="s">
        <v>24</v>
      </c>
      <c r="C1207" s="6" t="s">
        <v>54</v>
      </c>
      <c r="D1207" s="6" t="s">
        <v>113</v>
      </c>
      <c r="E1207" s="6" t="s">
        <v>60</v>
      </c>
      <c r="F1207" s="6" t="s">
        <v>58</v>
      </c>
      <c r="G1207" s="6" t="n">
        <v>5</v>
      </c>
      <c r="H1207" s="6" t="n">
        <v>757500</v>
      </c>
      <c r="I1207" s="6" t="n">
        <v>385200</v>
      </c>
      <c r="J1207" s="6" t="n">
        <v>1485000</v>
      </c>
      <c r="K1207" s="6" t="n">
        <v>727400</v>
      </c>
      <c r="L1207" s="6" t="n">
        <v>4</v>
      </c>
      <c r="M1207" s="6" t="n">
        <v>0</v>
      </c>
      <c r="N1207" s="6" t="n">
        <v>523.5</v>
      </c>
    </row>
    <row r="1208" customFormat="false" ht="15" hidden="false" customHeight="false" outlineLevel="0" collapsed="false">
      <c r="A1208" s="6" t="s">
        <v>31</v>
      </c>
      <c r="B1208" s="6" t="s">
        <v>24</v>
      </c>
      <c r="C1208" s="6" t="s">
        <v>54</v>
      </c>
      <c r="D1208" s="6" t="s">
        <v>113</v>
      </c>
      <c r="E1208" s="6" t="s">
        <v>60</v>
      </c>
      <c r="F1208" s="6" t="s">
        <v>60</v>
      </c>
      <c r="G1208" s="6" t="n">
        <v>16</v>
      </c>
      <c r="H1208" s="6" t="n">
        <v>1627200</v>
      </c>
      <c r="I1208" s="6" t="n">
        <v>624400</v>
      </c>
      <c r="J1208" s="6" t="n">
        <v>5182000</v>
      </c>
      <c r="K1208" s="6" t="n">
        <v>3555300</v>
      </c>
      <c r="L1208" s="6" t="n">
        <v>16</v>
      </c>
      <c r="M1208" s="6" t="n">
        <v>1</v>
      </c>
      <c r="N1208" s="6" t="n">
        <v>3729.8</v>
      </c>
    </row>
    <row r="1209" customFormat="false" ht="15" hidden="false" customHeight="false" outlineLevel="0" collapsed="false">
      <c r="A1209" s="6" t="s">
        <v>31</v>
      </c>
      <c r="B1209" s="6" t="s">
        <v>24</v>
      </c>
      <c r="C1209" s="6" t="s">
        <v>54</v>
      </c>
      <c r="D1209" s="6" t="s">
        <v>114</v>
      </c>
      <c r="E1209" s="6" t="s">
        <v>58</v>
      </c>
      <c r="F1209" s="6" t="s">
        <v>58</v>
      </c>
      <c r="G1209" s="6" t="n">
        <v>6</v>
      </c>
      <c r="H1209" s="6" t="n">
        <v>884600</v>
      </c>
      <c r="I1209" s="6" t="n">
        <v>496900</v>
      </c>
      <c r="J1209" s="6" t="n">
        <v>1808900</v>
      </c>
      <c r="K1209" s="6" t="n">
        <v>924200</v>
      </c>
      <c r="L1209" s="6" t="n">
        <v>6</v>
      </c>
      <c r="M1209" s="6" t="n">
        <v>0</v>
      </c>
      <c r="N1209" s="6" t="n">
        <v>731.5</v>
      </c>
    </row>
    <row r="1210" customFormat="false" ht="15" hidden="false" customHeight="false" outlineLevel="0" collapsed="false">
      <c r="A1210" s="6" t="s">
        <v>31</v>
      </c>
      <c r="B1210" s="6" t="s">
        <v>24</v>
      </c>
      <c r="C1210" s="6" t="s">
        <v>54</v>
      </c>
      <c r="D1210" s="6" t="s">
        <v>114</v>
      </c>
      <c r="E1210" s="6" t="s">
        <v>58</v>
      </c>
      <c r="F1210" s="6" t="s">
        <v>60</v>
      </c>
      <c r="G1210" s="6" t="n">
        <v>12</v>
      </c>
      <c r="H1210" s="6" t="n">
        <v>1219600</v>
      </c>
      <c r="I1210" s="6" t="n">
        <v>400800</v>
      </c>
      <c r="J1210" s="6" t="n">
        <v>3751400</v>
      </c>
      <c r="K1210" s="6" t="n">
        <v>2531600</v>
      </c>
      <c r="L1210" s="6" t="n">
        <v>12</v>
      </c>
      <c r="M1210" s="6" t="n">
        <v>0</v>
      </c>
      <c r="N1210" s="6" t="n">
        <v>2584.1</v>
      </c>
    </row>
    <row r="1211" customFormat="false" ht="15" hidden="false" customHeight="false" outlineLevel="0" collapsed="false">
      <c r="A1211" s="6" t="s">
        <v>31</v>
      </c>
      <c r="B1211" s="6" t="s">
        <v>24</v>
      </c>
      <c r="C1211" s="6" t="s">
        <v>54</v>
      </c>
      <c r="D1211" s="6" t="s">
        <v>114</v>
      </c>
      <c r="E1211" s="6" t="s">
        <v>60</v>
      </c>
      <c r="F1211" s="6" t="s">
        <v>58</v>
      </c>
      <c r="G1211" s="6" t="n">
        <v>5</v>
      </c>
      <c r="H1211" s="6" t="n">
        <v>797300</v>
      </c>
      <c r="I1211" s="6" t="n">
        <v>456100</v>
      </c>
      <c r="J1211" s="6" t="n">
        <v>1321300</v>
      </c>
      <c r="K1211" s="6" t="n">
        <v>524200</v>
      </c>
      <c r="L1211" s="6" t="n">
        <v>4</v>
      </c>
      <c r="M1211" s="6" t="n">
        <v>0</v>
      </c>
      <c r="N1211" s="6" t="n">
        <v>360.3</v>
      </c>
    </row>
    <row r="1212" customFormat="false" ht="15" hidden="false" customHeight="false" outlineLevel="0" collapsed="false">
      <c r="A1212" s="6" t="s">
        <v>31</v>
      </c>
      <c r="B1212" s="6" t="s">
        <v>24</v>
      </c>
      <c r="C1212" s="6" t="s">
        <v>54</v>
      </c>
      <c r="D1212" s="6" t="s">
        <v>114</v>
      </c>
      <c r="E1212" s="6" t="s">
        <v>60</v>
      </c>
      <c r="F1212" s="6" t="s">
        <v>60</v>
      </c>
      <c r="G1212" s="6" t="n">
        <v>18</v>
      </c>
      <c r="H1212" s="6" t="n">
        <v>1885900</v>
      </c>
      <c r="I1212" s="6" t="n">
        <v>996700</v>
      </c>
      <c r="J1212" s="6" t="n">
        <v>5375100</v>
      </c>
      <c r="K1212" s="6" t="n">
        <v>3489000</v>
      </c>
      <c r="L1212" s="6" t="n">
        <v>18</v>
      </c>
      <c r="M1212" s="6" t="n">
        <v>1</v>
      </c>
      <c r="N1212" s="6" t="n">
        <v>3406.2</v>
      </c>
    </row>
    <row r="1213" customFormat="false" ht="15" hidden="false" customHeight="false" outlineLevel="0" collapsed="false">
      <c r="A1213" s="6" t="s">
        <v>31</v>
      </c>
      <c r="B1213" s="6" t="s">
        <v>24</v>
      </c>
      <c r="C1213" s="6" t="s">
        <v>50</v>
      </c>
      <c r="D1213" s="6" t="s">
        <v>111</v>
      </c>
      <c r="E1213" s="6" t="s">
        <v>58</v>
      </c>
      <c r="F1213" s="6" t="s">
        <v>58</v>
      </c>
      <c r="G1213" s="6" t="n">
        <v>2</v>
      </c>
      <c r="H1213" s="6" t="n">
        <v>343600</v>
      </c>
      <c r="I1213" s="6" t="n">
        <v>157700</v>
      </c>
      <c r="J1213" s="6" t="n">
        <v>896200</v>
      </c>
      <c r="K1213" s="6" t="n">
        <v>552600</v>
      </c>
      <c r="L1213" s="6" t="n">
        <v>2</v>
      </c>
      <c r="M1213" s="6" t="n">
        <v>0</v>
      </c>
      <c r="N1213" s="6" t="n">
        <v>323.6</v>
      </c>
    </row>
    <row r="1214" customFormat="false" ht="15" hidden="false" customHeight="false" outlineLevel="0" collapsed="false">
      <c r="A1214" s="6" t="s">
        <v>31</v>
      </c>
      <c r="B1214" s="6" t="s">
        <v>24</v>
      </c>
      <c r="C1214" s="6" t="s">
        <v>50</v>
      </c>
      <c r="D1214" s="6" t="s">
        <v>111</v>
      </c>
      <c r="E1214" s="6" t="s">
        <v>58</v>
      </c>
      <c r="F1214" s="6" t="s">
        <v>60</v>
      </c>
      <c r="G1214" s="6" t="n">
        <v>5</v>
      </c>
      <c r="H1214" s="6" t="n">
        <v>743800</v>
      </c>
      <c r="I1214" s="6" t="n">
        <v>252600</v>
      </c>
      <c r="J1214" s="6" t="n">
        <v>4037400</v>
      </c>
      <c r="K1214" s="6" t="n">
        <v>3293700</v>
      </c>
      <c r="L1214" s="6" t="n">
        <v>5</v>
      </c>
      <c r="M1214" s="6" t="n">
        <v>4</v>
      </c>
      <c r="N1214" s="6" t="n">
        <v>2327.7</v>
      </c>
    </row>
    <row r="1215" customFormat="false" ht="15" hidden="false" customHeight="false" outlineLevel="0" collapsed="false">
      <c r="A1215" s="6" t="s">
        <v>31</v>
      </c>
      <c r="B1215" s="6" t="s">
        <v>24</v>
      </c>
      <c r="C1215" s="6" t="s">
        <v>50</v>
      </c>
      <c r="D1215" s="6" t="s">
        <v>111</v>
      </c>
      <c r="E1215" s="6" t="s">
        <v>60</v>
      </c>
      <c r="F1215" s="6" t="s">
        <v>58</v>
      </c>
      <c r="G1215" s="6" t="n">
        <v>4</v>
      </c>
      <c r="H1215" s="6" t="n">
        <v>924400</v>
      </c>
      <c r="I1215" s="6" t="n">
        <v>377900</v>
      </c>
      <c r="J1215" s="6" t="n">
        <v>3573700</v>
      </c>
      <c r="K1215" s="6" t="n">
        <v>2649400</v>
      </c>
      <c r="L1215" s="6" t="n">
        <v>4</v>
      </c>
      <c r="M1215" s="6" t="n">
        <v>3</v>
      </c>
      <c r="N1215" s="6" t="n">
        <v>1130.8</v>
      </c>
    </row>
    <row r="1216" customFormat="false" ht="15" hidden="false" customHeight="false" outlineLevel="0" collapsed="false">
      <c r="A1216" s="6" t="s">
        <v>31</v>
      </c>
      <c r="B1216" s="6" t="s">
        <v>24</v>
      </c>
      <c r="C1216" s="6" t="s">
        <v>50</v>
      </c>
      <c r="D1216" s="6" t="s">
        <v>111</v>
      </c>
      <c r="E1216" s="6" t="s">
        <v>60</v>
      </c>
      <c r="F1216" s="6" t="s">
        <v>60</v>
      </c>
      <c r="G1216" s="6" t="n">
        <v>6</v>
      </c>
      <c r="H1216" s="6" t="n">
        <v>885300</v>
      </c>
      <c r="I1216" s="6" t="n">
        <v>103200</v>
      </c>
      <c r="J1216" s="6" t="n">
        <v>4287900</v>
      </c>
      <c r="K1216" s="6" t="n">
        <v>3402600</v>
      </c>
      <c r="L1216" s="6" t="n">
        <v>6</v>
      </c>
      <c r="M1216" s="6" t="n">
        <v>4</v>
      </c>
      <c r="N1216" s="6" t="n">
        <v>2422.5</v>
      </c>
    </row>
    <row r="1217" customFormat="false" ht="15" hidden="false" customHeight="false" outlineLevel="0" collapsed="false">
      <c r="A1217" s="6" t="s">
        <v>31</v>
      </c>
      <c r="B1217" s="6" t="s">
        <v>24</v>
      </c>
      <c r="C1217" s="6" t="s">
        <v>50</v>
      </c>
      <c r="D1217" s="6" t="s">
        <v>112</v>
      </c>
      <c r="E1217" s="6" t="s">
        <v>58</v>
      </c>
      <c r="F1217" s="6" t="s">
        <v>58</v>
      </c>
      <c r="G1217" s="6" t="n">
        <v>2</v>
      </c>
      <c r="H1217" s="6" t="n">
        <v>267900</v>
      </c>
      <c r="I1217" s="6" t="n">
        <v>111300</v>
      </c>
      <c r="J1217" s="6" t="n">
        <v>1405100</v>
      </c>
      <c r="K1217" s="6" t="n">
        <v>1137200</v>
      </c>
      <c r="L1217" s="6" t="n">
        <v>2</v>
      </c>
      <c r="M1217" s="6" t="n">
        <v>2</v>
      </c>
      <c r="N1217" s="6" t="n">
        <v>848.4</v>
      </c>
    </row>
    <row r="1218" customFormat="false" ht="15" hidden="false" customHeight="false" outlineLevel="0" collapsed="false">
      <c r="A1218" s="6" t="s">
        <v>31</v>
      </c>
      <c r="B1218" s="6" t="s">
        <v>24</v>
      </c>
      <c r="C1218" s="6" t="s">
        <v>50</v>
      </c>
      <c r="D1218" s="6" t="s">
        <v>112</v>
      </c>
      <c r="E1218" s="6" t="s">
        <v>58</v>
      </c>
      <c r="F1218" s="6" t="s">
        <v>60</v>
      </c>
      <c r="G1218" s="6" t="n">
        <v>8</v>
      </c>
      <c r="H1218" s="6" t="n">
        <v>1095600</v>
      </c>
      <c r="I1218" s="6" t="n">
        <v>563400</v>
      </c>
      <c r="J1218" s="6" t="n">
        <v>5035400</v>
      </c>
      <c r="K1218" s="6" t="n">
        <v>3939800</v>
      </c>
      <c r="L1218" s="6" t="n">
        <v>8</v>
      </c>
      <c r="M1218" s="6" t="n">
        <v>5</v>
      </c>
      <c r="N1218" s="6" t="n">
        <v>2928.3</v>
      </c>
    </row>
    <row r="1219" customFormat="false" ht="15" hidden="false" customHeight="false" outlineLevel="0" collapsed="false">
      <c r="A1219" s="6" t="s">
        <v>31</v>
      </c>
      <c r="B1219" s="6" t="s">
        <v>24</v>
      </c>
      <c r="C1219" s="6" t="s">
        <v>50</v>
      </c>
      <c r="D1219" s="6" t="s">
        <v>112</v>
      </c>
      <c r="E1219" s="6" t="s">
        <v>60</v>
      </c>
      <c r="F1219" s="6" t="s">
        <v>58</v>
      </c>
      <c r="G1219" s="6" t="n">
        <v>2</v>
      </c>
      <c r="H1219" s="6" t="n">
        <v>445900</v>
      </c>
      <c r="I1219" s="6" t="n">
        <v>0</v>
      </c>
      <c r="J1219" s="6" t="n">
        <v>1895400</v>
      </c>
      <c r="K1219" s="6" t="n">
        <v>1449500</v>
      </c>
      <c r="L1219" s="6" t="n">
        <v>2</v>
      </c>
      <c r="M1219" s="6" t="n">
        <v>2</v>
      </c>
      <c r="N1219" s="6" t="n">
        <v>654.4</v>
      </c>
    </row>
    <row r="1220" customFormat="false" ht="15" hidden="false" customHeight="false" outlineLevel="0" collapsed="false">
      <c r="A1220" s="6" t="s">
        <v>31</v>
      </c>
      <c r="B1220" s="6" t="s">
        <v>24</v>
      </c>
      <c r="C1220" s="6" t="s">
        <v>50</v>
      </c>
      <c r="D1220" s="6" t="s">
        <v>112</v>
      </c>
      <c r="E1220" s="6" t="s">
        <v>60</v>
      </c>
      <c r="F1220" s="6" t="s">
        <v>60</v>
      </c>
      <c r="G1220" s="6" t="n">
        <v>12</v>
      </c>
      <c r="H1220" s="6" t="n">
        <v>1669700</v>
      </c>
      <c r="I1220" s="6" t="n">
        <v>838100</v>
      </c>
      <c r="J1220" s="6" t="n">
        <v>9364100</v>
      </c>
      <c r="K1220" s="6" t="n">
        <v>7694600</v>
      </c>
      <c r="L1220" s="6" t="n">
        <v>12</v>
      </c>
      <c r="M1220" s="6" t="n">
        <v>9</v>
      </c>
      <c r="N1220" s="6" t="n">
        <v>5804.4</v>
      </c>
    </row>
    <row r="1221" customFormat="false" ht="15" hidden="false" customHeight="false" outlineLevel="0" collapsed="false">
      <c r="A1221" s="6" t="s">
        <v>31</v>
      </c>
      <c r="B1221" s="6" t="s">
        <v>24</v>
      </c>
      <c r="C1221" s="6" t="s">
        <v>50</v>
      </c>
      <c r="D1221" s="6" t="s">
        <v>113</v>
      </c>
      <c r="E1221" s="6" t="s">
        <v>58</v>
      </c>
      <c r="F1221" s="6" t="s">
        <v>58</v>
      </c>
      <c r="G1221" s="6" t="n">
        <v>3</v>
      </c>
      <c r="H1221" s="6" t="n">
        <v>612400</v>
      </c>
      <c r="I1221" s="6" t="n">
        <v>439500</v>
      </c>
      <c r="J1221" s="6" t="n">
        <v>1748800</v>
      </c>
      <c r="K1221" s="6" t="n">
        <v>1136500</v>
      </c>
      <c r="L1221" s="6" t="n">
        <v>3</v>
      </c>
      <c r="M1221" s="6" t="n">
        <v>1</v>
      </c>
      <c r="N1221" s="6" t="n">
        <v>550.4</v>
      </c>
    </row>
    <row r="1222" customFormat="false" ht="15" hidden="false" customHeight="false" outlineLevel="0" collapsed="false">
      <c r="A1222" s="6" t="s">
        <v>31</v>
      </c>
      <c r="B1222" s="6" t="s">
        <v>24</v>
      </c>
      <c r="C1222" s="6" t="s">
        <v>50</v>
      </c>
      <c r="D1222" s="6" t="s">
        <v>113</v>
      </c>
      <c r="E1222" s="6" t="s">
        <v>58</v>
      </c>
      <c r="F1222" s="6" t="s">
        <v>60</v>
      </c>
      <c r="G1222" s="6" t="n">
        <v>8</v>
      </c>
      <c r="H1222" s="6" t="n">
        <v>1144900</v>
      </c>
      <c r="I1222" s="6" t="n">
        <v>360800</v>
      </c>
      <c r="J1222" s="6" t="n">
        <v>7263200</v>
      </c>
      <c r="K1222" s="6" t="n">
        <v>6118400</v>
      </c>
      <c r="L1222" s="6" t="n">
        <v>8</v>
      </c>
      <c r="M1222" s="6" t="n">
        <v>7</v>
      </c>
      <c r="N1222" s="6" t="n">
        <v>4423.8</v>
      </c>
    </row>
    <row r="1223" customFormat="false" ht="15" hidden="false" customHeight="false" outlineLevel="0" collapsed="false">
      <c r="A1223" s="6" t="s">
        <v>31</v>
      </c>
      <c r="B1223" s="6" t="s">
        <v>24</v>
      </c>
      <c r="C1223" s="6" t="s">
        <v>50</v>
      </c>
      <c r="D1223" s="6" t="s">
        <v>113</v>
      </c>
      <c r="E1223" s="6" t="s">
        <v>60</v>
      </c>
      <c r="F1223" s="6" t="s">
        <v>58</v>
      </c>
      <c r="G1223" s="6" t="n">
        <v>5</v>
      </c>
      <c r="H1223" s="6" t="n">
        <v>841000</v>
      </c>
      <c r="I1223" s="6" t="n">
        <v>433200</v>
      </c>
      <c r="J1223" s="6" t="n">
        <v>3923600</v>
      </c>
      <c r="K1223" s="6" t="n">
        <v>3082500</v>
      </c>
      <c r="L1223" s="6" t="n">
        <v>5</v>
      </c>
      <c r="M1223" s="6" t="n">
        <v>3</v>
      </c>
      <c r="N1223" s="6" t="n">
        <v>1882.5</v>
      </c>
    </row>
    <row r="1224" customFormat="false" ht="15" hidden="false" customHeight="false" outlineLevel="0" collapsed="false">
      <c r="A1224" s="6" t="s">
        <v>31</v>
      </c>
      <c r="B1224" s="6" t="s">
        <v>24</v>
      </c>
      <c r="C1224" s="6" t="s">
        <v>50</v>
      </c>
      <c r="D1224" s="6" t="s">
        <v>113</v>
      </c>
      <c r="E1224" s="6" t="s">
        <v>60</v>
      </c>
      <c r="F1224" s="6" t="s">
        <v>60</v>
      </c>
      <c r="G1224" s="6" t="n">
        <v>8</v>
      </c>
      <c r="H1224" s="6" t="n">
        <v>1183400</v>
      </c>
      <c r="I1224" s="6" t="n">
        <v>551600</v>
      </c>
      <c r="J1224" s="6" t="n">
        <v>6558400</v>
      </c>
      <c r="K1224" s="6" t="n">
        <v>5374800</v>
      </c>
      <c r="L1224" s="6" t="n">
        <v>8</v>
      </c>
      <c r="M1224" s="6" t="n">
        <v>8</v>
      </c>
      <c r="N1224" s="6" t="n">
        <v>3635.4</v>
      </c>
    </row>
    <row r="1225" customFormat="false" ht="15" hidden="false" customHeight="false" outlineLevel="0" collapsed="false">
      <c r="A1225" s="6" t="s">
        <v>31</v>
      </c>
      <c r="B1225" s="6" t="s">
        <v>24</v>
      </c>
      <c r="C1225" s="6" t="s">
        <v>50</v>
      </c>
      <c r="D1225" s="6" t="s">
        <v>114</v>
      </c>
      <c r="E1225" s="6" t="s">
        <v>58</v>
      </c>
      <c r="F1225" s="6" t="s">
        <v>58</v>
      </c>
      <c r="G1225" s="6" t="n">
        <v>3</v>
      </c>
      <c r="H1225" s="6" t="n">
        <v>583600</v>
      </c>
      <c r="I1225" s="6" t="n">
        <v>331400</v>
      </c>
      <c r="J1225" s="6" t="n">
        <v>2805100</v>
      </c>
      <c r="K1225" s="6" t="n">
        <v>2221400</v>
      </c>
      <c r="L1225" s="6" t="n">
        <v>3</v>
      </c>
      <c r="M1225" s="6" t="n">
        <v>2</v>
      </c>
      <c r="N1225" s="6" t="n">
        <v>1206.3</v>
      </c>
    </row>
    <row r="1226" customFormat="false" ht="15" hidden="false" customHeight="false" outlineLevel="0" collapsed="false">
      <c r="A1226" s="6" t="s">
        <v>31</v>
      </c>
      <c r="B1226" s="6" t="s">
        <v>24</v>
      </c>
      <c r="C1226" s="6" t="s">
        <v>50</v>
      </c>
      <c r="D1226" s="6" t="s">
        <v>114</v>
      </c>
      <c r="E1226" s="6" t="s">
        <v>58</v>
      </c>
      <c r="F1226" s="6" t="s">
        <v>60</v>
      </c>
      <c r="G1226" s="6" t="n">
        <v>6</v>
      </c>
      <c r="H1226" s="6" t="n">
        <v>794000</v>
      </c>
      <c r="I1226" s="6" t="n">
        <v>279000</v>
      </c>
      <c r="J1226" s="6" t="n">
        <v>3723600</v>
      </c>
      <c r="K1226" s="6" t="n">
        <v>2929700</v>
      </c>
      <c r="L1226" s="6" t="n">
        <v>6</v>
      </c>
      <c r="M1226" s="6" t="n">
        <v>3</v>
      </c>
      <c r="N1226" s="6" t="n">
        <v>2510.6</v>
      </c>
    </row>
    <row r="1227" customFormat="false" ht="15" hidden="false" customHeight="false" outlineLevel="0" collapsed="false">
      <c r="A1227" s="6" t="s">
        <v>31</v>
      </c>
      <c r="B1227" s="6" t="s">
        <v>24</v>
      </c>
      <c r="C1227" s="6" t="s">
        <v>50</v>
      </c>
      <c r="D1227" s="6" t="s">
        <v>114</v>
      </c>
      <c r="E1227" s="6" t="s">
        <v>60</v>
      </c>
      <c r="F1227" s="6" t="s">
        <v>58</v>
      </c>
      <c r="G1227" s="6" t="n">
        <v>1</v>
      </c>
      <c r="H1227" s="6" t="n">
        <v>181100</v>
      </c>
      <c r="I1227" s="6" t="n">
        <v>161500</v>
      </c>
      <c r="J1227" s="6" t="n">
        <v>432400</v>
      </c>
      <c r="K1227" s="6" t="n">
        <v>251300</v>
      </c>
      <c r="L1227" s="6" t="n">
        <v>1</v>
      </c>
      <c r="M1227" s="6" t="n">
        <v>0</v>
      </c>
      <c r="N1227" s="6" t="n">
        <v>138.8</v>
      </c>
    </row>
    <row r="1228" customFormat="false" ht="15" hidden="false" customHeight="false" outlineLevel="0" collapsed="false">
      <c r="A1228" s="6" t="s">
        <v>31</v>
      </c>
      <c r="B1228" s="6" t="s">
        <v>24</v>
      </c>
      <c r="C1228" s="6" t="s">
        <v>50</v>
      </c>
      <c r="D1228" s="6" t="s">
        <v>114</v>
      </c>
      <c r="E1228" s="6" t="s">
        <v>60</v>
      </c>
      <c r="F1228" s="6" t="s">
        <v>60</v>
      </c>
      <c r="G1228" s="6" t="n">
        <v>14</v>
      </c>
      <c r="H1228" s="6" t="n">
        <v>2048800</v>
      </c>
      <c r="I1228" s="6" t="n">
        <v>961200</v>
      </c>
      <c r="J1228" s="6" t="n">
        <v>11255800</v>
      </c>
      <c r="K1228" s="6" t="n">
        <v>9206900</v>
      </c>
      <c r="L1228" s="6" t="n">
        <v>14</v>
      </c>
      <c r="M1228" s="6" t="n">
        <v>10</v>
      </c>
      <c r="N1228" s="6" t="n">
        <v>6572.6</v>
      </c>
    </row>
    <row r="1229" customFormat="false" ht="15" hidden="false" customHeight="false" outlineLevel="0" collapsed="false">
      <c r="A1229" s="6" t="s">
        <v>31</v>
      </c>
      <c r="B1229" s="6" t="s">
        <v>24</v>
      </c>
      <c r="C1229" s="6" t="s">
        <v>52</v>
      </c>
      <c r="D1229" s="6" t="s">
        <v>111</v>
      </c>
      <c r="E1229" s="6" t="s">
        <v>58</v>
      </c>
      <c r="F1229" s="6" t="s">
        <v>58</v>
      </c>
      <c r="G1229" s="6" t="n">
        <v>18</v>
      </c>
      <c r="H1229" s="6" t="n">
        <v>1810500</v>
      </c>
      <c r="I1229" s="6" t="n">
        <v>779600</v>
      </c>
      <c r="J1229" s="6" t="n">
        <v>7347100</v>
      </c>
      <c r="K1229" s="6" t="n">
        <v>5536700</v>
      </c>
      <c r="L1229" s="6" t="n">
        <v>18</v>
      </c>
      <c r="M1229" s="6" t="n">
        <v>5</v>
      </c>
      <c r="N1229" s="6" t="n">
        <v>5678.8</v>
      </c>
    </row>
    <row r="1230" customFormat="false" ht="15" hidden="false" customHeight="false" outlineLevel="0" collapsed="false">
      <c r="A1230" s="6" t="s">
        <v>31</v>
      </c>
      <c r="B1230" s="6" t="s">
        <v>24</v>
      </c>
      <c r="C1230" s="6" t="s">
        <v>52</v>
      </c>
      <c r="D1230" s="6" t="s">
        <v>111</v>
      </c>
      <c r="E1230" s="6" t="s">
        <v>58</v>
      </c>
      <c r="F1230" s="6" t="s">
        <v>60</v>
      </c>
      <c r="G1230" s="6" t="n">
        <v>36</v>
      </c>
      <c r="H1230" s="6" t="n">
        <v>2792900</v>
      </c>
      <c r="I1230" s="6" t="n">
        <v>1076500</v>
      </c>
      <c r="J1230" s="6" t="n">
        <v>18419000</v>
      </c>
      <c r="K1230" s="6" t="n">
        <v>15625700</v>
      </c>
      <c r="L1230" s="6" t="n">
        <v>36</v>
      </c>
      <c r="M1230" s="6" t="n">
        <v>13</v>
      </c>
      <c r="N1230" s="6" t="n">
        <v>21656.8</v>
      </c>
    </row>
    <row r="1231" customFormat="false" ht="15" hidden="false" customHeight="false" outlineLevel="0" collapsed="false">
      <c r="A1231" s="6" t="s">
        <v>31</v>
      </c>
      <c r="B1231" s="6" t="s">
        <v>24</v>
      </c>
      <c r="C1231" s="6" t="s">
        <v>52</v>
      </c>
      <c r="D1231" s="6" t="s">
        <v>111</v>
      </c>
      <c r="E1231" s="6" t="s">
        <v>60</v>
      </c>
      <c r="F1231" s="6" t="s">
        <v>58</v>
      </c>
      <c r="G1231" s="6" t="n">
        <v>21</v>
      </c>
      <c r="H1231" s="6" t="n">
        <v>2272000</v>
      </c>
      <c r="I1231" s="6" t="n">
        <v>1158400</v>
      </c>
      <c r="J1231" s="6" t="n">
        <v>11185000</v>
      </c>
      <c r="K1231" s="6" t="n">
        <v>8913000</v>
      </c>
      <c r="L1231" s="6" t="n">
        <v>21</v>
      </c>
      <c r="M1231" s="6" t="n">
        <v>10</v>
      </c>
      <c r="N1231" s="6" t="n">
        <v>8628.2</v>
      </c>
    </row>
    <row r="1232" customFormat="false" ht="15" hidden="false" customHeight="false" outlineLevel="0" collapsed="false">
      <c r="A1232" s="6" t="s">
        <v>31</v>
      </c>
      <c r="B1232" s="6" t="s">
        <v>24</v>
      </c>
      <c r="C1232" s="6" t="s">
        <v>52</v>
      </c>
      <c r="D1232" s="6" t="s">
        <v>111</v>
      </c>
      <c r="E1232" s="6" t="s">
        <v>60</v>
      </c>
      <c r="F1232" s="6" t="s">
        <v>60</v>
      </c>
      <c r="G1232" s="6" t="n">
        <v>42</v>
      </c>
      <c r="H1232" s="6" t="n">
        <v>3248300</v>
      </c>
      <c r="I1232" s="6" t="n">
        <v>789600</v>
      </c>
      <c r="J1232" s="6" t="n">
        <v>23965800</v>
      </c>
      <c r="K1232" s="6" t="n">
        <v>20717500</v>
      </c>
      <c r="L1232" s="6" t="n">
        <v>42</v>
      </c>
      <c r="M1232" s="6" t="n">
        <v>20</v>
      </c>
      <c r="N1232" s="6" t="n">
        <v>28018.1</v>
      </c>
    </row>
    <row r="1233" customFormat="false" ht="15" hidden="false" customHeight="false" outlineLevel="0" collapsed="false">
      <c r="A1233" s="6" t="s">
        <v>31</v>
      </c>
      <c r="B1233" s="6" t="s">
        <v>24</v>
      </c>
      <c r="C1233" s="6" t="s">
        <v>52</v>
      </c>
      <c r="D1233" s="6" t="s">
        <v>112</v>
      </c>
      <c r="E1233" s="6" t="s">
        <v>58</v>
      </c>
      <c r="F1233" s="6" t="s">
        <v>58</v>
      </c>
      <c r="G1233" s="6" t="n">
        <v>19</v>
      </c>
      <c r="H1233" s="6" t="n">
        <v>1878900</v>
      </c>
      <c r="I1233" s="6" t="n">
        <v>647900</v>
      </c>
      <c r="J1233" s="6" t="n">
        <v>9447000</v>
      </c>
      <c r="K1233" s="6" t="n">
        <v>7568100</v>
      </c>
      <c r="L1233" s="6" t="n">
        <v>19</v>
      </c>
      <c r="M1233" s="6" t="n">
        <v>10</v>
      </c>
      <c r="N1233" s="6" t="n">
        <v>7772.6</v>
      </c>
    </row>
    <row r="1234" customFormat="false" ht="15" hidden="false" customHeight="false" outlineLevel="0" collapsed="false">
      <c r="A1234" s="6" t="s">
        <v>31</v>
      </c>
      <c r="B1234" s="6" t="s">
        <v>24</v>
      </c>
      <c r="C1234" s="6" t="s">
        <v>52</v>
      </c>
      <c r="D1234" s="6" t="s">
        <v>112</v>
      </c>
      <c r="E1234" s="6" t="s">
        <v>58</v>
      </c>
      <c r="F1234" s="6" t="s">
        <v>60</v>
      </c>
      <c r="G1234" s="6" t="n">
        <v>54</v>
      </c>
      <c r="H1234" s="6" t="n">
        <v>4120500</v>
      </c>
      <c r="I1234" s="6" t="n">
        <v>2003500</v>
      </c>
      <c r="J1234" s="6" t="n">
        <v>26001600</v>
      </c>
      <c r="K1234" s="6" t="n">
        <v>21880700</v>
      </c>
      <c r="L1234" s="6" t="n">
        <v>54</v>
      </c>
      <c r="M1234" s="6" t="n">
        <v>23</v>
      </c>
      <c r="N1234" s="6" t="n">
        <v>29943.5</v>
      </c>
    </row>
    <row r="1235" customFormat="false" ht="15" hidden="false" customHeight="false" outlineLevel="0" collapsed="false">
      <c r="A1235" s="6" t="s">
        <v>31</v>
      </c>
      <c r="B1235" s="6" t="s">
        <v>24</v>
      </c>
      <c r="C1235" s="6" t="s">
        <v>52</v>
      </c>
      <c r="D1235" s="6" t="s">
        <v>112</v>
      </c>
      <c r="E1235" s="6" t="s">
        <v>60</v>
      </c>
      <c r="F1235" s="6" t="s">
        <v>58</v>
      </c>
      <c r="G1235" s="6" t="n">
        <v>21</v>
      </c>
      <c r="H1235" s="6" t="n">
        <v>2159900</v>
      </c>
      <c r="I1235" s="6" t="n">
        <v>771700</v>
      </c>
      <c r="J1235" s="6" t="n">
        <v>13012100</v>
      </c>
      <c r="K1235" s="6" t="n">
        <v>10852000</v>
      </c>
      <c r="L1235" s="6" t="n">
        <v>21</v>
      </c>
      <c r="M1235" s="6" t="n">
        <v>12</v>
      </c>
      <c r="N1235" s="6" t="n">
        <v>11265.9</v>
      </c>
    </row>
    <row r="1236" customFormat="false" ht="15" hidden="false" customHeight="false" outlineLevel="0" collapsed="false">
      <c r="A1236" s="6" t="s">
        <v>31</v>
      </c>
      <c r="B1236" s="6" t="s">
        <v>24</v>
      </c>
      <c r="C1236" s="6" t="s">
        <v>52</v>
      </c>
      <c r="D1236" s="6" t="s">
        <v>112</v>
      </c>
      <c r="E1236" s="6" t="s">
        <v>60</v>
      </c>
      <c r="F1236" s="6" t="s">
        <v>60</v>
      </c>
      <c r="G1236" s="6" t="n">
        <v>50</v>
      </c>
      <c r="H1236" s="6" t="n">
        <v>3791500</v>
      </c>
      <c r="I1236" s="6" t="n">
        <v>1692500</v>
      </c>
      <c r="J1236" s="6" t="n">
        <v>28255000</v>
      </c>
      <c r="K1236" s="6" t="n">
        <v>24463700</v>
      </c>
      <c r="L1236" s="6" t="n">
        <v>50</v>
      </c>
      <c r="M1236" s="6" t="n">
        <v>24</v>
      </c>
      <c r="N1236" s="6" t="n">
        <v>34160.7</v>
      </c>
    </row>
    <row r="1237" customFormat="false" ht="15" hidden="false" customHeight="false" outlineLevel="0" collapsed="false">
      <c r="A1237" s="6" t="s">
        <v>31</v>
      </c>
      <c r="B1237" s="6" t="s">
        <v>24</v>
      </c>
      <c r="C1237" s="6" t="s">
        <v>52</v>
      </c>
      <c r="D1237" s="6" t="s">
        <v>113</v>
      </c>
      <c r="E1237" s="6" t="s">
        <v>58</v>
      </c>
      <c r="F1237" s="6" t="s">
        <v>58</v>
      </c>
      <c r="G1237" s="6" t="n">
        <v>23</v>
      </c>
      <c r="H1237" s="6" t="n">
        <v>2324000</v>
      </c>
      <c r="I1237" s="6" t="n">
        <v>1102400</v>
      </c>
      <c r="J1237" s="6" t="n">
        <v>11565400</v>
      </c>
      <c r="K1237" s="6" t="n">
        <v>9241500</v>
      </c>
      <c r="L1237" s="6" t="n">
        <v>23</v>
      </c>
      <c r="M1237" s="6" t="n">
        <v>7</v>
      </c>
      <c r="N1237" s="6" t="n">
        <v>9263.9</v>
      </c>
    </row>
    <row r="1238" customFormat="false" ht="15" hidden="false" customHeight="false" outlineLevel="0" collapsed="false">
      <c r="A1238" s="6" t="s">
        <v>31</v>
      </c>
      <c r="B1238" s="6" t="s">
        <v>24</v>
      </c>
      <c r="C1238" s="6" t="s">
        <v>52</v>
      </c>
      <c r="D1238" s="6" t="s">
        <v>113</v>
      </c>
      <c r="E1238" s="6" t="s">
        <v>58</v>
      </c>
      <c r="F1238" s="6" t="s">
        <v>60</v>
      </c>
      <c r="G1238" s="6" t="n">
        <v>64</v>
      </c>
      <c r="H1238" s="6" t="n">
        <v>4776600</v>
      </c>
      <c r="I1238" s="6" t="n">
        <v>2309800</v>
      </c>
      <c r="J1238" s="6" t="n">
        <v>34113200</v>
      </c>
      <c r="K1238" s="6" t="n">
        <v>29336900</v>
      </c>
      <c r="L1238" s="6" t="n">
        <v>64</v>
      </c>
      <c r="M1238" s="6" t="n">
        <v>33</v>
      </c>
      <c r="N1238" s="6" t="n">
        <v>40898.6</v>
      </c>
    </row>
    <row r="1239" customFormat="false" ht="15" hidden="false" customHeight="false" outlineLevel="0" collapsed="false">
      <c r="A1239" s="6" t="s">
        <v>31</v>
      </c>
      <c r="B1239" s="6" t="s">
        <v>24</v>
      </c>
      <c r="C1239" s="6" t="s">
        <v>52</v>
      </c>
      <c r="D1239" s="6" t="s">
        <v>113</v>
      </c>
      <c r="E1239" s="6" t="s">
        <v>60</v>
      </c>
      <c r="F1239" s="6" t="s">
        <v>58</v>
      </c>
      <c r="G1239" s="6" t="n">
        <v>25</v>
      </c>
      <c r="H1239" s="6" t="n">
        <v>2573000</v>
      </c>
      <c r="I1239" s="6" t="n">
        <v>1004400</v>
      </c>
      <c r="J1239" s="6" t="n">
        <v>14401300</v>
      </c>
      <c r="K1239" s="6" t="n">
        <v>11828500</v>
      </c>
      <c r="L1239" s="6" t="n">
        <v>25</v>
      </c>
      <c r="M1239" s="6" t="n">
        <v>12</v>
      </c>
      <c r="N1239" s="6" t="n">
        <v>11769.5</v>
      </c>
    </row>
    <row r="1240" customFormat="false" ht="15" hidden="false" customHeight="false" outlineLevel="0" collapsed="false">
      <c r="A1240" s="6" t="s">
        <v>31</v>
      </c>
      <c r="B1240" s="6" t="s">
        <v>24</v>
      </c>
      <c r="C1240" s="6" t="s">
        <v>52</v>
      </c>
      <c r="D1240" s="6" t="s">
        <v>113</v>
      </c>
      <c r="E1240" s="6" t="s">
        <v>60</v>
      </c>
      <c r="F1240" s="6" t="s">
        <v>60</v>
      </c>
      <c r="G1240" s="6" t="n">
        <v>63</v>
      </c>
      <c r="H1240" s="6" t="n">
        <v>4724400</v>
      </c>
      <c r="I1240" s="6" t="n">
        <v>1763800</v>
      </c>
      <c r="J1240" s="6" t="n">
        <v>36059800</v>
      </c>
      <c r="K1240" s="6" t="n">
        <v>31335600</v>
      </c>
      <c r="L1240" s="6" t="n">
        <v>63</v>
      </c>
      <c r="M1240" s="6" t="n">
        <v>31</v>
      </c>
      <c r="N1240" s="6" t="n">
        <v>42508.8</v>
      </c>
    </row>
    <row r="1241" customFormat="false" ht="15" hidden="false" customHeight="false" outlineLevel="0" collapsed="false">
      <c r="A1241" s="6" t="s">
        <v>31</v>
      </c>
      <c r="B1241" s="6" t="s">
        <v>24</v>
      </c>
      <c r="C1241" s="6" t="s">
        <v>52</v>
      </c>
      <c r="D1241" s="6" t="s">
        <v>114</v>
      </c>
      <c r="E1241" s="6" t="s">
        <v>58</v>
      </c>
      <c r="F1241" s="6" t="s">
        <v>58</v>
      </c>
      <c r="G1241" s="6" t="n">
        <v>21</v>
      </c>
      <c r="H1241" s="6" t="n">
        <v>2090800</v>
      </c>
      <c r="I1241" s="6" t="n">
        <v>1151300</v>
      </c>
      <c r="J1241" s="6" t="n">
        <v>8407000</v>
      </c>
      <c r="K1241" s="6" t="n">
        <v>6315600</v>
      </c>
      <c r="L1241" s="6" t="n">
        <v>21</v>
      </c>
      <c r="M1241" s="6" t="n">
        <v>4</v>
      </c>
      <c r="N1241" s="6" t="n">
        <v>6926.1</v>
      </c>
    </row>
    <row r="1242" customFormat="false" ht="15" hidden="false" customHeight="false" outlineLevel="0" collapsed="false">
      <c r="A1242" s="6" t="s">
        <v>31</v>
      </c>
      <c r="B1242" s="6" t="s">
        <v>24</v>
      </c>
      <c r="C1242" s="6" t="s">
        <v>52</v>
      </c>
      <c r="D1242" s="6" t="s">
        <v>114</v>
      </c>
      <c r="E1242" s="6" t="s">
        <v>58</v>
      </c>
      <c r="F1242" s="6" t="s">
        <v>60</v>
      </c>
      <c r="G1242" s="6" t="n">
        <v>37</v>
      </c>
      <c r="H1242" s="6" t="n">
        <v>2787100</v>
      </c>
      <c r="I1242" s="6" t="n">
        <v>1082000</v>
      </c>
      <c r="J1242" s="6" t="n">
        <v>19967000</v>
      </c>
      <c r="K1242" s="6" t="n">
        <v>17180000</v>
      </c>
      <c r="L1242" s="6" t="n">
        <v>37</v>
      </c>
      <c r="M1242" s="6" t="n">
        <v>19</v>
      </c>
      <c r="N1242" s="6" t="n">
        <v>23737.9</v>
      </c>
    </row>
    <row r="1243" customFormat="false" ht="15" hidden="false" customHeight="false" outlineLevel="0" collapsed="false">
      <c r="A1243" s="6" t="s">
        <v>31</v>
      </c>
      <c r="B1243" s="6" t="s">
        <v>24</v>
      </c>
      <c r="C1243" s="6" t="s">
        <v>52</v>
      </c>
      <c r="D1243" s="6" t="s">
        <v>114</v>
      </c>
      <c r="E1243" s="6" t="s">
        <v>60</v>
      </c>
      <c r="F1243" s="6" t="s">
        <v>58</v>
      </c>
      <c r="G1243" s="6" t="n">
        <v>14</v>
      </c>
      <c r="H1243" s="6" t="n">
        <v>1536900</v>
      </c>
      <c r="I1243" s="6" t="n">
        <v>757900</v>
      </c>
      <c r="J1243" s="6" t="n">
        <v>6955900</v>
      </c>
      <c r="K1243" s="6" t="n">
        <v>5419200</v>
      </c>
      <c r="L1243" s="6" t="n">
        <v>14</v>
      </c>
      <c r="M1243" s="6" t="n">
        <v>7</v>
      </c>
      <c r="N1243" s="6" t="n">
        <v>5412.3</v>
      </c>
    </row>
    <row r="1244" customFormat="false" ht="15" hidden="false" customHeight="false" outlineLevel="0" collapsed="false">
      <c r="A1244" s="6" t="s">
        <v>31</v>
      </c>
      <c r="B1244" s="6" t="s">
        <v>24</v>
      </c>
      <c r="C1244" s="6" t="s">
        <v>52</v>
      </c>
      <c r="D1244" s="6" t="s">
        <v>114</v>
      </c>
      <c r="E1244" s="6" t="s">
        <v>60</v>
      </c>
      <c r="F1244" s="6" t="s">
        <v>60</v>
      </c>
      <c r="G1244" s="6" t="n">
        <v>44</v>
      </c>
      <c r="H1244" s="6" t="n">
        <v>3381200</v>
      </c>
      <c r="I1244" s="6" t="n">
        <v>1449300</v>
      </c>
      <c r="J1244" s="6" t="n">
        <v>23910900</v>
      </c>
      <c r="K1244" s="6" t="n">
        <v>20529700</v>
      </c>
      <c r="L1244" s="6" t="n">
        <v>44</v>
      </c>
      <c r="M1244" s="6" t="n">
        <v>22</v>
      </c>
      <c r="N1244" s="6" t="n">
        <v>27896.2</v>
      </c>
    </row>
    <row r="1245" customFormat="false" ht="15" hidden="false" customHeight="false" outlineLevel="0" collapsed="false">
      <c r="A1245" s="6" t="s">
        <v>31</v>
      </c>
      <c r="B1245" s="6" t="s">
        <v>24</v>
      </c>
      <c r="C1245" s="6" t="s">
        <v>53</v>
      </c>
      <c r="D1245" s="6" t="s">
        <v>111</v>
      </c>
      <c r="E1245" s="6" t="s">
        <v>58</v>
      </c>
      <c r="F1245" s="6" t="s">
        <v>58</v>
      </c>
      <c r="G1245" s="6" t="n">
        <v>15</v>
      </c>
      <c r="H1245" s="6" t="n">
        <v>1194400</v>
      </c>
      <c r="I1245" s="6" t="n">
        <v>690200</v>
      </c>
      <c r="J1245" s="6" t="n">
        <v>6425900</v>
      </c>
      <c r="K1245" s="6" t="n">
        <v>5231500</v>
      </c>
      <c r="L1245" s="6" t="n">
        <v>15</v>
      </c>
      <c r="M1245" s="6" t="n">
        <v>4</v>
      </c>
      <c r="N1245" s="6" t="n">
        <v>6965.7</v>
      </c>
    </row>
    <row r="1246" customFormat="false" ht="15" hidden="false" customHeight="false" outlineLevel="0" collapsed="false">
      <c r="A1246" s="6" t="s">
        <v>31</v>
      </c>
      <c r="B1246" s="6" t="s">
        <v>24</v>
      </c>
      <c r="C1246" s="6" t="s">
        <v>53</v>
      </c>
      <c r="D1246" s="6" t="s">
        <v>111</v>
      </c>
      <c r="E1246" s="6" t="s">
        <v>58</v>
      </c>
      <c r="F1246" s="6" t="s">
        <v>60</v>
      </c>
      <c r="G1246" s="6" t="n">
        <v>41</v>
      </c>
      <c r="H1246" s="6" t="n">
        <v>2336300</v>
      </c>
      <c r="I1246" s="6" t="n">
        <v>1267500</v>
      </c>
      <c r="J1246" s="6" t="n">
        <v>18825000</v>
      </c>
      <c r="K1246" s="6" t="n">
        <v>16488900</v>
      </c>
      <c r="L1246" s="6" t="n">
        <v>41</v>
      </c>
      <c r="M1246" s="6" t="n">
        <v>18</v>
      </c>
      <c r="N1246" s="6" t="n">
        <v>29970.4</v>
      </c>
    </row>
    <row r="1247" customFormat="false" ht="15" hidden="false" customHeight="false" outlineLevel="0" collapsed="false">
      <c r="A1247" s="6" t="s">
        <v>31</v>
      </c>
      <c r="B1247" s="6" t="s">
        <v>24</v>
      </c>
      <c r="C1247" s="6" t="s">
        <v>53</v>
      </c>
      <c r="D1247" s="6" t="s">
        <v>111</v>
      </c>
      <c r="E1247" s="6" t="s">
        <v>60</v>
      </c>
      <c r="F1247" s="6" t="s">
        <v>58</v>
      </c>
      <c r="G1247" s="6" t="n">
        <v>15</v>
      </c>
      <c r="H1247" s="6" t="n">
        <v>1364700</v>
      </c>
      <c r="I1247" s="6" t="n">
        <v>633100</v>
      </c>
      <c r="J1247" s="6" t="n">
        <v>6112600</v>
      </c>
      <c r="K1247" s="6" t="n">
        <v>4747800</v>
      </c>
      <c r="L1247" s="6" t="n">
        <v>15</v>
      </c>
      <c r="M1247" s="6" t="n">
        <v>3</v>
      </c>
      <c r="N1247" s="6" t="n">
        <v>5883.8</v>
      </c>
    </row>
    <row r="1248" customFormat="false" ht="15" hidden="false" customHeight="false" outlineLevel="0" collapsed="false">
      <c r="A1248" s="6" t="s">
        <v>31</v>
      </c>
      <c r="B1248" s="6" t="s">
        <v>24</v>
      </c>
      <c r="C1248" s="6" t="s">
        <v>53</v>
      </c>
      <c r="D1248" s="6" t="s">
        <v>111</v>
      </c>
      <c r="E1248" s="6" t="s">
        <v>60</v>
      </c>
      <c r="F1248" s="6" t="s">
        <v>60</v>
      </c>
      <c r="G1248" s="6" t="n">
        <v>41</v>
      </c>
      <c r="H1248" s="6" t="n">
        <v>2374100</v>
      </c>
      <c r="I1248" s="6" t="n">
        <v>1199800</v>
      </c>
      <c r="J1248" s="6" t="n">
        <v>18970800</v>
      </c>
      <c r="K1248" s="6" t="n">
        <v>16596900</v>
      </c>
      <c r="L1248" s="6" t="n">
        <v>41</v>
      </c>
      <c r="M1248" s="6" t="n">
        <v>14</v>
      </c>
      <c r="N1248" s="6" t="n">
        <v>30405.4</v>
      </c>
    </row>
    <row r="1249" customFormat="false" ht="15" hidden="false" customHeight="false" outlineLevel="0" collapsed="false">
      <c r="A1249" s="6" t="s">
        <v>31</v>
      </c>
      <c r="B1249" s="6" t="s">
        <v>24</v>
      </c>
      <c r="C1249" s="6" t="s">
        <v>53</v>
      </c>
      <c r="D1249" s="6" t="s">
        <v>112</v>
      </c>
      <c r="E1249" s="6" t="s">
        <v>58</v>
      </c>
      <c r="F1249" s="6" t="s">
        <v>58</v>
      </c>
      <c r="G1249" s="6" t="n">
        <v>16</v>
      </c>
      <c r="H1249" s="6" t="n">
        <v>1329400</v>
      </c>
      <c r="I1249" s="6" t="n">
        <v>689300</v>
      </c>
      <c r="J1249" s="6" t="n">
        <v>6141800</v>
      </c>
      <c r="K1249" s="6" t="n">
        <v>4812400</v>
      </c>
      <c r="L1249" s="6" t="n">
        <v>16</v>
      </c>
      <c r="M1249" s="6" t="n">
        <v>2</v>
      </c>
      <c r="N1249" s="6" t="n">
        <v>5851</v>
      </c>
    </row>
    <row r="1250" customFormat="false" ht="15" hidden="false" customHeight="false" outlineLevel="0" collapsed="false">
      <c r="A1250" s="6" t="s">
        <v>31</v>
      </c>
      <c r="B1250" s="6" t="s">
        <v>24</v>
      </c>
      <c r="C1250" s="6" t="s">
        <v>53</v>
      </c>
      <c r="D1250" s="6" t="s">
        <v>112</v>
      </c>
      <c r="E1250" s="6" t="s">
        <v>58</v>
      </c>
      <c r="F1250" s="6" t="s">
        <v>60</v>
      </c>
      <c r="G1250" s="6" t="n">
        <v>39</v>
      </c>
      <c r="H1250" s="6" t="n">
        <v>2208000</v>
      </c>
      <c r="I1250" s="6" t="n">
        <v>1064700</v>
      </c>
      <c r="J1250" s="6" t="n">
        <v>17906500</v>
      </c>
      <c r="K1250" s="6" t="n">
        <v>15698500</v>
      </c>
      <c r="L1250" s="6" t="n">
        <v>39</v>
      </c>
      <c r="M1250" s="6" t="n">
        <v>15</v>
      </c>
      <c r="N1250" s="6" t="n">
        <v>27979</v>
      </c>
    </row>
    <row r="1251" customFormat="false" ht="15" hidden="false" customHeight="false" outlineLevel="0" collapsed="false">
      <c r="A1251" s="6" t="s">
        <v>31</v>
      </c>
      <c r="B1251" s="6" t="s">
        <v>24</v>
      </c>
      <c r="C1251" s="6" t="s">
        <v>53</v>
      </c>
      <c r="D1251" s="6" t="s">
        <v>112</v>
      </c>
      <c r="E1251" s="6" t="s">
        <v>60</v>
      </c>
      <c r="F1251" s="6" t="s">
        <v>58</v>
      </c>
      <c r="G1251" s="6" t="n">
        <v>20</v>
      </c>
      <c r="H1251" s="6" t="n">
        <v>1541200</v>
      </c>
      <c r="I1251" s="6" t="n">
        <v>698300</v>
      </c>
      <c r="J1251" s="6" t="n">
        <v>9921800</v>
      </c>
      <c r="K1251" s="6" t="n">
        <v>8380400</v>
      </c>
      <c r="L1251" s="6" t="n">
        <v>20</v>
      </c>
      <c r="M1251" s="6" t="n">
        <v>8</v>
      </c>
      <c r="N1251" s="6" t="n">
        <v>11052.6</v>
      </c>
    </row>
    <row r="1252" customFormat="false" ht="15" hidden="false" customHeight="false" outlineLevel="0" collapsed="false">
      <c r="A1252" s="6" t="s">
        <v>31</v>
      </c>
      <c r="B1252" s="6" t="s">
        <v>24</v>
      </c>
      <c r="C1252" s="6" t="s">
        <v>53</v>
      </c>
      <c r="D1252" s="6" t="s">
        <v>112</v>
      </c>
      <c r="E1252" s="6" t="s">
        <v>60</v>
      </c>
      <c r="F1252" s="6" t="s">
        <v>60</v>
      </c>
      <c r="G1252" s="6" t="n">
        <v>45</v>
      </c>
      <c r="H1252" s="6" t="n">
        <v>2502400</v>
      </c>
      <c r="I1252" s="6" t="n">
        <v>1054100</v>
      </c>
      <c r="J1252" s="6" t="n">
        <v>19970300</v>
      </c>
      <c r="K1252" s="6" t="n">
        <v>17468000</v>
      </c>
      <c r="L1252" s="6" t="n">
        <v>45</v>
      </c>
      <c r="M1252" s="6" t="n">
        <v>17</v>
      </c>
      <c r="N1252" s="6" t="n">
        <v>32027.7</v>
      </c>
    </row>
    <row r="1253" customFormat="false" ht="15" hidden="false" customHeight="false" outlineLevel="0" collapsed="false">
      <c r="A1253" s="6" t="s">
        <v>31</v>
      </c>
      <c r="B1253" s="6" t="s">
        <v>24</v>
      </c>
      <c r="C1253" s="6" t="s">
        <v>53</v>
      </c>
      <c r="D1253" s="6" t="s">
        <v>113</v>
      </c>
      <c r="E1253" s="6" t="s">
        <v>58</v>
      </c>
      <c r="F1253" s="6" t="s">
        <v>58</v>
      </c>
      <c r="G1253" s="6" t="n">
        <v>28</v>
      </c>
      <c r="H1253" s="6" t="n">
        <v>2117300</v>
      </c>
      <c r="I1253" s="6" t="n">
        <v>713800</v>
      </c>
      <c r="J1253" s="6" t="n">
        <v>11587500</v>
      </c>
      <c r="K1253" s="6" t="n">
        <v>9470000</v>
      </c>
      <c r="L1253" s="6" t="n">
        <v>28</v>
      </c>
      <c r="M1253" s="6" t="n">
        <v>6</v>
      </c>
      <c r="N1253" s="6" t="n">
        <v>12761.2</v>
      </c>
    </row>
    <row r="1254" customFormat="false" ht="15" hidden="false" customHeight="false" outlineLevel="0" collapsed="false">
      <c r="A1254" s="6" t="s">
        <v>31</v>
      </c>
      <c r="B1254" s="6" t="s">
        <v>24</v>
      </c>
      <c r="C1254" s="6" t="s">
        <v>53</v>
      </c>
      <c r="D1254" s="6" t="s">
        <v>113</v>
      </c>
      <c r="E1254" s="6" t="s">
        <v>58</v>
      </c>
      <c r="F1254" s="6" t="s">
        <v>60</v>
      </c>
      <c r="G1254" s="6" t="n">
        <v>39</v>
      </c>
      <c r="H1254" s="6" t="n">
        <v>2275400</v>
      </c>
      <c r="I1254" s="6" t="n">
        <v>1161900</v>
      </c>
      <c r="J1254" s="6" t="n">
        <v>16859600</v>
      </c>
      <c r="K1254" s="6" t="n">
        <v>14583700</v>
      </c>
      <c r="L1254" s="6" t="n">
        <v>39</v>
      </c>
      <c r="M1254" s="6" t="n">
        <v>11</v>
      </c>
      <c r="N1254" s="6" t="n">
        <v>26118.9</v>
      </c>
    </row>
    <row r="1255" customFormat="false" ht="15" hidden="false" customHeight="false" outlineLevel="0" collapsed="false">
      <c r="A1255" s="6" t="s">
        <v>31</v>
      </c>
      <c r="B1255" s="6" t="s">
        <v>24</v>
      </c>
      <c r="C1255" s="6" t="s">
        <v>53</v>
      </c>
      <c r="D1255" s="6" t="s">
        <v>113</v>
      </c>
      <c r="E1255" s="6" t="s">
        <v>60</v>
      </c>
      <c r="F1255" s="6" t="s">
        <v>58</v>
      </c>
      <c r="G1255" s="6" t="n">
        <v>22</v>
      </c>
      <c r="H1255" s="6" t="n">
        <v>1813800</v>
      </c>
      <c r="I1255" s="6" t="n">
        <v>681200</v>
      </c>
      <c r="J1255" s="6" t="n">
        <v>10777000</v>
      </c>
      <c r="K1255" s="6" t="n">
        <v>8963300</v>
      </c>
      <c r="L1255" s="6" t="n">
        <v>22</v>
      </c>
      <c r="M1255" s="6" t="n">
        <v>10</v>
      </c>
      <c r="N1255" s="6" t="n">
        <v>12098.2</v>
      </c>
    </row>
    <row r="1256" customFormat="false" ht="15" hidden="false" customHeight="false" outlineLevel="0" collapsed="false">
      <c r="A1256" s="6" t="s">
        <v>31</v>
      </c>
      <c r="B1256" s="6" t="s">
        <v>24</v>
      </c>
      <c r="C1256" s="6" t="s">
        <v>53</v>
      </c>
      <c r="D1256" s="6" t="s">
        <v>113</v>
      </c>
      <c r="E1256" s="6" t="s">
        <v>60</v>
      </c>
      <c r="F1256" s="6" t="s">
        <v>60</v>
      </c>
      <c r="G1256" s="6" t="n">
        <v>53</v>
      </c>
      <c r="H1256" s="6" t="n">
        <v>3016700</v>
      </c>
      <c r="I1256" s="6" t="n">
        <v>1383600</v>
      </c>
      <c r="J1256" s="6" t="n">
        <v>24237100</v>
      </c>
      <c r="K1256" s="6" t="n">
        <v>21220900</v>
      </c>
      <c r="L1256" s="6" t="n">
        <v>53</v>
      </c>
      <c r="M1256" s="6" t="n">
        <v>20</v>
      </c>
      <c r="N1256" s="6" t="n">
        <v>38946.4</v>
      </c>
    </row>
    <row r="1257" customFormat="false" ht="15" hidden="false" customHeight="false" outlineLevel="0" collapsed="false">
      <c r="A1257" s="6" t="s">
        <v>31</v>
      </c>
      <c r="B1257" s="6" t="s">
        <v>24</v>
      </c>
      <c r="C1257" s="6" t="s">
        <v>53</v>
      </c>
      <c r="D1257" s="6" t="s">
        <v>114</v>
      </c>
      <c r="E1257" s="6" t="s">
        <v>58</v>
      </c>
      <c r="F1257" s="6" t="s">
        <v>58</v>
      </c>
      <c r="G1257" s="6" t="n">
        <v>16</v>
      </c>
      <c r="H1257" s="6" t="n">
        <v>1212700</v>
      </c>
      <c r="I1257" s="6" t="n">
        <v>726100</v>
      </c>
      <c r="J1257" s="6" t="n">
        <v>7072500</v>
      </c>
      <c r="K1257" s="6" t="n">
        <v>5859900</v>
      </c>
      <c r="L1257" s="6" t="n">
        <v>16</v>
      </c>
      <c r="M1257" s="6" t="n">
        <v>2</v>
      </c>
      <c r="N1257" s="6" t="n">
        <v>8256.4</v>
      </c>
    </row>
    <row r="1258" customFormat="false" ht="15" hidden="false" customHeight="false" outlineLevel="0" collapsed="false">
      <c r="A1258" s="6" t="s">
        <v>31</v>
      </c>
      <c r="B1258" s="6" t="s">
        <v>24</v>
      </c>
      <c r="C1258" s="6" t="s">
        <v>53</v>
      </c>
      <c r="D1258" s="6" t="s">
        <v>114</v>
      </c>
      <c r="E1258" s="6" t="s">
        <v>58</v>
      </c>
      <c r="F1258" s="6" t="s">
        <v>60</v>
      </c>
      <c r="G1258" s="6" t="n">
        <v>41</v>
      </c>
      <c r="H1258" s="6" t="n">
        <v>2400200</v>
      </c>
      <c r="I1258" s="6" t="n">
        <v>896300</v>
      </c>
      <c r="J1258" s="6" t="n">
        <v>15770300</v>
      </c>
      <c r="K1258" s="6" t="n">
        <v>13369800</v>
      </c>
      <c r="L1258" s="6" t="n">
        <v>41</v>
      </c>
      <c r="M1258" s="6" t="n">
        <v>9</v>
      </c>
      <c r="N1258" s="6" t="n">
        <v>23635.1</v>
      </c>
    </row>
    <row r="1259" customFormat="false" ht="15" hidden="false" customHeight="false" outlineLevel="0" collapsed="false">
      <c r="A1259" s="6" t="s">
        <v>31</v>
      </c>
      <c r="B1259" s="6" t="s">
        <v>24</v>
      </c>
      <c r="C1259" s="6" t="s">
        <v>53</v>
      </c>
      <c r="D1259" s="6" t="s">
        <v>114</v>
      </c>
      <c r="E1259" s="6" t="s">
        <v>60</v>
      </c>
      <c r="F1259" s="6" t="s">
        <v>58</v>
      </c>
      <c r="G1259" s="6" t="n">
        <v>11</v>
      </c>
      <c r="H1259" s="6" t="n">
        <v>955400</v>
      </c>
      <c r="I1259" s="6" t="n">
        <v>235300</v>
      </c>
      <c r="J1259" s="6" t="n">
        <v>5383800</v>
      </c>
      <c r="K1259" s="6" t="n">
        <v>4428500</v>
      </c>
      <c r="L1259" s="6" t="n">
        <v>11</v>
      </c>
      <c r="M1259" s="6" t="n">
        <v>3</v>
      </c>
      <c r="N1259" s="6" t="n">
        <v>5157.2</v>
      </c>
    </row>
    <row r="1260" customFormat="false" ht="15" hidden="false" customHeight="false" outlineLevel="0" collapsed="false">
      <c r="A1260" s="6" t="s">
        <v>31</v>
      </c>
      <c r="B1260" s="6" t="s">
        <v>24</v>
      </c>
      <c r="C1260" s="6" t="s">
        <v>53</v>
      </c>
      <c r="D1260" s="6" t="s">
        <v>114</v>
      </c>
      <c r="E1260" s="6" t="s">
        <v>60</v>
      </c>
      <c r="F1260" s="6" t="s">
        <v>60</v>
      </c>
      <c r="G1260" s="6" t="n">
        <v>45</v>
      </c>
      <c r="H1260" s="6" t="n">
        <v>2612400</v>
      </c>
      <c r="I1260" s="6" t="n">
        <v>1173700</v>
      </c>
      <c r="J1260" s="6" t="n">
        <v>21106500</v>
      </c>
      <c r="K1260" s="6" t="n">
        <v>18494100</v>
      </c>
      <c r="L1260" s="6" t="n">
        <v>45</v>
      </c>
      <c r="M1260" s="6" t="n">
        <v>17</v>
      </c>
      <c r="N1260" s="6" t="n">
        <v>33513.9</v>
      </c>
    </row>
    <row r="1261" customFormat="false" ht="15" hidden="false" customHeight="false" outlineLevel="0" collapsed="false">
      <c r="A1261" s="6" t="s">
        <v>31</v>
      </c>
      <c r="B1261" s="6" t="s">
        <v>24</v>
      </c>
      <c r="C1261" s="6" t="s">
        <v>51</v>
      </c>
      <c r="D1261" s="6" t="s">
        <v>111</v>
      </c>
      <c r="E1261" s="6" t="s">
        <v>58</v>
      </c>
      <c r="F1261" s="6" t="s">
        <v>58</v>
      </c>
      <c r="G1261" s="6" t="n">
        <v>9</v>
      </c>
      <c r="H1261" s="6" t="n">
        <v>1187500</v>
      </c>
      <c r="I1261" s="6" t="n">
        <v>453600</v>
      </c>
      <c r="J1261" s="6" t="n">
        <v>5588500</v>
      </c>
      <c r="K1261" s="6" t="n">
        <v>4401000</v>
      </c>
      <c r="L1261" s="6" t="n">
        <v>9</v>
      </c>
      <c r="M1261" s="6" t="n">
        <v>4</v>
      </c>
      <c r="N1261" s="6" t="n">
        <v>3560.7</v>
      </c>
    </row>
    <row r="1262" customFormat="false" ht="15" hidden="false" customHeight="false" outlineLevel="0" collapsed="false">
      <c r="A1262" s="6" t="s">
        <v>31</v>
      </c>
      <c r="B1262" s="6" t="s">
        <v>24</v>
      </c>
      <c r="C1262" s="6" t="s">
        <v>51</v>
      </c>
      <c r="D1262" s="6" t="s">
        <v>111</v>
      </c>
      <c r="E1262" s="6" t="s">
        <v>58</v>
      </c>
      <c r="F1262" s="6" t="s">
        <v>60</v>
      </c>
      <c r="G1262" s="6" t="n">
        <v>25</v>
      </c>
      <c r="H1262" s="6" t="n">
        <v>2132500</v>
      </c>
      <c r="I1262" s="6" t="n">
        <v>1024300</v>
      </c>
      <c r="J1262" s="6" t="n">
        <v>14291000</v>
      </c>
      <c r="K1262" s="6" t="n">
        <v>12158600</v>
      </c>
      <c r="L1262" s="6" t="n">
        <v>25</v>
      </c>
      <c r="M1262" s="6" t="n">
        <v>14</v>
      </c>
      <c r="N1262" s="6" t="n">
        <v>14736.1</v>
      </c>
    </row>
    <row r="1263" customFormat="false" ht="15" hidden="false" customHeight="false" outlineLevel="0" collapsed="false">
      <c r="A1263" s="6" t="s">
        <v>31</v>
      </c>
      <c r="B1263" s="6" t="s">
        <v>24</v>
      </c>
      <c r="C1263" s="6" t="s">
        <v>51</v>
      </c>
      <c r="D1263" s="6" t="s">
        <v>111</v>
      </c>
      <c r="E1263" s="6" t="s">
        <v>60</v>
      </c>
      <c r="F1263" s="6" t="s">
        <v>58</v>
      </c>
      <c r="G1263" s="6" t="n">
        <v>10</v>
      </c>
      <c r="H1263" s="6" t="n">
        <v>1121800</v>
      </c>
      <c r="I1263" s="6" t="n">
        <v>433800</v>
      </c>
      <c r="J1263" s="6" t="n">
        <v>6217600</v>
      </c>
      <c r="K1263" s="6" t="n">
        <v>5096000</v>
      </c>
      <c r="L1263" s="6" t="n">
        <v>10</v>
      </c>
      <c r="M1263" s="6" t="n">
        <v>6</v>
      </c>
      <c r="N1263" s="6" t="n">
        <v>4861.1</v>
      </c>
    </row>
    <row r="1264" customFormat="false" ht="15" hidden="false" customHeight="false" outlineLevel="0" collapsed="false">
      <c r="A1264" s="6" t="s">
        <v>31</v>
      </c>
      <c r="B1264" s="6" t="s">
        <v>24</v>
      </c>
      <c r="C1264" s="6" t="s">
        <v>51</v>
      </c>
      <c r="D1264" s="6" t="s">
        <v>111</v>
      </c>
      <c r="E1264" s="6" t="s">
        <v>60</v>
      </c>
      <c r="F1264" s="6" t="s">
        <v>60</v>
      </c>
      <c r="G1264" s="6" t="n">
        <v>27</v>
      </c>
      <c r="H1264" s="6" t="n">
        <v>2328600</v>
      </c>
      <c r="I1264" s="6" t="n">
        <v>1248900</v>
      </c>
      <c r="J1264" s="6" t="n">
        <v>18350800</v>
      </c>
      <c r="K1264" s="6" t="n">
        <v>16022200</v>
      </c>
      <c r="L1264" s="6" t="n">
        <v>27</v>
      </c>
      <c r="M1264" s="6" t="n">
        <v>17</v>
      </c>
      <c r="N1264" s="6" t="n">
        <v>19182.4</v>
      </c>
    </row>
    <row r="1265" customFormat="false" ht="15" hidden="false" customHeight="false" outlineLevel="0" collapsed="false">
      <c r="A1265" s="6" t="s">
        <v>31</v>
      </c>
      <c r="B1265" s="6" t="s">
        <v>24</v>
      </c>
      <c r="C1265" s="6" t="s">
        <v>51</v>
      </c>
      <c r="D1265" s="6" t="s">
        <v>112</v>
      </c>
      <c r="E1265" s="6" t="s">
        <v>58</v>
      </c>
      <c r="F1265" s="6" t="s">
        <v>58</v>
      </c>
      <c r="G1265" s="6" t="n">
        <v>18</v>
      </c>
      <c r="H1265" s="6" t="n">
        <v>2179300</v>
      </c>
      <c r="I1265" s="6" t="n">
        <v>1326000</v>
      </c>
      <c r="J1265" s="6" t="n">
        <v>11100300</v>
      </c>
      <c r="K1265" s="6" t="n">
        <v>8921000</v>
      </c>
      <c r="L1265" s="6" t="n">
        <v>18</v>
      </c>
      <c r="M1265" s="6" t="n">
        <v>11</v>
      </c>
      <c r="N1265" s="6" t="n">
        <v>7454.5</v>
      </c>
    </row>
    <row r="1266" customFormat="false" ht="15" hidden="false" customHeight="false" outlineLevel="0" collapsed="false">
      <c r="A1266" s="6" t="s">
        <v>31</v>
      </c>
      <c r="B1266" s="6" t="s">
        <v>24</v>
      </c>
      <c r="C1266" s="6" t="s">
        <v>51</v>
      </c>
      <c r="D1266" s="6" t="s">
        <v>112</v>
      </c>
      <c r="E1266" s="6" t="s">
        <v>58</v>
      </c>
      <c r="F1266" s="6" t="s">
        <v>60</v>
      </c>
      <c r="G1266" s="6" t="n">
        <v>26</v>
      </c>
      <c r="H1266" s="6" t="n">
        <v>2103400</v>
      </c>
      <c r="I1266" s="6" t="n">
        <v>936700</v>
      </c>
      <c r="J1266" s="6" t="n">
        <v>16899100</v>
      </c>
      <c r="K1266" s="6" t="n">
        <v>14795400</v>
      </c>
      <c r="L1266" s="6" t="n">
        <v>26</v>
      </c>
      <c r="M1266" s="6" t="n">
        <v>16</v>
      </c>
      <c r="N1266" s="6" t="n">
        <v>18039.8</v>
      </c>
    </row>
    <row r="1267" customFormat="false" ht="15" hidden="false" customHeight="false" outlineLevel="0" collapsed="false">
      <c r="A1267" s="6" t="s">
        <v>31</v>
      </c>
      <c r="B1267" s="6" t="s">
        <v>24</v>
      </c>
      <c r="C1267" s="6" t="s">
        <v>51</v>
      </c>
      <c r="D1267" s="6" t="s">
        <v>112</v>
      </c>
      <c r="E1267" s="6" t="s">
        <v>60</v>
      </c>
      <c r="F1267" s="6" t="s">
        <v>58</v>
      </c>
      <c r="G1267" s="6" t="n">
        <v>9</v>
      </c>
      <c r="H1267" s="6" t="n">
        <v>1160200</v>
      </c>
      <c r="I1267" s="6" t="n">
        <v>638900</v>
      </c>
      <c r="J1267" s="6" t="n">
        <v>4668800</v>
      </c>
      <c r="K1267" s="6" t="n">
        <v>3508800</v>
      </c>
      <c r="L1267" s="6" t="n">
        <v>9</v>
      </c>
      <c r="M1267" s="6" t="n">
        <v>4</v>
      </c>
      <c r="N1267" s="6" t="n">
        <v>2965.5</v>
      </c>
    </row>
    <row r="1268" customFormat="false" ht="15" hidden="false" customHeight="false" outlineLevel="0" collapsed="false">
      <c r="A1268" s="6" t="s">
        <v>31</v>
      </c>
      <c r="B1268" s="6" t="s">
        <v>24</v>
      </c>
      <c r="C1268" s="6" t="s">
        <v>51</v>
      </c>
      <c r="D1268" s="6" t="s">
        <v>112</v>
      </c>
      <c r="E1268" s="6" t="s">
        <v>60</v>
      </c>
      <c r="F1268" s="6" t="s">
        <v>60</v>
      </c>
      <c r="G1268" s="6" t="n">
        <v>33</v>
      </c>
      <c r="H1268" s="6" t="n">
        <v>2703700</v>
      </c>
      <c r="I1268" s="6" t="n">
        <v>857200</v>
      </c>
      <c r="J1268" s="6" t="n">
        <v>22714500</v>
      </c>
      <c r="K1268" s="6" t="n">
        <v>20011200</v>
      </c>
      <c r="L1268" s="6" t="n">
        <v>33</v>
      </c>
      <c r="M1268" s="6" t="n">
        <v>22</v>
      </c>
      <c r="N1268" s="6" t="n">
        <v>24872.1</v>
      </c>
    </row>
    <row r="1269" customFormat="false" ht="15" hidden="false" customHeight="false" outlineLevel="0" collapsed="false">
      <c r="A1269" s="6" t="s">
        <v>31</v>
      </c>
      <c r="B1269" s="6" t="s">
        <v>24</v>
      </c>
      <c r="C1269" s="6" t="s">
        <v>51</v>
      </c>
      <c r="D1269" s="6" t="s">
        <v>113</v>
      </c>
      <c r="E1269" s="6" t="s">
        <v>58</v>
      </c>
      <c r="F1269" s="6" t="s">
        <v>58</v>
      </c>
      <c r="G1269" s="6" t="n">
        <v>13</v>
      </c>
      <c r="H1269" s="6" t="n">
        <v>1431300</v>
      </c>
      <c r="I1269" s="6" t="n">
        <v>608300</v>
      </c>
      <c r="J1269" s="6" t="n">
        <v>6019300</v>
      </c>
      <c r="K1269" s="6" t="n">
        <v>4588100</v>
      </c>
      <c r="L1269" s="6" t="n">
        <v>13</v>
      </c>
      <c r="M1269" s="6" t="n">
        <v>5</v>
      </c>
      <c r="N1269" s="6" t="n">
        <v>4374.1</v>
      </c>
    </row>
    <row r="1270" customFormat="false" ht="15" hidden="false" customHeight="false" outlineLevel="0" collapsed="false">
      <c r="A1270" s="6" t="s">
        <v>31</v>
      </c>
      <c r="B1270" s="6" t="s">
        <v>24</v>
      </c>
      <c r="C1270" s="6" t="s">
        <v>51</v>
      </c>
      <c r="D1270" s="6" t="s">
        <v>113</v>
      </c>
      <c r="E1270" s="6" t="s">
        <v>58</v>
      </c>
      <c r="F1270" s="6" t="s">
        <v>60</v>
      </c>
      <c r="G1270" s="6" t="n">
        <v>41</v>
      </c>
      <c r="H1270" s="6" t="n">
        <v>3582900</v>
      </c>
      <c r="I1270" s="6" t="n">
        <v>1536500</v>
      </c>
      <c r="J1270" s="6" t="n">
        <v>27481100</v>
      </c>
      <c r="K1270" s="6" t="n">
        <v>23898000</v>
      </c>
      <c r="L1270" s="6" t="n">
        <v>41</v>
      </c>
      <c r="M1270" s="6" t="n">
        <v>26</v>
      </c>
      <c r="N1270" s="6" t="n">
        <v>28461.8</v>
      </c>
    </row>
    <row r="1271" customFormat="false" ht="15" hidden="false" customHeight="false" outlineLevel="0" collapsed="false">
      <c r="A1271" s="6" t="s">
        <v>31</v>
      </c>
      <c r="B1271" s="6" t="s">
        <v>24</v>
      </c>
      <c r="C1271" s="6" t="s">
        <v>51</v>
      </c>
      <c r="D1271" s="6" t="s">
        <v>113</v>
      </c>
      <c r="E1271" s="6" t="s">
        <v>60</v>
      </c>
      <c r="F1271" s="6" t="s">
        <v>58</v>
      </c>
      <c r="G1271" s="6" t="n">
        <v>19</v>
      </c>
      <c r="H1271" s="6" t="n">
        <v>2417000</v>
      </c>
      <c r="I1271" s="6" t="n">
        <v>976100</v>
      </c>
      <c r="J1271" s="6" t="n">
        <v>12602100</v>
      </c>
      <c r="K1271" s="6" t="n">
        <v>10184900</v>
      </c>
      <c r="L1271" s="6" t="n">
        <v>19</v>
      </c>
      <c r="M1271" s="6" t="n">
        <v>12</v>
      </c>
      <c r="N1271" s="6" t="n">
        <v>8091.1</v>
      </c>
    </row>
    <row r="1272" customFormat="false" ht="15" hidden="false" customHeight="false" outlineLevel="0" collapsed="false">
      <c r="A1272" s="6" t="s">
        <v>31</v>
      </c>
      <c r="B1272" s="6" t="s">
        <v>24</v>
      </c>
      <c r="C1272" s="6" t="s">
        <v>51</v>
      </c>
      <c r="D1272" s="6" t="s">
        <v>113</v>
      </c>
      <c r="E1272" s="6" t="s">
        <v>60</v>
      </c>
      <c r="F1272" s="6" t="s">
        <v>60</v>
      </c>
      <c r="G1272" s="6" t="n">
        <v>35</v>
      </c>
      <c r="H1272" s="6" t="n">
        <v>2788000</v>
      </c>
      <c r="I1272" s="6" t="n">
        <v>1086500</v>
      </c>
      <c r="J1272" s="6" t="n">
        <v>21420300</v>
      </c>
      <c r="K1272" s="6" t="n">
        <v>18632400</v>
      </c>
      <c r="L1272" s="6" t="n">
        <v>35</v>
      </c>
      <c r="M1272" s="6" t="n">
        <v>22</v>
      </c>
      <c r="N1272" s="6" t="n">
        <v>23741.1</v>
      </c>
    </row>
    <row r="1273" customFormat="false" ht="15" hidden="false" customHeight="false" outlineLevel="0" collapsed="false">
      <c r="A1273" s="6" t="s">
        <v>31</v>
      </c>
      <c r="B1273" s="6" t="s">
        <v>24</v>
      </c>
      <c r="C1273" s="6" t="s">
        <v>51</v>
      </c>
      <c r="D1273" s="6" t="s">
        <v>114</v>
      </c>
      <c r="E1273" s="6" t="s">
        <v>58</v>
      </c>
      <c r="F1273" s="6" t="s">
        <v>58</v>
      </c>
      <c r="G1273" s="6" t="n">
        <v>11</v>
      </c>
      <c r="H1273" s="6" t="n">
        <v>1404700</v>
      </c>
      <c r="I1273" s="6" t="n">
        <v>678900</v>
      </c>
      <c r="J1273" s="6" t="n">
        <v>5950400</v>
      </c>
      <c r="K1273" s="6" t="n">
        <v>4545700</v>
      </c>
      <c r="L1273" s="6" t="n">
        <v>11</v>
      </c>
      <c r="M1273" s="6" t="n">
        <v>4</v>
      </c>
      <c r="N1273" s="6" t="n">
        <v>3524.8</v>
      </c>
    </row>
    <row r="1274" customFormat="false" ht="15" hidden="false" customHeight="false" outlineLevel="0" collapsed="false">
      <c r="A1274" s="6" t="s">
        <v>31</v>
      </c>
      <c r="B1274" s="6" t="s">
        <v>24</v>
      </c>
      <c r="C1274" s="6" t="s">
        <v>51</v>
      </c>
      <c r="D1274" s="6" t="s">
        <v>114</v>
      </c>
      <c r="E1274" s="6" t="s">
        <v>58</v>
      </c>
      <c r="F1274" s="6" t="s">
        <v>60</v>
      </c>
      <c r="G1274" s="6" t="n">
        <v>27</v>
      </c>
      <c r="H1274" s="6" t="n">
        <v>2231500</v>
      </c>
      <c r="I1274" s="6" t="n">
        <v>1094000</v>
      </c>
      <c r="J1274" s="6" t="n">
        <v>17639900</v>
      </c>
      <c r="K1274" s="6" t="n">
        <v>15408100</v>
      </c>
      <c r="L1274" s="6" t="n">
        <v>27</v>
      </c>
      <c r="M1274" s="6" t="n">
        <v>14</v>
      </c>
      <c r="N1274" s="6" t="n">
        <v>19712.5</v>
      </c>
    </row>
    <row r="1275" customFormat="false" ht="15" hidden="false" customHeight="false" outlineLevel="0" collapsed="false">
      <c r="A1275" s="6" t="s">
        <v>31</v>
      </c>
      <c r="B1275" s="6" t="s">
        <v>24</v>
      </c>
      <c r="C1275" s="6" t="s">
        <v>51</v>
      </c>
      <c r="D1275" s="6" t="s">
        <v>114</v>
      </c>
      <c r="E1275" s="6" t="s">
        <v>60</v>
      </c>
      <c r="F1275" s="6" t="s">
        <v>58</v>
      </c>
      <c r="G1275" s="6" t="n">
        <v>7</v>
      </c>
      <c r="H1275" s="6" t="n">
        <v>808900</v>
      </c>
      <c r="I1275" s="6" t="n">
        <v>183600</v>
      </c>
      <c r="J1275" s="6" t="n">
        <v>5706500</v>
      </c>
      <c r="K1275" s="6" t="n">
        <v>4897700</v>
      </c>
      <c r="L1275" s="6" t="n">
        <v>7</v>
      </c>
      <c r="M1275" s="6" t="n">
        <v>6</v>
      </c>
      <c r="N1275" s="6" t="n">
        <v>5135.3</v>
      </c>
    </row>
    <row r="1276" customFormat="false" ht="15" hidden="false" customHeight="false" outlineLevel="0" collapsed="false">
      <c r="A1276" s="6" t="s">
        <v>31</v>
      </c>
      <c r="B1276" s="6" t="s">
        <v>24</v>
      </c>
      <c r="C1276" s="6" t="s">
        <v>51</v>
      </c>
      <c r="D1276" s="6" t="s">
        <v>114</v>
      </c>
      <c r="E1276" s="6" t="s">
        <v>60</v>
      </c>
      <c r="F1276" s="6" t="s">
        <v>60</v>
      </c>
      <c r="G1276" s="6" t="n">
        <v>16</v>
      </c>
      <c r="H1276" s="6" t="n">
        <v>1405000</v>
      </c>
      <c r="I1276" s="6" t="n">
        <v>621500</v>
      </c>
      <c r="J1276" s="6" t="n">
        <v>9500800</v>
      </c>
      <c r="K1276" s="6" t="n">
        <v>8095700</v>
      </c>
      <c r="L1276" s="6" t="n">
        <v>16</v>
      </c>
      <c r="M1276" s="6" t="n">
        <v>9</v>
      </c>
      <c r="N1276" s="6" t="n">
        <v>9204.2</v>
      </c>
    </row>
    <row r="1277" customFormat="false" ht="15" hidden="false" customHeight="false" outlineLevel="0" collapsed="false">
      <c r="A1277" s="6" t="s">
        <v>33</v>
      </c>
      <c r="B1277" s="6" t="s">
        <v>34</v>
      </c>
      <c r="C1277" s="6" t="s">
        <v>54</v>
      </c>
      <c r="D1277" s="6" t="s">
        <v>111</v>
      </c>
      <c r="E1277" s="6" t="s">
        <v>58</v>
      </c>
      <c r="F1277" s="6" t="s">
        <v>58</v>
      </c>
      <c r="G1277" s="6" t="n">
        <v>3</v>
      </c>
      <c r="H1277" s="6" t="n">
        <v>543300</v>
      </c>
      <c r="I1277" s="6" t="n">
        <v>343800</v>
      </c>
      <c r="J1277" s="6" t="n">
        <v>541600</v>
      </c>
      <c r="K1277" s="6" t="n">
        <v>-1800</v>
      </c>
      <c r="L1277" s="6" t="n">
        <v>1</v>
      </c>
      <c r="M1277" s="6" t="n">
        <v>0</v>
      </c>
      <c r="N1277" s="6" t="n">
        <v>25.7</v>
      </c>
    </row>
    <row r="1278" customFormat="false" ht="15" hidden="false" customHeight="false" outlineLevel="0" collapsed="false">
      <c r="A1278" s="6" t="s">
        <v>33</v>
      </c>
      <c r="B1278" s="6" t="s">
        <v>34</v>
      </c>
      <c r="C1278" s="6" t="s">
        <v>54</v>
      </c>
      <c r="D1278" s="6" t="s">
        <v>111</v>
      </c>
      <c r="E1278" s="6" t="s">
        <v>58</v>
      </c>
      <c r="F1278" s="6" t="s">
        <v>60</v>
      </c>
      <c r="G1278" s="6" t="n">
        <v>8</v>
      </c>
      <c r="H1278" s="6" t="n">
        <v>823400</v>
      </c>
      <c r="I1278" s="6" t="n">
        <v>409300</v>
      </c>
      <c r="J1278" s="6" t="n">
        <v>2019800</v>
      </c>
      <c r="K1278" s="6" t="n">
        <v>1196500</v>
      </c>
      <c r="L1278" s="6" t="n">
        <v>8</v>
      </c>
      <c r="M1278" s="6" t="n">
        <v>1</v>
      </c>
      <c r="N1278" s="6" t="n">
        <v>1232.9</v>
      </c>
    </row>
    <row r="1279" customFormat="false" ht="15" hidden="false" customHeight="false" outlineLevel="0" collapsed="false">
      <c r="A1279" s="6" t="s">
        <v>33</v>
      </c>
      <c r="B1279" s="6" t="s">
        <v>34</v>
      </c>
      <c r="C1279" s="6" t="s">
        <v>54</v>
      </c>
      <c r="D1279" s="6" t="s">
        <v>111</v>
      </c>
      <c r="E1279" s="6" t="s">
        <v>60</v>
      </c>
      <c r="F1279" s="6" t="s">
        <v>58</v>
      </c>
      <c r="G1279" s="6" t="n">
        <v>6</v>
      </c>
      <c r="H1279" s="6" t="n">
        <v>982600</v>
      </c>
      <c r="I1279" s="6" t="n">
        <v>392100</v>
      </c>
      <c r="J1279" s="6" t="n">
        <v>1802000</v>
      </c>
      <c r="K1279" s="6" t="n">
        <v>819400</v>
      </c>
      <c r="L1279" s="6" t="n">
        <v>5</v>
      </c>
      <c r="M1279" s="6" t="n">
        <v>1</v>
      </c>
      <c r="N1279" s="6" t="n">
        <v>548.3</v>
      </c>
    </row>
    <row r="1280" customFormat="false" ht="15" hidden="false" customHeight="false" outlineLevel="0" collapsed="false">
      <c r="A1280" s="6" t="s">
        <v>33</v>
      </c>
      <c r="B1280" s="6" t="s">
        <v>34</v>
      </c>
      <c r="C1280" s="6" t="s">
        <v>54</v>
      </c>
      <c r="D1280" s="6" t="s">
        <v>111</v>
      </c>
      <c r="E1280" s="6" t="s">
        <v>60</v>
      </c>
      <c r="F1280" s="6" t="s">
        <v>60</v>
      </c>
      <c r="G1280" s="6" t="n">
        <v>14</v>
      </c>
      <c r="H1280" s="6" t="n">
        <v>1473000</v>
      </c>
      <c r="I1280" s="6" t="n">
        <v>667300</v>
      </c>
      <c r="J1280" s="6" t="n">
        <v>4293600</v>
      </c>
      <c r="K1280" s="6" t="n">
        <v>2820500</v>
      </c>
      <c r="L1280" s="6" t="n">
        <v>14</v>
      </c>
      <c r="M1280" s="6" t="n">
        <v>0</v>
      </c>
      <c r="N1280" s="6" t="n">
        <v>2889.2</v>
      </c>
    </row>
    <row r="1281" customFormat="false" ht="15" hidden="false" customHeight="false" outlineLevel="0" collapsed="false">
      <c r="A1281" s="6" t="s">
        <v>33</v>
      </c>
      <c r="B1281" s="6" t="s">
        <v>34</v>
      </c>
      <c r="C1281" s="6" t="s">
        <v>54</v>
      </c>
      <c r="D1281" s="6" t="s">
        <v>112</v>
      </c>
      <c r="E1281" s="6" t="s">
        <v>58</v>
      </c>
      <c r="F1281" s="6" t="s">
        <v>58</v>
      </c>
      <c r="G1281" s="6" t="n">
        <v>6</v>
      </c>
      <c r="H1281" s="6" t="n">
        <v>899400</v>
      </c>
      <c r="I1281" s="6" t="n">
        <v>318700</v>
      </c>
      <c r="J1281" s="6" t="n">
        <v>1568700</v>
      </c>
      <c r="K1281" s="6" t="n">
        <v>669300</v>
      </c>
      <c r="L1281" s="6" t="n">
        <v>5</v>
      </c>
      <c r="M1281" s="6" t="n">
        <v>0</v>
      </c>
      <c r="N1281" s="6" t="n">
        <v>470.9</v>
      </c>
    </row>
    <row r="1282" customFormat="false" ht="15" hidden="false" customHeight="false" outlineLevel="0" collapsed="false">
      <c r="A1282" s="6" t="s">
        <v>33</v>
      </c>
      <c r="B1282" s="6" t="s">
        <v>34</v>
      </c>
      <c r="C1282" s="6" t="s">
        <v>54</v>
      </c>
      <c r="D1282" s="6" t="s">
        <v>112</v>
      </c>
      <c r="E1282" s="6" t="s">
        <v>58</v>
      </c>
      <c r="F1282" s="6" t="s">
        <v>60</v>
      </c>
      <c r="G1282" s="6" t="n">
        <v>15</v>
      </c>
      <c r="H1282" s="6" t="n">
        <v>1594700</v>
      </c>
      <c r="I1282" s="6" t="n">
        <v>665500</v>
      </c>
      <c r="J1282" s="6" t="n">
        <v>4268700</v>
      </c>
      <c r="K1282" s="6" t="n">
        <v>2673800</v>
      </c>
      <c r="L1282" s="6" t="n">
        <v>15</v>
      </c>
      <c r="M1282" s="6" t="n">
        <v>1</v>
      </c>
      <c r="N1282" s="6" t="n">
        <v>2595.3</v>
      </c>
    </row>
    <row r="1283" customFormat="false" ht="15" hidden="false" customHeight="false" outlineLevel="0" collapsed="false">
      <c r="A1283" s="6" t="s">
        <v>33</v>
      </c>
      <c r="B1283" s="6" t="s">
        <v>34</v>
      </c>
      <c r="C1283" s="6" t="s">
        <v>54</v>
      </c>
      <c r="D1283" s="6" t="s">
        <v>112</v>
      </c>
      <c r="E1283" s="6" t="s">
        <v>60</v>
      </c>
      <c r="F1283" s="6" t="s">
        <v>58</v>
      </c>
      <c r="G1283" s="6" t="n">
        <v>11</v>
      </c>
      <c r="H1283" s="6" t="n">
        <v>1477900</v>
      </c>
      <c r="I1283" s="6" t="n">
        <v>540400</v>
      </c>
      <c r="J1283" s="6" t="n">
        <v>3832100</v>
      </c>
      <c r="K1283" s="6" t="n">
        <v>2354000</v>
      </c>
      <c r="L1283" s="6" t="n">
        <v>11</v>
      </c>
      <c r="M1283" s="6" t="n">
        <v>1</v>
      </c>
      <c r="N1283" s="6" t="n">
        <v>1823</v>
      </c>
    </row>
    <row r="1284" customFormat="false" ht="15" hidden="false" customHeight="false" outlineLevel="0" collapsed="false">
      <c r="A1284" s="6" t="s">
        <v>33</v>
      </c>
      <c r="B1284" s="6" t="s">
        <v>34</v>
      </c>
      <c r="C1284" s="6" t="s">
        <v>54</v>
      </c>
      <c r="D1284" s="6" t="s">
        <v>112</v>
      </c>
      <c r="E1284" s="6" t="s">
        <v>60</v>
      </c>
      <c r="F1284" s="6" t="s">
        <v>60</v>
      </c>
      <c r="G1284" s="6" t="n">
        <v>11</v>
      </c>
      <c r="H1284" s="6" t="n">
        <v>1211600</v>
      </c>
      <c r="I1284" s="6" t="n">
        <v>722100</v>
      </c>
      <c r="J1284" s="6" t="n">
        <v>3416600</v>
      </c>
      <c r="K1284" s="6" t="n">
        <v>2204900</v>
      </c>
      <c r="L1284" s="6" t="n">
        <v>11</v>
      </c>
      <c r="M1284" s="6" t="n">
        <v>1</v>
      </c>
      <c r="N1284" s="6" t="n">
        <v>2208.9</v>
      </c>
    </row>
    <row r="1285" customFormat="false" ht="15" hidden="false" customHeight="false" outlineLevel="0" collapsed="false">
      <c r="A1285" s="6" t="s">
        <v>33</v>
      </c>
      <c r="B1285" s="6" t="s">
        <v>34</v>
      </c>
      <c r="C1285" s="6" t="s">
        <v>54</v>
      </c>
      <c r="D1285" s="6" t="s">
        <v>113</v>
      </c>
      <c r="E1285" s="6" t="s">
        <v>58</v>
      </c>
      <c r="F1285" s="6" t="s">
        <v>58</v>
      </c>
      <c r="G1285" s="6" t="n">
        <v>5</v>
      </c>
      <c r="H1285" s="6" t="n">
        <v>839100</v>
      </c>
      <c r="I1285" s="6" t="n">
        <v>212100</v>
      </c>
      <c r="J1285" s="6" t="n">
        <v>869100</v>
      </c>
      <c r="K1285" s="6" t="n">
        <v>30000</v>
      </c>
      <c r="L1285" s="6" t="n">
        <v>3</v>
      </c>
      <c r="M1285" s="6" t="n">
        <v>0</v>
      </c>
      <c r="N1285" s="6" t="n">
        <v>21.1</v>
      </c>
    </row>
    <row r="1286" customFormat="false" ht="15" hidden="false" customHeight="false" outlineLevel="0" collapsed="false">
      <c r="A1286" s="6" t="s">
        <v>33</v>
      </c>
      <c r="B1286" s="6" t="s">
        <v>34</v>
      </c>
      <c r="C1286" s="6" t="s">
        <v>54</v>
      </c>
      <c r="D1286" s="6" t="s">
        <v>113</v>
      </c>
      <c r="E1286" s="6" t="s">
        <v>58</v>
      </c>
      <c r="F1286" s="6" t="s">
        <v>60</v>
      </c>
      <c r="G1286" s="6" t="n">
        <v>33</v>
      </c>
      <c r="H1286" s="6" t="n">
        <v>3543300</v>
      </c>
      <c r="I1286" s="6" t="n">
        <v>1319700</v>
      </c>
      <c r="J1286" s="6" t="n">
        <v>7733300</v>
      </c>
      <c r="K1286" s="6" t="n">
        <v>4190200</v>
      </c>
      <c r="L1286" s="6" t="n">
        <v>33</v>
      </c>
      <c r="M1286" s="6" t="n">
        <v>0</v>
      </c>
      <c r="N1286" s="6" t="n">
        <v>4148.5</v>
      </c>
    </row>
    <row r="1287" customFormat="false" ht="15" hidden="false" customHeight="false" outlineLevel="0" collapsed="false">
      <c r="A1287" s="6" t="s">
        <v>33</v>
      </c>
      <c r="B1287" s="6" t="s">
        <v>34</v>
      </c>
      <c r="C1287" s="6" t="s">
        <v>54</v>
      </c>
      <c r="D1287" s="6" t="s">
        <v>113</v>
      </c>
      <c r="E1287" s="6" t="s">
        <v>60</v>
      </c>
      <c r="F1287" s="6" t="s">
        <v>58</v>
      </c>
      <c r="G1287" s="6" t="n">
        <v>13</v>
      </c>
      <c r="H1287" s="6" t="n">
        <v>1923100</v>
      </c>
      <c r="I1287" s="6" t="n">
        <v>801700</v>
      </c>
      <c r="J1287" s="6" t="n">
        <v>3302600</v>
      </c>
      <c r="K1287" s="6" t="n">
        <v>1379800</v>
      </c>
      <c r="L1287" s="6" t="n">
        <v>12</v>
      </c>
      <c r="M1287" s="6" t="n">
        <v>0</v>
      </c>
      <c r="N1287" s="6" t="n">
        <v>903.7</v>
      </c>
    </row>
    <row r="1288" customFormat="false" ht="15" hidden="false" customHeight="false" outlineLevel="0" collapsed="false">
      <c r="A1288" s="6" t="s">
        <v>33</v>
      </c>
      <c r="B1288" s="6" t="s">
        <v>34</v>
      </c>
      <c r="C1288" s="6" t="s">
        <v>54</v>
      </c>
      <c r="D1288" s="6" t="s">
        <v>113</v>
      </c>
      <c r="E1288" s="6" t="s">
        <v>60</v>
      </c>
      <c r="F1288" s="6" t="s">
        <v>60</v>
      </c>
      <c r="G1288" s="6" t="n">
        <v>18</v>
      </c>
      <c r="H1288" s="6" t="n">
        <v>1924500</v>
      </c>
      <c r="I1288" s="6" t="n">
        <v>662400</v>
      </c>
      <c r="J1288" s="6" t="n">
        <v>5638100</v>
      </c>
      <c r="K1288" s="6" t="n">
        <v>3713500</v>
      </c>
      <c r="L1288" s="6" t="n">
        <v>18</v>
      </c>
      <c r="M1288" s="6" t="n">
        <v>0</v>
      </c>
      <c r="N1288" s="6" t="n">
        <v>3680.7</v>
      </c>
    </row>
    <row r="1289" customFormat="false" ht="15" hidden="false" customHeight="false" outlineLevel="0" collapsed="false">
      <c r="A1289" s="6" t="s">
        <v>33</v>
      </c>
      <c r="B1289" s="6" t="s">
        <v>34</v>
      </c>
      <c r="C1289" s="6" t="s">
        <v>54</v>
      </c>
      <c r="D1289" s="6" t="s">
        <v>114</v>
      </c>
      <c r="E1289" s="6" t="s">
        <v>58</v>
      </c>
      <c r="F1289" s="6" t="s">
        <v>58</v>
      </c>
      <c r="G1289" s="6" t="n">
        <v>7</v>
      </c>
      <c r="H1289" s="6" t="n">
        <v>1035200</v>
      </c>
      <c r="I1289" s="6" t="n">
        <v>624100</v>
      </c>
      <c r="J1289" s="6" t="n">
        <v>1286400</v>
      </c>
      <c r="K1289" s="6" t="n">
        <v>251100</v>
      </c>
      <c r="L1289" s="6" t="n">
        <v>4</v>
      </c>
      <c r="M1289" s="6" t="n">
        <v>0</v>
      </c>
      <c r="N1289" s="6" t="n">
        <v>235.8</v>
      </c>
    </row>
    <row r="1290" customFormat="false" ht="15" hidden="false" customHeight="false" outlineLevel="0" collapsed="false">
      <c r="A1290" s="6" t="s">
        <v>33</v>
      </c>
      <c r="B1290" s="6" t="s">
        <v>34</v>
      </c>
      <c r="C1290" s="6" t="s">
        <v>54</v>
      </c>
      <c r="D1290" s="6" t="s">
        <v>114</v>
      </c>
      <c r="E1290" s="6" t="s">
        <v>58</v>
      </c>
      <c r="F1290" s="6" t="s">
        <v>60</v>
      </c>
      <c r="G1290" s="6" t="n">
        <v>14</v>
      </c>
      <c r="H1290" s="6" t="n">
        <v>1435000</v>
      </c>
      <c r="I1290" s="6" t="n">
        <v>635200</v>
      </c>
      <c r="J1290" s="6" t="n">
        <v>3968700</v>
      </c>
      <c r="K1290" s="6" t="n">
        <v>2533600</v>
      </c>
      <c r="L1290" s="6" t="n">
        <v>13</v>
      </c>
      <c r="M1290" s="6" t="n">
        <v>1</v>
      </c>
      <c r="N1290" s="6" t="n">
        <v>2622.6</v>
      </c>
    </row>
    <row r="1291" customFormat="false" ht="15" hidden="false" customHeight="false" outlineLevel="0" collapsed="false">
      <c r="A1291" s="6" t="s">
        <v>33</v>
      </c>
      <c r="B1291" s="6" t="s">
        <v>34</v>
      </c>
      <c r="C1291" s="6" t="s">
        <v>54</v>
      </c>
      <c r="D1291" s="6" t="s">
        <v>114</v>
      </c>
      <c r="E1291" s="6" t="s">
        <v>60</v>
      </c>
      <c r="F1291" s="6" t="s">
        <v>58</v>
      </c>
      <c r="G1291" s="6" t="n">
        <v>3</v>
      </c>
      <c r="H1291" s="6" t="n">
        <v>403800</v>
      </c>
      <c r="I1291" s="6" t="n">
        <v>206100</v>
      </c>
      <c r="J1291" s="6" t="n">
        <v>600500</v>
      </c>
      <c r="K1291" s="6" t="n">
        <v>196700</v>
      </c>
      <c r="L1291" s="6" t="n">
        <v>2</v>
      </c>
      <c r="M1291" s="6" t="n">
        <v>0</v>
      </c>
      <c r="N1291" s="6" t="n">
        <v>170.3</v>
      </c>
    </row>
    <row r="1292" customFormat="false" ht="15" hidden="false" customHeight="false" outlineLevel="0" collapsed="false">
      <c r="A1292" s="6" t="s">
        <v>33</v>
      </c>
      <c r="B1292" s="6" t="s">
        <v>34</v>
      </c>
      <c r="C1292" s="6" t="s">
        <v>54</v>
      </c>
      <c r="D1292" s="6" t="s">
        <v>114</v>
      </c>
      <c r="E1292" s="6" t="s">
        <v>60</v>
      </c>
      <c r="F1292" s="6" t="s">
        <v>60</v>
      </c>
      <c r="G1292" s="6" t="n">
        <v>15</v>
      </c>
      <c r="H1292" s="6" t="n">
        <v>1527000</v>
      </c>
      <c r="I1292" s="6" t="n">
        <v>582100</v>
      </c>
      <c r="J1292" s="6" t="n">
        <v>3922200</v>
      </c>
      <c r="K1292" s="6" t="n">
        <v>2395100</v>
      </c>
      <c r="L1292" s="6" t="n">
        <v>14</v>
      </c>
      <c r="M1292" s="6" t="n">
        <v>0</v>
      </c>
      <c r="N1292" s="6" t="n">
        <v>2620.1</v>
      </c>
    </row>
    <row r="1293" customFormat="false" ht="15" hidden="false" customHeight="false" outlineLevel="0" collapsed="false">
      <c r="A1293" s="6" t="s">
        <v>33</v>
      </c>
      <c r="B1293" s="6" t="s">
        <v>34</v>
      </c>
      <c r="C1293" s="6" t="s">
        <v>50</v>
      </c>
      <c r="D1293" s="6" t="s">
        <v>111</v>
      </c>
      <c r="E1293" s="6" t="s">
        <v>58</v>
      </c>
      <c r="F1293" s="6" t="s">
        <v>58</v>
      </c>
      <c r="G1293" s="6" t="n">
        <v>4</v>
      </c>
      <c r="H1293" s="6" t="n">
        <v>816100</v>
      </c>
      <c r="I1293" s="6" t="n">
        <v>359300</v>
      </c>
      <c r="J1293" s="6" t="n">
        <v>2233200</v>
      </c>
      <c r="K1293" s="6" t="n">
        <v>1417100</v>
      </c>
      <c r="L1293" s="6" t="n">
        <v>4</v>
      </c>
      <c r="M1293" s="6" t="n">
        <v>1</v>
      </c>
      <c r="N1293" s="6" t="n">
        <v>798</v>
      </c>
    </row>
    <row r="1294" customFormat="false" ht="15" hidden="false" customHeight="false" outlineLevel="0" collapsed="false">
      <c r="A1294" s="6" t="s">
        <v>33</v>
      </c>
      <c r="B1294" s="6" t="s">
        <v>34</v>
      </c>
      <c r="C1294" s="6" t="s">
        <v>50</v>
      </c>
      <c r="D1294" s="6" t="s">
        <v>111</v>
      </c>
      <c r="E1294" s="6" t="s">
        <v>58</v>
      </c>
      <c r="F1294" s="6" t="s">
        <v>60</v>
      </c>
      <c r="G1294" s="6" t="n">
        <v>5</v>
      </c>
      <c r="H1294" s="6" t="n">
        <v>660000</v>
      </c>
      <c r="I1294" s="6" t="n">
        <v>351800</v>
      </c>
      <c r="J1294" s="6" t="n">
        <v>2585300</v>
      </c>
      <c r="K1294" s="6" t="n">
        <v>1925400</v>
      </c>
      <c r="L1294" s="6" t="n">
        <v>5</v>
      </c>
      <c r="M1294" s="6" t="n">
        <v>1</v>
      </c>
      <c r="N1294" s="6" t="n">
        <v>1457.9</v>
      </c>
    </row>
    <row r="1295" customFormat="false" ht="15" hidden="false" customHeight="false" outlineLevel="0" collapsed="false">
      <c r="A1295" s="6" t="s">
        <v>33</v>
      </c>
      <c r="B1295" s="6" t="s">
        <v>34</v>
      </c>
      <c r="C1295" s="6" t="s">
        <v>50</v>
      </c>
      <c r="D1295" s="6" t="s">
        <v>111</v>
      </c>
      <c r="E1295" s="6" t="s">
        <v>60</v>
      </c>
      <c r="F1295" s="6" t="s">
        <v>58</v>
      </c>
      <c r="G1295" s="6" t="n">
        <v>3</v>
      </c>
      <c r="H1295" s="6" t="n">
        <v>600500</v>
      </c>
      <c r="I1295" s="6" t="n">
        <v>320400</v>
      </c>
      <c r="J1295" s="6" t="n">
        <v>1946600</v>
      </c>
      <c r="K1295" s="6" t="n">
        <v>1346200</v>
      </c>
      <c r="L1295" s="6" t="n">
        <v>3</v>
      </c>
      <c r="M1295" s="6" t="n">
        <v>1</v>
      </c>
      <c r="N1295" s="6" t="n">
        <v>691.1</v>
      </c>
    </row>
    <row r="1296" customFormat="false" ht="15" hidden="false" customHeight="false" outlineLevel="0" collapsed="false">
      <c r="A1296" s="6" t="s">
        <v>33</v>
      </c>
      <c r="B1296" s="6" t="s">
        <v>34</v>
      </c>
      <c r="C1296" s="6" t="s">
        <v>50</v>
      </c>
      <c r="D1296" s="6" t="s">
        <v>111</v>
      </c>
      <c r="E1296" s="6" t="s">
        <v>60</v>
      </c>
      <c r="F1296" s="6" t="s">
        <v>60</v>
      </c>
      <c r="G1296" s="6" t="n">
        <v>6</v>
      </c>
      <c r="H1296" s="6" t="n">
        <v>804600</v>
      </c>
      <c r="I1296" s="6" t="n">
        <v>383900</v>
      </c>
      <c r="J1296" s="6" t="n">
        <v>3547500</v>
      </c>
      <c r="K1296" s="6" t="n">
        <v>2742900</v>
      </c>
      <c r="L1296" s="6" t="n">
        <v>6</v>
      </c>
      <c r="M1296" s="6" t="n">
        <v>3</v>
      </c>
      <c r="N1296" s="6" t="n">
        <v>2105.2</v>
      </c>
    </row>
    <row r="1297" customFormat="false" ht="15" hidden="false" customHeight="false" outlineLevel="0" collapsed="false">
      <c r="A1297" s="6" t="s">
        <v>33</v>
      </c>
      <c r="B1297" s="6" t="s">
        <v>34</v>
      </c>
      <c r="C1297" s="6" t="s">
        <v>50</v>
      </c>
      <c r="D1297" s="6" t="s">
        <v>112</v>
      </c>
      <c r="E1297" s="6" t="s">
        <v>58</v>
      </c>
      <c r="F1297" s="6" t="s">
        <v>58</v>
      </c>
      <c r="G1297" s="6" t="n">
        <v>7</v>
      </c>
      <c r="H1297" s="6" t="n">
        <v>1542700</v>
      </c>
      <c r="I1297" s="6" t="n">
        <v>499000</v>
      </c>
      <c r="J1297" s="6" t="n">
        <v>4610500</v>
      </c>
      <c r="K1297" s="6" t="n">
        <v>3067800</v>
      </c>
      <c r="L1297" s="6" t="n">
        <v>7</v>
      </c>
      <c r="M1297" s="6" t="n">
        <v>3</v>
      </c>
      <c r="N1297" s="6" t="n">
        <v>1435.2</v>
      </c>
    </row>
    <row r="1298" customFormat="false" ht="15" hidden="false" customHeight="false" outlineLevel="0" collapsed="false">
      <c r="A1298" s="6" t="s">
        <v>33</v>
      </c>
      <c r="B1298" s="6" t="s">
        <v>34</v>
      </c>
      <c r="C1298" s="6" t="s">
        <v>50</v>
      </c>
      <c r="D1298" s="6" t="s">
        <v>112</v>
      </c>
      <c r="E1298" s="6" t="s">
        <v>58</v>
      </c>
      <c r="F1298" s="6" t="s">
        <v>60</v>
      </c>
      <c r="G1298" s="6" t="n">
        <v>9</v>
      </c>
      <c r="H1298" s="6" t="n">
        <v>1220900</v>
      </c>
      <c r="I1298" s="6" t="n">
        <v>363800</v>
      </c>
      <c r="J1298" s="6" t="n">
        <v>6136500</v>
      </c>
      <c r="K1298" s="6" t="n">
        <v>4915300</v>
      </c>
      <c r="L1298" s="6" t="n">
        <v>9</v>
      </c>
      <c r="M1298" s="6" t="n">
        <v>5</v>
      </c>
      <c r="N1298" s="6" t="n">
        <v>3636.7</v>
      </c>
    </row>
    <row r="1299" customFormat="false" ht="15" hidden="false" customHeight="false" outlineLevel="0" collapsed="false">
      <c r="A1299" s="6" t="s">
        <v>33</v>
      </c>
      <c r="B1299" s="6" t="s">
        <v>34</v>
      </c>
      <c r="C1299" s="6" t="s">
        <v>50</v>
      </c>
      <c r="D1299" s="6" t="s">
        <v>112</v>
      </c>
      <c r="E1299" s="6" t="s">
        <v>60</v>
      </c>
      <c r="F1299" s="6" t="s">
        <v>58</v>
      </c>
      <c r="G1299" s="6" t="n">
        <v>4</v>
      </c>
      <c r="H1299" s="6" t="n">
        <v>698800</v>
      </c>
      <c r="I1299" s="6" t="n">
        <v>273700</v>
      </c>
      <c r="J1299" s="6" t="n">
        <v>2086000</v>
      </c>
      <c r="K1299" s="6" t="n">
        <v>1387300</v>
      </c>
      <c r="L1299" s="6" t="n">
        <v>4</v>
      </c>
      <c r="M1299" s="6" t="n">
        <v>1</v>
      </c>
      <c r="N1299" s="6" t="n">
        <v>825.3</v>
      </c>
    </row>
    <row r="1300" customFormat="false" ht="15" hidden="false" customHeight="false" outlineLevel="0" collapsed="false">
      <c r="A1300" s="6" t="s">
        <v>33</v>
      </c>
      <c r="B1300" s="6" t="s">
        <v>34</v>
      </c>
      <c r="C1300" s="6" t="s">
        <v>50</v>
      </c>
      <c r="D1300" s="6" t="s">
        <v>112</v>
      </c>
      <c r="E1300" s="6" t="s">
        <v>60</v>
      </c>
      <c r="F1300" s="6" t="s">
        <v>60</v>
      </c>
      <c r="G1300" s="6" t="n">
        <v>11</v>
      </c>
      <c r="H1300" s="6" t="n">
        <v>1617100</v>
      </c>
      <c r="I1300" s="6" t="n">
        <v>819400</v>
      </c>
      <c r="J1300" s="6" t="n">
        <v>8358300</v>
      </c>
      <c r="K1300" s="6" t="n">
        <v>6741000</v>
      </c>
      <c r="L1300" s="6" t="n">
        <v>11</v>
      </c>
      <c r="M1300" s="6" t="n">
        <v>6</v>
      </c>
      <c r="N1300" s="6" t="n">
        <v>5345.1</v>
      </c>
    </row>
    <row r="1301" customFormat="false" ht="15" hidden="false" customHeight="false" outlineLevel="0" collapsed="false">
      <c r="A1301" s="6" t="s">
        <v>33</v>
      </c>
      <c r="B1301" s="6" t="s">
        <v>34</v>
      </c>
      <c r="C1301" s="6" t="s">
        <v>50</v>
      </c>
      <c r="D1301" s="6" t="s">
        <v>113</v>
      </c>
      <c r="E1301" s="6" t="s">
        <v>58</v>
      </c>
      <c r="F1301" s="6" t="s">
        <v>58</v>
      </c>
      <c r="G1301" s="6" t="n">
        <v>3</v>
      </c>
      <c r="H1301" s="6" t="n">
        <v>619600</v>
      </c>
      <c r="I1301" s="6" t="n">
        <v>305000</v>
      </c>
      <c r="J1301" s="6" t="n">
        <v>926700</v>
      </c>
      <c r="K1301" s="6" t="n">
        <v>307000</v>
      </c>
      <c r="L1301" s="6" t="n">
        <v>3</v>
      </c>
      <c r="M1301" s="6" t="n">
        <v>0</v>
      </c>
      <c r="N1301" s="6" t="n">
        <v>158.2</v>
      </c>
    </row>
    <row r="1302" customFormat="false" ht="15" hidden="false" customHeight="false" outlineLevel="0" collapsed="false">
      <c r="A1302" s="6" t="s">
        <v>33</v>
      </c>
      <c r="B1302" s="6" t="s">
        <v>34</v>
      </c>
      <c r="C1302" s="6" t="s">
        <v>50</v>
      </c>
      <c r="D1302" s="6" t="s">
        <v>113</v>
      </c>
      <c r="E1302" s="6" t="s">
        <v>58</v>
      </c>
      <c r="F1302" s="6" t="s">
        <v>60</v>
      </c>
      <c r="G1302" s="6" t="n">
        <v>15</v>
      </c>
      <c r="H1302" s="6" t="n">
        <v>2257500</v>
      </c>
      <c r="I1302" s="6" t="n">
        <v>944000</v>
      </c>
      <c r="J1302" s="6" t="n">
        <v>10673100</v>
      </c>
      <c r="K1302" s="6" t="n">
        <v>8415600</v>
      </c>
      <c r="L1302" s="6" t="n">
        <v>15</v>
      </c>
      <c r="M1302" s="6" t="n">
        <v>11</v>
      </c>
      <c r="N1302" s="6" t="n">
        <v>5739.9</v>
      </c>
    </row>
    <row r="1303" customFormat="false" ht="15" hidden="false" customHeight="false" outlineLevel="0" collapsed="false">
      <c r="A1303" s="6" t="s">
        <v>33</v>
      </c>
      <c r="B1303" s="6" t="s">
        <v>34</v>
      </c>
      <c r="C1303" s="6" t="s">
        <v>50</v>
      </c>
      <c r="D1303" s="6" t="s">
        <v>113</v>
      </c>
      <c r="E1303" s="6" t="s">
        <v>60</v>
      </c>
      <c r="F1303" s="6" t="s">
        <v>58</v>
      </c>
      <c r="G1303" s="6" t="n">
        <v>6</v>
      </c>
      <c r="H1303" s="6" t="n">
        <v>1228700</v>
      </c>
      <c r="I1303" s="6" t="n">
        <v>701200</v>
      </c>
      <c r="J1303" s="6" t="n">
        <v>3522500</v>
      </c>
      <c r="K1303" s="6" t="n">
        <v>2293900</v>
      </c>
      <c r="L1303" s="6" t="n">
        <v>6</v>
      </c>
      <c r="M1303" s="6" t="n">
        <v>2</v>
      </c>
      <c r="N1303" s="6" t="n">
        <v>1130.1</v>
      </c>
    </row>
    <row r="1304" customFormat="false" ht="15" hidden="false" customHeight="false" outlineLevel="0" collapsed="false">
      <c r="A1304" s="6" t="s">
        <v>33</v>
      </c>
      <c r="B1304" s="6" t="s">
        <v>34</v>
      </c>
      <c r="C1304" s="6" t="s">
        <v>50</v>
      </c>
      <c r="D1304" s="6" t="s">
        <v>113</v>
      </c>
      <c r="E1304" s="6" t="s">
        <v>60</v>
      </c>
      <c r="F1304" s="6" t="s">
        <v>60</v>
      </c>
      <c r="G1304" s="6" t="n">
        <v>8</v>
      </c>
      <c r="H1304" s="6" t="n">
        <v>1206600</v>
      </c>
      <c r="I1304" s="6" t="n">
        <v>715700</v>
      </c>
      <c r="J1304" s="6" t="n">
        <v>5021800</v>
      </c>
      <c r="K1304" s="6" t="n">
        <v>3815100</v>
      </c>
      <c r="L1304" s="6" t="n">
        <v>8</v>
      </c>
      <c r="M1304" s="6" t="n">
        <v>4</v>
      </c>
      <c r="N1304" s="6" t="n">
        <v>2506.4</v>
      </c>
    </row>
    <row r="1305" customFormat="false" ht="15" hidden="false" customHeight="false" outlineLevel="0" collapsed="false">
      <c r="A1305" s="6" t="s">
        <v>33</v>
      </c>
      <c r="B1305" s="6" t="s">
        <v>34</v>
      </c>
      <c r="C1305" s="6" t="s">
        <v>50</v>
      </c>
      <c r="D1305" s="6" t="s">
        <v>114</v>
      </c>
      <c r="E1305" s="6" t="s">
        <v>58</v>
      </c>
      <c r="F1305" s="6" t="s">
        <v>58</v>
      </c>
      <c r="G1305" s="6" t="n">
        <v>2</v>
      </c>
      <c r="H1305" s="6" t="n">
        <v>419200</v>
      </c>
      <c r="I1305" s="6" t="n">
        <v>314600</v>
      </c>
      <c r="J1305" s="6" t="n">
        <v>1018600</v>
      </c>
      <c r="K1305" s="6" t="n">
        <v>599400</v>
      </c>
      <c r="L1305" s="6" t="n">
        <v>2</v>
      </c>
      <c r="M1305" s="6" t="n">
        <v>0</v>
      </c>
      <c r="N1305" s="6" t="n">
        <v>294.3</v>
      </c>
    </row>
    <row r="1306" customFormat="false" ht="15" hidden="false" customHeight="false" outlineLevel="0" collapsed="false">
      <c r="A1306" s="6" t="s">
        <v>33</v>
      </c>
      <c r="B1306" s="6" t="s">
        <v>34</v>
      </c>
      <c r="C1306" s="6" t="s">
        <v>50</v>
      </c>
      <c r="D1306" s="6" t="s">
        <v>114</v>
      </c>
      <c r="E1306" s="6" t="s">
        <v>58</v>
      </c>
      <c r="F1306" s="6" t="s">
        <v>60</v>
      </c>
      <c r="G1306" s="6" t="n">
        <v>7</v>
      </c>
      <c r="H1306" s="6" t="n">
        <v>1153900</v>
      </c>
      <c r="I1306" s="6" t="n">
        <v>183200</v>
      </c>
      <c r="J1306" s="6" t="n">
        <v>3497900</v>
      </c>
      <c r="K1306" s="6" t="n">
        <v>2344100</v>
      </c>
      <c r="L1306" s="6" t="n">
        <v>7</v>
      </c>
      <c r="M1306" s="6" t="n">
        <v>2</v>
      </c>
      <c r="N1306" s="6" t="n">
        <v>1472.9</v>
      </c>
    </row>
    <row r="1307" customFormat="false" ht="15" hidden="false" customHeight="false" outlineLevel="0" collapsed="false">
      <c r="A1307" s="6" t="s">
        <v>33</v>
      </c>
      <c r="B1307" s="6" t="s">
        <v>34</v>
      </c>
      <c r="C1307" s="6" t="s">
        <v>50</v>
      </c>
      <c r="D1307" s="6" t="s">
        <v>114</v>
      </c>
      <c r="E1307" s="6" t="s">
        <v>60</v>
      </c>
      <c r="F1307" s="6" t="s">
        <v>58</v>
      </c>
      <c r="G1307" s="6" t="n">
        <v>2</v>
      </c>
      <c r="H1307" s="6" t="n">
        <v>499700</v>
      </c>
      <c r="I1307" s="6" t="n">
        <v>458800</v>
      </c>
      <c r="J1307" s="6" t="n">
        <v>880200</v>
      </c>
      <c r="K1307" s="6" t="n">
        <v>380400</v>
      </c>
      <c r="L1307" s="6" t="n">
        <v>2</v>
      </c>
      <c r="M1307" s="6" t="n">
        <v>0</v>
      </c>
      <c r="N1307" s="6" t="n">
        <v>157.2</v>
      </c>
    </row>
    <row r="1308" customFormat="false" ht="15" hidden="false" customHeight="false" outlineLevel="0" collapsed="false">
      <c r="A1308" s="6" t="s">
        <v>33</v>
      </c>
      <c r="B1308" s="6" t="s">
        <v>34</v>
      </c>
      <c r="C1308" s="6" t="s">
        <v>50</v>
      </c>
      <c r="D1308" s="6" t="s">
        <v>114</v>
      </c>
      <c r="E1308" s="6" t="s">
        <v>60</v>
      </c>
      <c r="F1308" s="6" t="s">
        <v>60</v>
      </c>
      <c r="G1308" s="6" t="n">
        <v>8</v>
      </c>
      <c r="H1308" s="6" t="n">
        <v>1012100</v>
      </c>
      <c r="I1308" s="6" t="n">
        <v>571800</v>
      </c>
      <c r="J1308" s="6" t="n">
        <v>5418900</v>
      </c>
      <c r="K1308" s="6" t="n">
        <v>4406800</v>
      </c>
      <c r="L1308" s="6" t="n">
        <v>8</v>
      </c>
      <c r="M1308" s="6" t="n">
        <v>5</v>
      </c>
      <c r="N1308" s="6" t="n">
        <v>3994.9</v>
      </c>
    </row>
    <row r="1309" customFormat="false" ht="15" hidden="false" customHeight="false" outlineLevel="0" collapsed="false">
      <c r="A1309" s="6" t="s">
        <v>33</v>
      </c>
      <c r="B1309" s="6" t="s">
        <v>34</v>
      </c>
      <c r="C1309" s="6" t="s">
        <v>52</v>
      </c>
      <c r="D1309" s="6" t="s">
        <v>111</v>
      </c>
      <c r="E1309" s="6" t="s">
        <v>58</v>
      </c>
      <c r="F1309" s="6" t="s">
        <v>58</v>
      </c>
      <c r="G1309" s="6" t="n">
        <v>15</v>
      </c>
      <c r="H1309" s="6" t="n">
        <v>1488400</v>
      </c>
      <c r="I1309" s="6" t="n">
        <v>682500</v>
      </c>
      <c r="J1309" s="6" t="n">
        <v>6316100</v>
      </c>
      <c r="K1309" s="6" t="n">
        <v>4828000</v>
      </c>
      <c r="L1309" s="6" t="n">
        <v>15</v>
      </c>
      <c r="M1309" s="6" t="n">
        <v>4</v>
      </c>
      <c r="N1309" s="6" t="n">
        <v>5195.2</v>
      </c>
    </row>
    <row r="1310" customFormat="false" ht="15" hidden="false" customHeight="false" outlineLevel="0" collapsed="false">
      <c r="A1310" s="6" t="s">
        <v>33</v>
      </c>
      <c r="B1310" s="6" t="s">
        <v>34</v>
      </c>
      <c r="C1310" s="6" t="s">
        <v>52</v>
      </c>
      <c r="D1310" s="6" t="s">
        <v>111</v>
      </c>
      <c r="E1310" s="6" t="s">
        <v>58</v>
      </c>
      <c r="F1310" s="6" t="s">
        <v>60</v>
      </c>
      <c r="G1310" s="6" t="n">
        <v>50</v>
      </c>
      <c r="H1310" s="6" t="n">
        <v>3682100</v>
      </c>
      <c r="I1310" s="6" t="n">
        <v>1878200</v>
      </c>
      <c r="J1310" s="6" t="n">
        <v>21940700</v>
      </c>
      <c r="K1310" s="6" t="n">
        <v>18259000</v>
      </c>
      <c r="L1310" s="6" t="n">
        <v>50</v>
      </c>
      <c r="M1310" s="6" t="n">
        <v>16</v>
      </c>
      <c r="N1310" s="6" t="n">
        <v>25768.8</v>
      </c>
    </row>
    <row r="1311" customFormat="false" ht="15" hidden="false" customHeight="false" outlineLevel="0" collapsed="false">
      <c r="A1311" s="6" t="s">
        <v>33</v>
      </c>
      <c r="B1311" s="6" t="s">
        <v>34</v>
      </c>
      <c r="C1311" s="6" t="s">
        <v>52</v>
      </c>
      <c r="D1311" s="6" t="s">
        <v>111</v>
      </c>
      <c r="E1311" s="6" t="s">
        <v>60</v>
      </c>
      <c r="F1311" s="6" t="s">
        <v>58</v>
      </c>
      <c r="G1311" s="6" t="n">
        <v>16</v>
      </c>
      <c r="H1311" s="6" t="n">
        <v>1685400</v>
      </c>
      <c r="I1311" s="6" t="n">
        <v>663700</v>
      </c>
      <c r="J1311" s="6" t="n">
        <v>6506000</v>
      </c>
      <c r="K1311" s="6" t="n">
        <v>4820900</v>
      </c>
      <c r="L1311" s="6" t="n">
        <v>16</v>
      </c>
      <c r="M1311" s="6" t="n">
        <v>4</v>
      </c>
      <c r="N1311" s="6" t="n">
        <v>4752.7</v>
      </c>
    </row>
    <row r="1312" customFormat="false" ht="15" hidden="false" customHeight="false" outlineLevel="0" collapsed="false">
      <c r="A1312" s="6" t="s">
        <v>33</v>
      </c>
      <c r="B1312" s="6" t="s">
        <v>34</v>
      </c>
      <c r="C1312" s="6" t="s">
        <v>52</v>
      </c>
      <c r="D1312" s="6" t="s">
        <v>111</v>
      </c>
      <c r="E1312" s="6" t="s">
        <v>60</v>
      </c>
      <c r="F1312" s="6" t="s">
        <v>60</v>
      </c>
      <c r="G1312" s="6" t="n">
        <v>36</v>
      </c>
      <c r="H1312" s="6" t="n">
        <v>2702100</v>
      </c>
      <c r="I1312" s="6" t="n">
        <v>1296000</v>
      </c>
      <c r="J1312" s="6" t="n">
        <v>17228600</v>
      </c>
      <c r="K1312" s="6" t="n">
        <v>14525700</v>
      </c>
      <c r="L1312" s="6" t="n">
        <v>36</v>
      </c>
      <c r="M1312" s="6" t="n">
        <v>14</v>
      </c>
      <c r="N1312" s="6" t="n">
        <v>19916</v>
      </c>
    </row>
    <row r="1313" customFormat="false" ht="15" hidden="false" customHeight="false" outlineLevel="0" collapsed="false">
      <c r="A1313" s="6" t="s">
        <v>33</v>
      </c>
      <c r="B1313" s="6" t="s">
        <v>34</v>
      </c>
      <c r="C1313" s="6" t="s">
        <v>52</v>
      </c>
      <c r="D1313" s="6" t="s">
        <v>112</v>
      </c>
      <c r="E1313" s="6" t="s">
        <v>58</v>
      </c>
      <c r="F1313" s="6" t="s">
        <v>58</v>
      </c>
      <c r="G1313" s="6" t="n">
        <v>21</v>
      </c>
      <c r="H1313" s="6" t="n">
        <v>2133700</v>
      </c>
      <c r="I1313" s="6" t="n">
        <v>1312300</v>
      </c>
      <c r="J1313" s="6" t="n">
        <v>9910700</v>
      </c>
      <c r="K1313" s="6" t="n">
        <v>7776900</v>
      </c>
      <c r="L1313" s="6" t="n">
        <v>21</v>
      </c>
      <c r="M1313" s="6" t="n">
        <v>6</v>
      </c>
      <c r="N1313" s="6" t="n">
        <v>8217.4</v>
      </c>
    </row>
    <row r="1314" customFormat="false" ht="15" hidden="false" customHeight="false" outlineLevel="0" collapsed="false">
      <c r="A1314" s="6" t="s">
        <v>33</v>
      </c>
      <c r="B1314" s="6" t="s">
        <v>34</v>
      </c>
      <c r="C1314" s="6" t="s">
        <v>52</v>
      </c>
      <c r="D1314" s="6" t="s">
        <v>112</v>
      </c>
      <c r="E1314" s="6" t="s">
        <v>58</v>
      </c>
      <c r="F1314" s="6" t="s">
        <v>60</v>
      </c>
      <c r="G1314" s="6" t="n">
        <v>46</v>
      </c>
      <c r="H1314" s="6" t="n">
        <v>3397700</v>
      </c>
      <c r="I1314" s="6" t="n">
        <v>1836000</v>
      </c>
      <c r="J1314" s="6" t="n">
        <v>21445500</v>
      </c>
      <c r="K1314" s="6" t="n">
        <v>18047700</v>
      </c>
      <c r="L1314" s="6" t="n">
        <v>46</v>
      </c>
      <c r="M1314" s="6" t="n">
        <v>16</v>
      </c>
      <c r="N1314" s="6" t="n">
        <v>25004.5</v>
      </c>
    </row>
    <row r="1315" customFormat="false" ht="15" hidden="false" customHeight="false" outlineLevel="0" collapsed="false">
      <c r="A1315" s="6" t="s">
        <v>33</v>
      </c>
      <c r="B1315" s="6" t="s">
        <v>34</v>
      </c>
      <c r="C1315" s="6" t="s">
        <v>52</v>
      </c>
      <c r="D1315" s="6" t="s">
        <v>112</v>
      </c>
      <c r="E1315" s="6" t="s">
        <v>60</v>
      </c>
      <c r="F1315" s="6" t="s">
        <v>58</v>
      </c>
      <c r="G1315" s="6" t="n">
        <v>22</v>
      </c>
      <c r="H1315" s="6" t="n">
        <v>2219500</v>
      </c>
      <c r="I1315" s="6" t="n">
        <v>1226000</v>
      </c>
      <c r="J1315" s="6" t="n">
        <v>9484800</v>
      </c>
      <c r="K1315" s="6" t="n">
        <v>7265400</v>
      </c>
      <c r="L1315" s="6" t="n">
        <v>22</v>
      </c>
      <c r="M1315" s="6" t="n">
        <v>6</v>
      </c>
      <c r="N1315" s="6" t="n">
        <v>8016.9</v>
      </c>
    </row>
    <row r="1316" customFormat="false" ht="15" hidden="false" customHeight="false" outlineLevel="0" collapsed="false">
      <c r="A1316" s="6" t="s">
        <v>33</v>
      </c>
      <c r="B1316" s="6" t="s">
        <v>34</v>
      </c>
      <c r="C1316" s="6" t="s">
        <v>52</v>
      </c>
      <c r="D1316" s="6" t="s">
        <v>112</v>
      </c>
      <c r="E1316" s="6" t="s">
        <v>60</v>
      </c>
      <c r="F1316" s="6" t="s">
        <v>60</v>
      </c>
      <c r="G1316" s="6" t="n">
        <v>47</v>
      </c>
      <c r="H1316" s="6" t="n">
        <v>3551100</v>
      </c>
      <c r="I1316" s="6" t="n">
        <v>1464300</v>
      </c>
      <c r="J1316" s="6" t="n">
        <v>22113400</v>
      </c>
      <c r="K1316" s="6" t="n">
        <v>18562300</v>
      </c>
      <c r="L1316" s="6" t="n">
        <v>47</v>
      </c>
      <c r="M1316" s="6" t="n">
        <v>18</v>
      </c>
      <c r="N1316" s="6" t="n">
        <v>25545.5</v>
      </c>
    </row>
    <row r="1317" customFormat="false" ht="15" hidden="false" customHeight="false" outlineLevel="0" collapsed="false">
      <c r="A1317" s="6" t="s">
        <v>33</v>
      </c>
      <c r="B1317" s="6" t="s">
        <v>34</v>
      </c>
      <c r="C1317" s="6" t="s">
        <v>52</v>
      </c>
      <c r="D1317" s="6" t="s">
        <v>113</v>
      </c>
      <c r="E1317" s="6" t="s">
        <v>58</v>
      </c>
      <c r="F1317" s="6" t="s">
        <v>58</v>
      </c>
      <c r="G1317" s="6" t="n">
        <v>21</v>
      </c>
      <c r="H1317" s="6" t="n">
        <v>2296400</v>
      </c>
      <c r="I1317" s="6" t="n">
        <v>1041800</v>
      </c>
      <c r="J1317" s="6" t="n">
        <v>8482600</v>
      </c>
      <c r="K1317" s="6" t="n">
        <v>6186200</v>
      </c>
      <c r="L1317" s="6" t="n">
        <v>21</v>
      </c>
      <c r="M1317" s="6" t="n">
        <v>5</v>
      </c>
      <c r="N1317" s="6" t="n">
        <v>5916.8</v>
      </c>
    </row>
    <row r="1318" customFormat="false" ht="15" hidden="false" customHeight="false" outlineLevel="0" collapsed="false">
      <c r="A1318" s="6" t="s">
        <v>33</v>
      </c>
      <c r="B1318" s="6" t="s">
        <v>34</v>
      </c>
      <c r="C1318" s="6" t="s">
        <v>52</v>
      </c>
      <c r="D1318" s="6" t="s">
        <v>113</v>
      </c>
      <c r="E1318" s="6" t="s">
        <v>58</v>
      </c>
      <c r="F1318" s="6" t="s">
        <v>60</v>
      </c>
      <c r="G1318" s="6" t="n">
        <v>57</v>
      </c>
      <c r="H1318" s="6" t="n">
        <v>4301300</v>
      </c>
      <c r="I1318" s="6" t="n">
        <v>1517600</v>
      </c>
      <c r="J1318" s="6" t="n">
        <v>24897900</v>
      </c>
      <c r="K1318" s="6" t="n">
        <v>20596500</v>
      </c>
      <c r="L1318" s="6" t="n">
        <v>57</v>
      </c>
      <c r="M1318" s="6" t="n">
        <v>21</v>
      </c>
      <c r="N1318" s="6" t="n">
        <v>28720.2</v>
      </c>
    </row>
    <row r="1319" customFormat="false" ht="15" hidden="false" customHeight="false" outlineLevel="0" collapsed="false">
      <c r="A1319" s="6" t="s">
        <v>33</v>
      </c>
      <c r="B1319" s="6" t="s">
        <v>34</v>
      </c>
      <c r="C1319" s="6" t="s">
        <v>52</v>
      </c>
      <c r="D1319" s="6" t="s">
        <v>113</v>
      </c>
      <c r="E1319" s="6" t="s">
        <v>60</v>
      </c>
      <c r="F1319" s="6" t="s">
        <v>58</v>
      </c>
      <c r="G1319" s="6" t="n">
        <v>30</v>
      </c>
      <c r="H1319" s="6" t="n">
        <v>3469100</v>
      </c>
      <c r="I1319" s="6" t="n">
        <v>1309800</v>
      </c>
      <c r="J1319" s="6" t="n">
        <v>13327000</v>
      </c>
      <c r="K1319" s="6" t="n">
        <v>9858300</v>
      </c>
      <c r="L1319" s="6" t="n">
        <v>30</v>
      </c>
      <c r="M1319" s="6" t="n">
        <v>9</v>
      </c>
      <c r="N1319" s="6" t="n">
        <v>9124</v>
      </c>
    </row>
    <row r="1320" customFormat="false" ht="15" hidden="false" customHeight="false" outlineLevel="0" collapsed="false">
      <c r="A1320" s="6" t="s">
        <v>33</v>
      </c>
      <c r="B1320" s="6" t="s">
        <v>34</v>
      </c>
      <c r="C1320" s="6" t="s">
        <v>52</v>
      </c>
      <c r="D1320" s="6" t="s">
        <v>113</v>
      </c>
      <c r="E1320" s="6" t="s">
        <v>60</v>
      </c>
      <c r="F1320" s="6" t="s">
        <v>60</v>
      </c>
      <c r="G1320" s="6" t="n">
        <v>59</v>
      </c>
      <c r="H1320" s="6" t="n">
        <v>4579400</v>
      </c>
      <c r="I1320" s="6" t="n">
        <v>1930500</v>
      </c>
      <c r="J1320" s="6" t="n">
        <v>29225900</v>
      </c>
      <c r="K1320" s="6" t="n">
        <v>24646700</v>
      </c>
      <c r="L1320" s="6" t="n">
        <v>59</v>
      </c>
      <c r="M1320" s="6" t="n">
        <v>24</v>
      </c>
      <c r="N1320" s="6" t="n">
        <v>32685.6</v>
      </c>
    </row>
    <row r="1321" customFormat="false" ht="15" hidden="false" customHeight="false" outlineLevel="0" collapsed="false">
      <c r="A1321" s="6" t="s">
        <v>33</v>
      </c>
      <c r="B1321" s="6" t="s">
        <v>34</v>
      </c>
      <c r="C1321" s="6" t="s">
        <v>52</v>
      </c>
      <c r="D1321" s="6" t="s">
        <v>114</v>
      </c>
      <c r="E1321" s="6" t="s">
        <v>58</v>
      </c>
      <c r="F1321" s="6" t="s">
        <v>58</v>
      </c>
      <c r="G1321" s="6" t="n">
        <v>18</v>
      </c>
      <c r="H1321" s="6" t="n">
        <v>1802400</v>
      </c>
      <c r="I1321" s="6" t="n">
        <v>864600</v>
      </c>
      <c r="J1321" s="6" t="n">
        <v>6741800</v>
      </c>
      <c r="K1321" s="6" t="n">
        <v>4939200</v>
      </c>
      <c r="L1321" s="6" t="n">
        <v>18</v>
      </c>
      <c r="M1321" s="6" t="n">
        <v>2</v>
      </c>
      <c r="N1321" s="6" t="n">
        <v>5167.5</v>
      </c>
    </row>
    <row r="1322" customFormat="false" ht="15" hidden="false" customHeight="false" outlineLevel="0" collapsed="false">
      <c r="A1322" s="6" t="s">
        <v>33</v>
      </c>
      <c r="B1322" s="6" t="s">
        <v>34</v>
      </c>
      <c r="C1322" s="6" t="s">
        <v>52</v>
      </c>
      <c r="D1322" s="6" t="s">
        <v>114</v>
      </c>
      <c r="E1322" s="6" t="s">
        <v>58</v>
      </c>
      <c r="F1322" s="6" t="s">
        <v>60</v>
      </c>
      <c r="G1322" s="6" t="n">
        <v>40</v>
      </c>
      <c r="H1322" s="6" t="n">
        <v>3138700</v>
      </c>
      <c r="I1322" s="6" t="n">
        <v>1272600</v>
      </c>
      <c r="J1322" s="6" t="n">
        <v>17644000</v>
      </c>
      <c r="K1322" s="6" t="n">
        <v>14504300</v>
      </c>
      <c r="L1322" s="6" t="n">
        <v>40</v>
      </c>
      <c r="M1322" s="6" t="n">
        <v>15</v>
      </c>
      <c r="N1322" s="6" t="n">
        <v>19720</v>
      </c>
    </row>
    <row r="1323" customFormat="false" ht="15" hidden="false" customHeight="false" outlineLevel="0" collapsed="false">
      <c r="A1323" s="6" t="s">
        <v>33</v>
      </c>
      <c r="B1323" s="6" t="s">
        <v>34</v>
      </c>
      <c r="C1323" s="6" t="s">
        <v>52</v>
      </c>
      <c r="D1323" s="6" t="s">
        <v>114</v>
      </c>
      <c r="E1323" s="6" t="s">
        <v>60</v>
      </c>
      <c r="F1323" s="6" t="s">
        <v>58</v>
      </c>
      <c r="G1323" s="6" t="n">
        <v>17</v>
      </c>
      <c r="H1323" s="6" t="n">
        <v>1592700</v>
      </c>
      <c r="I1323" s="6" t="n">
        <v>908600</v>
      </c>
      <c r="J1323" s="6" t="n">
        <v>7636200</v>
      </c>
      <c r="K1323" s="6" t="n">
        <v>6043200</v>
      </c>
      <c r="L1323" s="6" t="n">
        <v>17</v>
      </c>
      <c r="M1323" s="6" t="n">
        <v>3</v>
      </c>
      <c r="N1323" s="6" t="n">
        <v>6710.4</v>
      </c>
    </row>
    <row r="1324" customFormat="false" ht="15" hidden="false" customHeight="false" outlineLevel="0" collapsed="false">
      <c r="A1324" s="6" t="s">
        <v>33</v>
      </c>
      <c r="B1324" s="6" t="s">
        <v>34</v>
      </c>
      <c r="C1324" s="6" t="s">
        <v>52</v>
      </c>
      <c r="D1324" s="6" t="s">
        <v>114</v>
      </c>
      <c r="E1324" s="6" t="s">
        <v>60</v>
      </c>
      <c r="F1324" s="6" t="s">
        <v>60</v>
      </c>
      <c r="G1324" s="6" t="n">
        <v>34</v>
      </c>
      <c r="H1324" s="6" t="n">
        <v>2412100</v>
      </c>
      <c r="I1324" s="6" t="n">
        <v>1209100</v>
      </c>
      <c r="J1324" s="6" t="n">
        <v>17668000</v>
      </c>
      <c r="K1324" s="6" t="n">
        <v>15255900</v>
      </c>
      <c r="L1324" s="6" t="n">
        <v>34</v>
      </c>
      <c r="M1324" s="6" t="n">
        <v>16</v>
      </c>
      <c r="N1324" s="6" t="n">
        <v>22385.6</v>
      </c>
    </row>
    <row r="1325" customFormat="false" ht="15" hidden="false" customHeight="false" outlineLevel="0" collapsed="false">
      <c r="A1325" s="6" t="s">
        <v>33</v>
      </c>
      <c r="B1325" s="6" t="s">
        <v>34</v>
      </c>
      <c r="C1325" s="6" t="s">
        <v>53</v>
      </c>
      <c r="D1325" s="6" t="s">
        <v>111</v>
      </c>
      <c r="E1325" s="6" t="s">
        <v>58</v>
      </c>
      <c r="F1325" s="6" t="s">
        <v>58</v>
      </c>
      <c r="G1325" s="6" t="n">
        <v>17</v>
      </c>
      <c r="H1325" s="6" t="n">
        <v>1420300</v>
      </c>
      <c r="I1325" s="6" t="n">
        <v>501100</v>
      </c>
      <c r="J1325" s="6" t="n">
        <v>5051600</v>
      </c>
      <c r="K1325" s="6" t="n">
        <v>3631000</v>
      </c>
      <c r="L1325" s="6" t="n">
        <v>17</v>
      </c>
      <c r="M1325" s="6" t="n">
        <v>0</v>
      </c>
      <c r="N1325" s="6" t="n">
        <v>4723.9</v>
      </c>
    </row>
    <row r="1326" customFormat="false" ht="15" hidden="false" customHeight="false" outlineLevel="0" collapsed="false">
      <c r="A1326" s="6" t="s">
        <v>33</v>
      </c>
      <c r="B1326" s="6" t="s">
        <v>34</v>
      </c>
      <c r="C1326" s="6" t="s">
        <v>53</v>
      </c>
      <c r="D1326" s="6" t="s">
        <v>111</v>
      </c>
      <c r="E1326" s="6" t="s">
        <v>58</v>
      </c>
      <c r="F1326" s="6" t="s">
        <v>60</v>
      </c>
      <c r="G1326" s="6" t="n">
        <v>35</v>
      </c>
      <c r="H1326" s="6" t="n">
        <v>2015500</v>
      </c>
      <c r="I1326" s="6" t="n">
        <v>918700</v>
      </c>
      <c r="J1326" s="6" t="n">
        <v>13350100</v>
      </c>
      <c r="K1326" s="6" t="n">
        <v>11334500</v>
      </c>
      <c r="L1326" s="6" t="n">
        <v>35</v>
      </c>
      <c r="M1326" s="6" t="n">
        <v>7</v>
      </c>
      <c r="N1326" s="6" t="n">
        <v>20577.5</v>
      </c>
    </row>
    <row r="1327" customFormat="false" ht="15" hidden="false" customHeight="false" outlineLevel="0" collapsed="false">
      <c r="A1327" s="6" t="s">
        <v>33</v>
      </c>
      <c r="B1327" s="6" t="s">
        <v>34</v>
      </c>
      <c r="C1327" s="6" t="s">
        <v>53</v>
      </c>
      <c r="D1327" s="6" t="s">
        <v>111</v>
      </c>
      <c r="E1327" s="6" t="s">
        <v>60</v>
      </c>
      <c r="F1327" s="6" t="s">
        <v>58</v>
      </c>
      <c r="G1327" s="6" t="n">
        <v>12</v>
      </c>
      <c r="H1327" s="6" t="n">
        <v>975700</v>
      </c>
      <c r="I1327" s="6" t="n">
        <v>444700</v>
      </c>
      <c r="J1327" s="6" t="n">
        <v>5436600</v>
      </c>
      <c r="K1327" s="6" t="n">
        <v>4460900</v>
      </c>
      <c r="L1327" s="6" t="n">
        <v>12</v>
      </c>
      <c r="M1327" s="6" t="n">
        <v>5</v>
      </c>
      <c r="N1327" s="6" t="n">
        <v>5924.1</v>
      </c>
    </row>
    <row r="1328" customFormat="false" ht="15" hidden="false" customHeight="false" outlineLevel="0" collapsed="false">
      <c r="A1328" s="6" t="s">
        <v>33</v>
      </c>
      <c r="B1328" s="6" t="s">
        <v>34</v>
      </c>
      <c r="C1328" s="6" t="s">
        <v>53</v>
      </c>
      <c r="D1328" s="6" t="s">
        <v>111</v>
      </c>
      <c r="E1328" s="6" t="s">
        <v>60</v>
      </c>
      <c r="F1328" s="6" t="s">
        <v>60</v>
      </c>
      <c r="G1328" s="6" t="n">
        <v>41</v>
      </c>
      <c r="H1328" s="6" t="n">
        <v>2298100</v>
      </c>
      <c r="I1328" s="6" t="n">
        <v>1115600</v>
      </c>
      <c r="J1328" s="6" t="n">
        <v>17549200</v>
      </c>
      <c r="K1328" s="6" t="n">
        <v>15250900</v>
      </c>
      <c r="L1328" s="6" t="n">
        <v>41</v>
      </c>
      <c r="M1328" s="6" t="n">
        <v>13</v>
      </c>
      <c r="N1328" s="6" t="n">
        <v>27904.5</v>
      </c>
    </row>
    <row r="1329" customFormat="false" ht="15" hidden="false" customHeight="false" outlineLevel="0" collapsed="false">
      <c r="A1329" s="6" t="s">
        <v>33</v>
      </c>
      <c r="B1329" s="6" t="s">
        <v>34</v>
      </c>
      <c r="C1329" s="6" t="s">
        <v>53</v>
      </c>
      <c r="D1329" s="6" t="s">
        <v>112</v>
      </c>
      <c r="E1329" s="6" t="s">
        <v>58</v>
      </c>
      <c r="F1329" s="6" t="s">
        <v>58</v>
      </c>
      <c r="G1329" s="6" t="n">
        <v>16</v>
      </c>
      <c r="H1329" s="6" t="n">
        <v>1172800</v>
      </c>
      <c r="I1329" s="6" t="n">
        <v>410900</v>
      </c>
      <c r="J1329" s="6" t="n">
        <v>6734700</v>
      </c>
      <c r="K1329" s="6" t="n">
        <v>5562300</v>
      </c>
      <c r="L1329" s="6" t="n">
        <v>16</v>
      </c>
      <c r="M1329" s="6" t="n">
        <v>5</v>
      </c>
      <c r="N1329" s="6" t="n">
        <v>8066.6</v>
      </c>
    </row>
    <row r="1330" customFormat="false" ht="15" hidden="false" customHeight="false" outlineLevel="0" collapsed="false">
      <c r="A1330" s="6" t="s">
        <v>33</v>
      </c>
      <c r="B1330" s="6" t="s">
        <v>34</v>
      </c>
      <c r="C1330" s="6" t="s">
        <v>53</v>
      </c>
      <c r="D1330" s="6" t="s">
        <v>112</v>
      </c>
      <c r="E1330" s="6" t="s">
        <v>58</v>
      </c>
      <c r="F1330" s="6" t="s">
        <v>60</v>
      </c>
      <c r="G1330" s="6" t="n">
        <v>38</v>
      </c>
      <c r="H1330" s="6" t="n">
        <v>2371000</v>
      </c>
      <c r="I1330" s="6" t="n">
        <v>1068800</v>
      </c>
      <c r="J1330" s="6" t="n">
        <v>14736500</v>
      </c>
      <c r="K1330" s="6" t="n">
        <v>12365600</v>
      </c>
      <c r="L1330" s="6" t="n">
        <v>38</v>
      </c>
      <c r="M1330" s="6" t="n">
        <v>10</v>
      </c>
      <c r="N1330" s="6" t="n">
        <v>20474.8</v>
      </c>
    </row>
    <row r="1331" customFormat="false" ht="15" hidden="false" customHeight="false" outlineLevel="0" collapsed="false">
      <c r="A1331" s="6" t="s">
        <v>33</v>
      </c>
      <c r="B1331" s="6" t="s">
        <v>34</v>
      </c>
      <c r="C1331" s="6" t="s">
        <v>53</v>
      </c>
      <c r="D1331" s="6" t="s">
        <v>112</v>
      </c>
      <c r="E1331" s="6" t="s">
        <v>60</v>
      </c>
      <c r="F1331" s="6" t="s">
        <v>58</v>
      </c>
      <c r="G1331" s="6" t="n">
        <v>21</v>
      </c>
      <c r="H1331" s="6" t="n">
        <v>1642700</v>
      </c>
      <c r="I1331" s="6" t="n">
        <v>746100</v>
      </c>
      <c r="J1331" s="6" t="n">
        <v>9364900</v>
      </c>
      <c r="K1331" s="6" t="n">
        <v>7722300</v>
      </c>
      <c r="L1331" s="6" t="n">
        <v>21</v>
      </c>
      <c r="M1331" s="6" t="n">
        <v>7</v>
      </c>
      <c r="N1331" s="6" t="n">
        <v>10485.1</v>
      </c>
    </row>
    <row r="1332" customFormat="false" ht="15" hidden="false" customHeight="false" outlineLevel="0" collapsed="false">
      <c r="A1332" s="6" t="s">
        <v>33</v>
      </c>
      <c r="B1332" s="6" t="s">
        <v>34</v>
      </c>
      <c r="C1332" s="6" t="s">
        <v>53</v>
      </c>
      <c r="D1332" s="6" t="s">
        <v>112</v>
      </c>
      <c r="E1332" s="6" t="s">
        <v>60</v>
      </c>
      <c r="F1332" s="6" t="s">
        <v>60</v>
      </c>
      <c r="G1332" s="6" t="n">
        <v>49</v>
      </c>
      <c r="H1332" s="6" t="n">
        <v>2970600</v>
      </c>
      <c r="I1332" s="6" t="n">
        <v>1188300</v>
      </c>
      <c r="J1332" s="6" t="n">
        <v>20503200</v>
      </c>
      <c r="K1332" s="6" t="n">
        <v>17532600</v>
      </c>
      <c r="L1332" s="6" t="n">
        <v>49</v>
      </c>
      <c r="M1332" s="6" t="n">
        <v>14</v>
      </c>
      <c r="N1332" s="6" t="n">
        <v>30112.7</v>
      </c>
    </row>
    <row r="1333" customFormat="false" ht="15" hidden="false" customHeight="false" outlineLevel="0" collapsed="false">
      <c r="A1333" s="6" t="s">
        <v>33</v>
      </c>
      <c r="B1333" s="6" t="s">
        <v>34</v>
      </c>
      <c r="C1333" s="6" t="s">
        <v>53</v>
      </c>
      <c r="D1333" s="6" t="s">
        <v>113</v>
      </c>
      <c r="E1333" s="6" t="s">
        <v>58</v>
      </c>
      <c r="F1333" s="6" t="s">
        <v>58</v>
      </c>
      <c r="G1333" s="6" t="n">
        <v>21</v>
      </c>
      <c r="H1333" s="6" t="n">
        <v>1596200</v>
      </c>
      <c r="I1333" s="6" t="n">
        <v>601000</v>
      </c>
      <c r="J1333" s="6" t="n">
        <v>8146000</v>
      </c>
      <c r="K1333" s="6" t="n">
        <v>6549700</v>
      </c>
      <c r="L1333" s="6" t="n">
        <v>21</v>
      </c>
      <c r="M1333" s="6" t="n">
        <v>5</v>
      </c>
      <c r="N1333" s="6" t="n">
        <v>9263.6</v>
      </c>
    </row>
    <row r="1334" customFormat="false" ht="15" hidden="false" customHeight="false" outlineLevel="0" collapsed="false">
      <c r="A1334" s="6" t="s">
        <v>33</v>
      </c>
      <c r="B1334" s="6" t="s">
        <v>34</v>
      </c>
      <c r="C1334" s="6" t="s">
        <v>53</v>
      </c>
      <c r="D1334" s="6" t="s">
        <v>113</v>
      </c>
      <c r="E1334" s="6" t="s">
        <v>58</v>
      </c>
      <c r="F1334" s="6" t="s">
        <v>60</v>
      </c>
      <c r="G1334" s="6" t="n">
        <v>55</v>
      </c>
      <c r="H1334" s="6" t="n">
        <v>3313600</v>
      </c>
      <c r="I1334" s="6" t="n">
        <v>1492700</v>
      </c>
      <c r="J1334" s="6" t="n">
        <v>19390300</v>
      </c>
      <c r="K1334" s="6" t="n">
        <v>16076500</v>
      </c>
      <c r="L1334" s="6" t="n">
        <v>55</v>
      </c>
      <c r="M1334" s="6" t="n">
        <v>8</v>
      </c>
      <c r="N1334" s="6" t="n">
        <v>27866.2</v>
      </c>
    </row>
    <row r="1335" customFormat="false" ht="15" hidden="false" customHeight="false" outlineLevel="0" collapsed="false">
      <c r="A1335" s="6" t="s">
        <v>33</v>
      </c>
      <c r="B1335" s="6" t="s">
        <v>34</v>
      </c>
      <c r="C1335" s="6" t="s">
        <v>53</v>
      </c>
      <c r="D1335" s="6" t="s">
        <v>113</v>
      </c>
      <c r="E1335" s="6" t="s">
        <v>60</v>
      </c>
      <c r="F1335" s="6" t="s">
        <v>58</v>
      </c>
      <c r="G1335" s="6" t="n">
        <v>33</v>
      </c>
      <c r="H1335" s="6" t="n">
        <v>2763200</v>
      </c>
      <c r="I1335" s="6" t="n">
        <v>1330200</v>
      </c>
      <c r="J1335" s="6" t="n">
        <v>14670600</v>
      </c>
      <c r="K1335" s="6" t="n">
        <v>11906900</v>
      </c>
      <c r="L1335" s="6" t="n">
        <v>33</v>
      </c>
      <c r="M1335" s="6" t="n">
        <v>13</v>
      </c>
      <c r="N1335" s="6" t="n">
        <v>14969.1</v>
      </c>
    </row>
    <row r="1336" customFormat="false" ht="15" hidden="false" customHeight="false" outlineLevel="0" collapsed="false">
      <c r="A1336" s="6" t="s">
        <v>33</v>
      </c>
      <c r="B1336" s="6" t="s">
        <v>34</v>
      </c>
      <c r="C1336" s="6" t="s">
        <v>53</v>
      </c>
      <c r="D1336" s="6" t="s">
        <v>113</v>
      </c>
      <c r="E1336" s="6" t="s">
        <v>60</v>
      </c>
      <c r="F1336" s="6" t="s">
        <v>60</v>
      </c>
      <c r="G1336" s="6" t="n">
        <v>38</v>
      </c>
      <c r="H1336" s="6" t="n">
        <v>2249100</v>
      </c>
      <c r="I1336" s="6" t="n">
        <v>814700</v>
      </c>
      <c r="J1336" s="6" t="n">
        <v>16909500</v>
      </c>
      <c r="K1336" s="6" t="n">
        <v>14660600</v>
      </c>
      <c r="L1336" s="6" t="n">
        <v>38</v>
      </c>
      <c r="M1336" s="6" t="n">
        <v>13</v>
      </c>
      <c r="N1336" s="6" t="n">
        <v>25638.4</v>
      </c>
    </row>
    <row r="1337" customFormat="false" ht="15" hidden="false" customHeight="false" outlineLevel="0" collapsed="false">
      <c r="A1337" s="6" t="s">
        <v>33</v>
      </c>
      <c r="B1337" s="6" t="s">
        <v>34</v>
      </c>
      <c r="C1337" s="6" t="s">
        <v>53</v>
      </c>
      <c r="D1337" s="6" t="s">
        <v>114</v>
      </c>
      <c r="E1337" s="6" t="s">
        <v>58</v>
      </c>
      <c r="F1337" s="6" t="s">
        <v>58</v>
      </c>
      <c r="G1337" s="6" t="n">
        <v>14</v>
      </c>
      <c r="H1337" s="6" t="n">
        <v>1125900</v>
      </c>
      <c r="I1337" s="6" t="n">
        <v>549100</v>
      </c>
      <c r="J1337" s="6" t="n">
        <v>5631800</v>
      </c>
      <c r="K1337" s="6" t="n">
        <v>4506000</v>
      </c>
      <c r="L1337" s="6" t="n">
        <v>14</v>
      </c>
      <c r="M1337" s="6" t="n">
        <v>3</v>
      </c>
      <c r="N1337" s="6" t="n">
        <v>5883.9</v>
      </c>
    </row>
    <row r="1338" customFormat="false" ht="15" hidden="false" customHeight="false" outlineLevel="0" collapsed="false">
      <c r="A1338" s="6" t="s">
        <v>33</v>
      </c>
      <c r="B1338" s="6" t="s">
        <v>34</v>
      </c>
      <c r="C1338" s="6" t="s">
        <v>53</v>
      </c>
      <c r="D1338" s="6" t="s">
        <v>114</v>
      </c>
      <c r="E1338" s="6" t="s">
        <v>58</v>
      </c>
      <c r="F1338" s="6" t="s">
        <v>60</v>
      </c>
      <c r="G1338" s="6" t="n">
        <v>26</v>
      </c>
      <c r="H1338" s="6" t="n">
        <v>1497600</v>
      </c>
      <c r="I1338" s="6" t="n">
        <v>712700</v>
      </c>
      <c r="J1338" s="6" t="n">
        <v>9233800</v>
      </c>
      <c r="K1338" s="6" t="n">
        <v>7736300</v>
      </c>
      <c r="L1338" s="6" t="n">
        <v>26</v>
      </c>
      <c r="M1338" s="6" t="n">
        <v>5</v>
      </c>
      <c r="N1338" s="6" t="n">
        <v>13871.4</v>
      </c>
    </row>
    <row r="1339" customFormat="false" ht="15" hidden="false" customHeight="false" outlineLevel="0" collapsed="false">
      <c r="A1339" s="6" t="s">
        <v>33</v>
      </c>
      <c r="B1339" s="6" t="s">
        <v>34</v>
      </c>
      <c r="C1339" s="6" t="s">
        <v>53</v>
      </c>
      <c r="D1339" s="6" t="s">
        <v>114</v>
      </c>
      <c r="E1339" s="6" t="s">
        <v>60</v>
      </c>
      <c r="F1339" s="6" t="s">
        <v>58</v>
      </c>
      <c r="G1339" s="6" t="n">
        <v>27</v>
      </c>
      <c r="H1339" s="6" t="n">
        <v>2277100</v>
      </c>
      <c r="I1339" s="6" t="n">
        <v>844200</v>
      </c>
      <c r="J1339" s="6" t="n">
        <v>8974900</v>
      </c>
      <c r="K1339" s="6" t="n">
        <v>6698200</v>
      </c>
      <c r="L1339" s="6" t="n">
        <v>27</v>
      </c>
      <c r="M1339" s="6" t="n">
        <v>3</v>
      </c>
      <c r="N1339" s="6" t="n">
        <v>8404.3</v>
      </c>
    </row>
    <row r="1340" customFormat="false" ht="15" hidden="false" customHeight="false" outlineLevel="0" collapsed="false">
      <c r="A1340" s="6" t="s">
        <v>33</v>
      </c>
      <c r="B1340" s="6" t="s">
        <v>34</v>
      </c>
      <c r="C1340" s="6" t="s">
        <v>53</v>
      </c>
      <c r="D1340" s="6" t="s">
        <v>114</v>
      </c>
      <c r="E1340" s="6" t="s">
        <v>60</v>
      </c>
      <c r="F1340" s="6" t="s">
        <v>60</v>
      </c>
      <c r="G1340" s="6" t="n">
        <v>28</v>
      </c>
      <c r="H1340" s="6" t="n">
        <v>1614200</v>
      </c>
      <c r="I1340" s="6" t="n">
        <v>718200</v>
      </c>
      <c r="J1340" s="6" t="n">
        <v>13787800</v>
      </c>
      <c r="K1340" s="6" t="n">
        <v>12173600</v>
      </c>
      <c r="L1340" s="6" t="n">
        <v>28</v>
      </c>
      <c r="M1340" s="6" t="n">
        <v>13</v>
      </c>
      <c r="N1340" s="6" t="n">
        <v>22007.3</v>
      </c>
    </row>
    <row r="1341" customFormat="false" ht="15" hidden="false" customHeight="false" outlineLevel="0" collapsed="false">
      <c r="A1341" s="6" t="s">
        <v>33</v>
      </c>
      <c r="B1341" s="6" t="s">
        <v>34</v>
      </c>
      <c r="C1341" s="6" t="s">
        <v>51</v>
      </c>
      <c r="D1341" s="6" t="s">
        <v>111</v>
      </c>
      <c r="E1341" s="6" t="s">
        <v>58</v>
      </c>
      <c r="F1341" s="6" t="s">
        <v>58</v>
      </c>
      <c r="G1341" s="6" t="n">
        <v>10</v>
      </c>
      <c r="H1341" s="6" t="n">
        <v>1069900</v>
      </c>
      <c r="I1341" s="6" t="n">
        <v>371000</v>
      </c>
      <c r="J1341" s="6" t="n">
        <v>4796000</v>
      </c>
      <c r="K1341" s="6" t="n">
        <v>3726200</v>
      </c>
      <c r="L1341" s="6" t="n">
        <v>10</v>
      </c>
      <c r="M1341" s="6" t="n">
        <v>3</v>
      </c>
      <c r="N1341" s="6" t="n">
        <v>3641.2</v>
      </c>
    </row>
    <row r="1342" customFormat="false" ht="15" hidden="false" customHeight="false" outlineLevel="0" collapsed="false">
      <c r="A1342" s="6" t="s">
        <v>33</v>
      </c>
      <c r="B1342" s="6" t="s">
        <v>34</v>
      </c>
      <c r="C1342" s="6" t="s">
        <v>51</v>
      </c>
      <c r="D1342" s="6" t="s">
        <v>111</v>
      </c>
      <c r="E1342" s="6" t="s">
        <v>58</v>
      </c>
      <c r="F1342" s="6" t="s">
        <v>60</v>
      </c>
      <c r="G1342" s="6" t="n">
        <v>25</v>
      </c>
      <c r="H1342" s="6" t="n">
        <v>2043500</v>
      </c>
      <c r="I1342" s="6" t="n">
        <v>786700</v>
      </c>
      <c r="J1342" s="6" t="n">
        <v>13612400</v>
      </c>
      <c r="K1342" s="6" t="n">
        <v>11568800</v>
      </c>
      <c r="L1342" s="6" t="n">
        <v>25</v>
      </c>
      <c r="M1342" s="6" t="n">
        <v>15</v>
      </c>
      <c r="N1342" s="6" t="n">
        <v>14802.5</v>
      </c>
    </row>
    <row r="1343" customFormat="false" ht="15" hidden="false" customHeight="false" outlineLevel="0" collapsed="false">
      <c r="A1343" s="6" t="s">
        <v>33</v>
      </c>
      <c r="B1343" s="6" t="s">
        <v>34</v>
      </c>
      <c r="C1343" s="6" t="s">
        <v>51</v>
      </c>
      <c r="D1343" s="6" t="s">
        <v>111</v>
      </c>
      <c r="E1343" s="6" t="s">
        <v>60</v>
      </c>
      <c r="F1343" s="6" t="s">
        <v>58</v>
      </c>
      <c r="G1343" s="6" t="n">
        <v>10</v>
      </c>
      <c r="H1343" s="6" t="n">
        <v>1203100</v>
      </c>
      <c r="I1343" s="6" t="n">
        <v>901500</v>
      </c>
      <c r="J1343" s="6" t="n">
        <v>5595400</v>
      </c>
      <c r="K1343" s="6" t="n">
        <v>4392400</v>
      </c>
      <c r="L1343" s="6" t="n">
        <v>10</v>
      </c>
      <c r="M1343" s="6" t="n">
        <v>7</v>
      </c>
      <c r="N1343" s="6" t="n">
        <v>3739.8</v>
      </c>
    </row>
    <row r="1344" customFormat="false" ht="15" hidden="false" customHeight="false" outlineLevel="0" collapsed="false">
      <c r="A1344" s="6" t="s">
        <v>33</v>
      </c>
      <c r="B1344" s="6" t="s">
        <v>34</v>
      </c>
      <c r="C1344" s="6" t="s">
        <v>51</v>
      </c>
      <c r="D1344" s="6" t="s">
        <v>111</v>
      </c>
      <c r="E1344" s="6" t="s">
        <v>60</v>
      </c>
      <c r="F1344" s="6" t="s">
        <v>60</v>
      </c>
      <c r="G1344" s="6" t="n">
        <v>25</v>
      </c>
      <c r="H1344" s="6" t="n">
        <v>2050400</v>
      </c>
      <c r="I1344" s="6" t="n">
        <v>740600</v>
      </c>
      <c r="J1344" s="6" t="n">
        <v>11927000</v>
      </c>
      <c r="K1344" s="6" t="n">
        <v>9876400</v>
      </c>
      <c r="L1344" s="6" t="n">
        <v>25</v>
      </c>
      <c r="M1344" s="6" t="n">
        <v>10</v>
      </c>
      <c r="N1344" s="6" t="n">
        <v>12722.3</v>
      </c>
    </row>
    <row r="1345" customFormat="false" ht="15" hidden="false" customHeight="false" outlineLevel="0" collapsed="false">
      <c r="A1345" s="6" t="s">
        <v>33</v>
      </c>
      <c r="B1345" s="6" t="s">
        <v>34</v>
      </c>
      <c r="C1345" s="6" t="s">
        <v>51</v>
      </c>
      <c r="D1345" s="6" t="s">
        <v>112</v>
      </c>
      <c r="E1345" s="6" t="s">
        <v>58</v>
      </c>
      <c r="F1345" s="6" t="s">
        <v>58</v>
      </c>
      <c r="G1345" s="6" t="n">
        <v>12</v>
      </c>
      <c r="H1345" s="6" t="n">
        <v>1459900</v>
      </c>
      <c r="I1345" s="6" t="n">
        <v>965300</v>
      </c>
      <c r="J1345" s="6" t="n">
        <v>5125900</v>
      </c>
      <c r="K1345" s="6" t="n">
        <v>3666000</v>
      </c>
      <c r="L1345" s="6" t="n">
        <v>12</v>
      </c>
      <c r="M1345" s="6" t="n">
        <v>2</v>
      </c>
      <c r="N1345" s="6" t="n">
        <v>3277.6</v>
      </c>
    </row>
    <row r="1346" customFormat="false" ht="15" hidden="false" customHeight="false" outlineLevel="0" collapsed="false">
      <c r="A1346" s="6" t="s">
        <v>33</v>
      </c>
      <c r="B1346" s="6" t="s">
        <v>34</v>
      </c>
      <c r="C1346" s="6" t="s">
        <v>51</v>
      </c>
      <c r="D1346" s="6" t="s">
        <v>112</v>
      </c>
      <c r="E1346" s="6" t="s">
        <v>58</v>
      </c>
      <c r="F1346" s="6" t="s">
        <v>60</v>
      </c>
      <c r="G1346" s="6" t="n">
        <v>28</v>
      </c>
      <c r="H1346" s="6" t="n">
        <v>2312300</v>
      </c>
      <c r="I1346" s="6" t="n">
        <v>807400</v>
      </c>
      <c r="J1346" s="6" t="n">
        <v>14048400</v>
      </c>
      <c r="K1346" s="6" t="n">
        <v>11736100</v>
      </c>
      <c r="L1346" s="6" t="n">
        <v>28</v>
      </c>
      <c r="M1346" s="6" t="n">
        <v>14</v>
      </c>
      <c r="N1346" s="6" t="n">
        <v>14663.3</v>
      </c>
    </row>
    <row r="1347" customFormat="false" ht="15" hidden="false" customHeight="false" outlineLevel="0" collapsed="false">
      <c r="A1347" s="6" t="s">
        <v>33</v>
      </c>
      <c r="B1347" s="6" t="s">
        <v>34</v>
      </c>
      <c r="C1347" s="6" t="s">
        <v>51</v>
      </c>
      <c r="D1347" s="6" t="s">
        <v>112</v>
      </c>
      <c r="E1347" s="6" t="s">
        <v>60</v>
      </c>
      <c r="F1347" s="6" t="s">
        <v>58</v>
      </c>
      <c r="G1347" s="6" t="n">
        <v>15</v>
      </c>
      <c r="H1347" s="6" t="n">
        <v>1924000</v>
      </c>
      <c r="I1347" s="6" t="n">
        <v>650400</v>
      </c>
      <c r="J1347" s="6" t="n">
        <v>8389300</v>
      </c>
      <c r="K1347" s="6" t="n">
        <v>6465200</v>
      </c>
      <c r="L1347" s="6" t="n">
        <v>15</v>
      </c>
      <c r="M1347" s="6" t="n">
        <v>7</v>
      </c>
      <c r="N1347" s="6" t="n">
        <v>5369.5</v>
      </c>
    </row>
    <row r="1348" customFormat="false" ht="15" hidden="false" customHeight="false" outlineLevel="0" collapsed="false">
      <c r="A1348" s="6" t="s">
        <v>33</v>
      </c>
      <c r="B1348" s="6" t="s">
        <v>34</v>
      </c>
      <c r="C1348" s="6" t="s">
        <v>51</v>
      </c>
      <c r="D1348" s="6" t="s">
        <v>112</v>
      </c>
      <c r="E1348" s="6" t="s">
        <v>60</v>
      </c>
      <c r="F1348" s="6" t="s">
        <v>60</v>
      </c>
      <c r="G1348" s="6" t="n">
        <v>30</v>
      </c>
      <c r="H1348" s="6" t="n">
        <v>2542400</v>
      </c>
      <c r="I1348" s="6" t="n">
        <v>1262500</v>
      </c>
      <c r="J1348" s="6" t="n">
        <v>15608800</v>
      </c>
      <c r="K1348" s="6" t="n">
        <v>13066900</v>
      </c>
      <c r="L1348" s="6" t="n">
        <v>30</v>
      </c>
      <c r="M1348" s="6" t="n">
        <v>11</v>
      </c>
      <c r="N1348" s="6" t="n">
        <v>15253.2</v>
      </c>
    </row>
    <row r="1349" customFormat="false" ht="15" hidden="false" customHeight="false" outlineLevel="0" collapsed="false">
      <c r="A1349" s="6" t="s">
        <v>33</v>
      </c>
      <c r="B1349" s="6" t="s">
        <v>34</v>
      </c>
      <c r="C1349" s="6" t="s">
        <v>51</v>
      </c>
      <c r="D1349" s="6" t="s">
        <v>113</v>
      </c>
      <c r="E1349" s="6" t="s">
        <v>58</v>
      </c>
      <c r="F1349" s="6" t="s">
        <v>58</v>
      </c>
      <c r="G1349" s="6" t="n">
        <v>20</v>
      </c>
      <c r="H1349" s="6" t="n">
        <v>2535100</v>
      </c>
      <c r="I1349" s="6" t="n">
        <v>1442900</v>
      </c>
      <c r="J1349" s="6" t="n">
        <v>8771700</v>
      </c>
      <c r="K1349" s="6" t="n">
        <v>6235900</v>
      </c>
      <c r="L1349" s="6" t="n">
        <v>20</v>
      </c>
      <c r="M1349" s="6" t="n">
        <v>3</v>
      </c>
      <c r="N1349" s="6" t="n">
        <v>5422.7</v>
      </c>
    </row>
    <row r="1350" customFormat="false" ht="15" hidden="false" customHeight="false" outlineLevel="0" collapsed="false">
      <c r="A1350" s="6" t="s">
        <v>33</v>
      </c>
      <c r="B1350" s="6" t="s">
        <v>34</v>
      </c>
      <c r="C1350" s="6" t="s">
        <v>51</v>
      </c>
      <c r="D1350" s="6" t="s">
        <v>113</v>
      </c>
      <c r="E1350" s="6" t="s">
        <v>58</v>
      </c>
      <c r="F1350" s="6" t="s">
        <v>60</v>
      </c>
      <c r="G1350" s="6" t="n">
        <v>25</v>
      </c>
      <c r="H1350" s="6" t="n">
        <v>2189000</v>
      </c>
      <c r="I1350" s="6" t="n">
        <v>997700</v>
      </c>
      <c r="J1350" s="6" t="n">
        <v>12747900</v>
      </c>
      <c r="K1350" s="6" t="n">
        <v>10558900</v>
      </c>
      <c r="L1350" s="6" t="n">
        <v>25</v>
      </c>
      <c r="M1350" s="6" t="n">
        <v>11</v>
      </c>
      <c r="N1350" s="6" t="n">
        <v>12827.5</v>
      </c>
    </row>
    <row r="1351" customFormat="false" ht="15" hidden="false" customHeight="false" outlineLevel="0" collapsed="false">
      <c r="A1351" s="6" t="s">
        <v>33</v>
      </c>
      <c r="B1351" s="6" t="s">
        <v>34</v>
      </c>
      <c r="C1351" s="6" t="s">
        <v>51</v>
      </c>
      <c r="D1351" s="6" t="s">
        <v>113</v>
      </c>
      <c r="E1351" s="6" t="s">
        <v>60</v>
      </c>
      <c r="F1351" s="6" t="s">
        <v>58</v>
      </c>
      <c r="G1351" s="6" t="n">
        <v>12</v>
      </c>
      <c r="H1351" s="6" t="n">
        <v>1448000</v>
      </c>
      <c r="I1351" s="6" t="n">
        <v>754200</v>
      </c>
      <c r="J1351" s="6" t="n">
        <v>5698100</v>
      </c>
      <c r="K1351" s="6" t="n">
        <v>4250200</v>
      </c>
      <c r="L1351" s="6" t="n">
        <v>12</v>
      </c>
      <c r="M1351" s="6" t="n">
        <v>5</v>
      </c>
      <c r="N1351" s="6" t="n">
        <v>3574.4</v>
      </c>
    </row>
    <row r="1352" customFormat="false" ht="15" hidden="false" customHeight="false" outlineLevel="0" collapsed="false">
      <c r="A1352" s="6" t="s">
        <v>33</v>
      </c>
      <c r="B1352" s="6" t="s">
        <v>34</v>
      </c>
      <c r="C1352" s="6" t="s">
        <v>51</v>
      </c>
      <c r="D1352" s="6" t="s">
        <v>113</v>
      </c>
      <c r="E1352" s="6" t="s">
        <v>60</v>
      </c>
      <c r="F1352" s="6" t="s">
        <v>60</v>
      </c>
      <c r="G1352" s="6" t="n">
        <v>33</v>
      </c>
      <c r="H1352" s="6" t="n">
        <v>2577500</v>
      </c>
      <c r="I1352" s="6" t="n">
        <v>711500</v>
      </c>
      <c r="J1352" s="6" t="n">
        <v>18987800</v>
      </c>
      <c r="K1352" s="6" t="n">
        <v>16410100</v>
      </c>
      <c r="L1352" s="6" t="n">
        <v>33</v>
      </c>
      <c r="M1352" s="6" t="n">
        <v>20</v>
      </c>
      <c r="N1352" s="6" t="n">
        <v>21685.4</v>
      </c>
    </row>
    <row r="1353" customFormat="false" ht="15" hidden="false" customHeight="false" outlineLevel="0" collapsed="false">
      <c r="A1353" s="6" t="s">
        <v>33</v>
      </c>
      <c r="B1353" s="6" t="s">
        <v>34</v>
      </c>
      <c r="C1353" s="6" t="s">
        <v>51</v>
      </c>
      <c r="D1353" s="6" t="s">
        <v>114</v>
      </c>
      <c r="E1353" s="6" t="s">
        <v>58</v>
      </c>
      <c r="F1353" s="6" t="s">
        <v>58</v>
      </c>
      <c r="G1353" s="6" t="n">
        <v>7</v>
      </c>
      <c r="H1353" s="6" t="n">
        <v>747400</v>
      </c>
      <c r="I1353" s="6" t="n">
        <v>300400</v>
      </c>
      <c r="J1353" s="6" t="n">
        <v>2881400</v>
      </c>
      <c r="K1353" s="6" t="n">
        <v>2134000</v>
      </c>
      <c r="L1353" s="6" t="n">
        <v>7</v>
      </c>
      <c r="M1353" s="6" t="n">
        <v>2</v>
      </c>
      <c r="N1353" s="6" t="n">
        <v>2092.9</v>
      </c>
    </row>
    <row r="1354" customFormat="false" ht="15" hidden="false" customHeight="false" outlineLevel="0" collapsed="false">
      <c r="A1354" s="6" t="s">
        <v>33</v>
      </c>
      <c r="B1354" s="6" t="s">
        <v>34</v>
      </c>
      <c r="C1354" s="6" t="s">
        <v>51</v>
      </c>
      <c r="D1354" s="6" t="s">
        <v>114</v>
      </c>
      <c r="E1354" s="6" t="s">
        <v>58</v>
      </c>
      <c r="F1354" s="6" t="s">
        <v>60</v>
      </c>
      <c r="G1354" s="6" t="n">
        <v>18</v>
      </c>
      <c r="H1354" s="6" t="n">
        <v>1415300</v>
      </c>
      <c r="I1354" s="6" t="n">
        <v>399000</v>
      </c>
      <c r="J1354" s="6" t="n">
        <v>9335200</v>
      </c>
      <c r="K1354" s="6" t="n">
        <v>7920100</v>
      </c>
      <c r="L1354" s="6" t="n">
        <v>18</v>
      </c>
      <c r="M1354" s="6" t="n">
        <v>8</v>
      </c>
      <c r="N1354" s="6" t="n">
        <v>10349.4</v>
      </c>
    </row>
    <row r="1355" customFormat="false" ht="15" hidden="false" customHeight="false" outlineLevel="0" collapsed="false">
      <c r="A1355" s="6" t="s">
        <v>33</v>
      </c>
      <c r="B1355" s="6" t="s">
        <v>34</v>
      </c>
      <c r="C1355" s="6" t="s">
        <v>51</v>
      </c>
      <c r="D1355" s="6" t="s">
        <v>114</v>
      </c>
      <c r="E1355" s="6" t="s">
        <v>60</v>
      </c>
      <c r="F1355" s="6" t="s">
        <v>58</v>
      </c>
      <c r="G1355" s="6" t="n">
        <v>13</v>
      </c>
      <c r="H1355" s="6" t="n">
        <v>1390300</v>
      </c>
      <c r="I1355" s="6" t="n">
        <v>482400</v>
      </c>
      <c r="J1355" s="6" t="n">
        <v>6820200</v>
      </c>
      <c r="K1355" s="6" t="n">
        <v>5430000</v>
      </c>
      <c r="L1355" s="6" t="n">
        <v>13</v>
      </c>
      <c r="M1355" s="6" t="n">
        <v>6</v>
      </c>
      <c r="N1355" s="6" t="n">
        <v>5415.5</v>
      </c>
    </row>
    <row r="1356" customFormat="false" ht="15" hidden="false" customHeight="false" outlineLevel="0" collapsed="false">
      <c r="A1356" s="6" t="s">
        <v>33</v>
      </c>
      <c r="B1356" s="6" t="s">
        <v>34</v>
      </c>
      <c r="C1356" s="6" t="s">
        <v>51</v>
      </c>
      <c r="D1356" s="6" t="s">
        <v>114</v>
      </c>
      <c r="E1356" s="6" t="s">
        <v>60</v>
      </c>
      <c r="F1356" s="6" t="s">
        <v>60</v>
      </c>
      <c r="G1356" s="6" t="n">
        <v>24</v>
      </c>
      <c r="H1356" s="6" t="n">
        <v>2084100</v>
      </c>
      <c r="I1356" s="6" t="n">
        <v>789900</v>
      </c>
      <c r="J1356" s="6" t="n">
        <v>14298000</v>
      </c>
      <c r="K1356" s="6" t="n">
        <v>12213800</v>
      </c>
      <c r="L1356" s="6" t="n">
        <v>24</v>
      </c>
      <c r="M1356" s="6" t="n">
        <v>14</v>
      </c>
      <c r="N1356" s="6" t="n">
        <v>14761.9</v>
      </c>
    </row>
    <row r="1357" customFormat="false" ht="15" hidden="false" customHeight="false" outlineLevel="0" collapsed="false">
      <c r="A1357" s="6" t="s">
        <v>42</v>
      </c>
      <c r="B1357" s="6" t="s">
        <v>38</v>
      </c>
      <c r="C1357" s="6" t="s">
        <v>54</v>
      </c>
      <c r="D1357" s="6" t="s">
        <v>111</v>
      </c>
      <c r="E1357" s="6" t="s">
        <v>58</v>
      </c>
      <c r="F1357" s="6" t="s">
        <v>58</v>
      </c>
      <c r="G1357" s="6" t="n">
        <v>9</v>
      </c>
      <c r="H1357" s="6" t="n">
        <v>1318100</v>
      </c>
      <c r="I1357" s="6" t="n">
        <v>526200</v>
      </c>
      <c r="J1357" s="6" t="n">
        <v>441700</v>
      </c>
      <c r="K1357" s="6" t="n">
        <v>-876500</v>
      </c>
      <c r="L1357" s="6" t="n">
        <v>0</v>
      </c>
      <c r="M1357" s="6" t="n">
        <v>0</v>
      </c>
      <c r="N1357" s="6" t="n">
        <v>-591.1</v>
      </c>
    </row>
    <row r="1358" customFormat="false" ht="15" hidden="false" customHeight="false" outlineLevel="0" collapsed="false">
      <c r="A1358" s="6" t="s">
        <v>42</v>
      </c>
      <c r="B1358" s="6" t="s">
        <v>38</v>
      </c>
      <c r="C1358" s="6" t="s">
        <v>54</v>
      </c>
      <c r="D1358" s="6" t="s">
        <v>111</v>
      </c>
      <c r="E1358" s="6" t="s">
        <v>58</v>
      </c>
      <c r="F1358" s="6" t="s">
        <v>60</v>
      </c>
      <c r="G1358" s="6" t="n">
        <v>16</v>
      </c>
      <c r="H1358" s="6" t="n">
        <v>1723300</v>
      </c>
      <c r="I1358" s="6" t="n">
        <v>907500</v>
      </c>
      <c r="J1358" s="6" t="n">
        <v>798500</v>
      </c>
      <c r="K1358" s="6" t="n">
        <v>-924900</v>
      </c>
      <c r="L1358" s="6" t="n">
        <v>0</v>
      </c>
      <c r="M1358" s="6" t="n">
        <v>0</v>
      </c>
      <c r="N1358" s="6" t="n">
        <v>-813.6</v>
      </c>
    </row>
    <row r="1359" customFormat="false" ht="15" hidden="false" customHeight="false" outlineLevel="0" collapsed="false">
      <c r="A1359" s="6" t="s">
        <v>42</v>
      </c>
      <c r="B1359" s="6" t="s">
        <v>38</v>
      </c>
      <c r="C1359" s="6" t="s">
        <v>54</v>
      </c>
      <c r="D1359" s="6" t="s">
        <v>111</v>
      </c>
      <c r="E1359" s="6" t="s">
        <v>60</v>
      </c>
      <c r="F1359" s="6" t="s">
        <v>58</v>
      </c>
      <c r="G1359" s="6" t="n">
        <v>4</v>
      </c>
      <c r="H1359" s="6" t="n">
        <v>437600</v>
      </c>
      <c r="I1359" s="6" t="n">
        <v>163000</v>
      </c>
      <c r="J1359" s="6" t="n">
        <v>206300</v>
      </c>
      <c r="K1359" s="6" t="n">
        <v>-231300</v>
      </c>
      <c r="L1359" s="6" t="n">
        <v>0</v>
      </c>
      <c r="M1359" s="6" t="n">
        <v>0</v>
      </c>
      <c r="N1359" s="6" t="n">
        <v>-209.7</v>
      </c>
    </row>
    <row r="1360" customFormat="false" ht="15" hidden="false" customHeight="false" outlineLevel="0" collapsed="false">
      <c r="A1360" s="6" t="s">
        <v>42</v>
      </c>
      <c r="B1360" s="6" t="s">
        <v>38</v>
      </c>
      <c r="C1360" s="6" t="s">
        <v>54</v>
      </c>
      <c r="D1360" s="6" t="s">
        <v>111</v>
      </c>
      <c r="E1360" s="6" t="s">
        <v>60</v>
      </c>
      <c r="F1360" s="6" t="s">
        <v>60</v>
      </c>
      <c r="G1360" s="6" t="n">
        <v>9</v>
      </c>
      <c r="H1360" s="6" t="n">
        <v>952900</v>
      </c>
      <c r="I1360" s="6" t="n">
        <v>456400</v>
      </c>
      <c r="J1360" s="6" t="n">
        <v>446700</v>
      </c>
      <c r="K1360" s="6" t="n">
        <v>-506400</v>
      </c>
      <c r="L1360" s="6" t="n">
        <v>0</v>
      </c>
      <c r="M1360" s="6" t="n">
        <v>0</v>
      </c>
      <c r="N1360" s="6" t="n">
        <v>-476.5</v>
      </c>
    </row>
    <row r="1361" customFormat="false" ht="15" hidden="false" customHeight="false" outlineLevel="0" collapsed="false">
      <c r="A1361" s="6" t="s">
        <v>42</v>
      </c>
      <c r="B1361" s="6" t="s">
        <v>38</v>
      </c>
      <c r="C1361" s="6" t="s">
        <v>54</v>
      </c>
      <c r="D1361" s="6" t="s">
        <v>112</v>
      </c>
      <c r="E1361" s="6" t="s">
        <v>58</v>
      </c>
      <c r="F1361" s="6" t="s">
        <v>58</v>
      </c>
      <c r="G1361" s="6" t="n">
        <v>8</v>
      </c>
      <c r="H1361" s="6" t="n">
        <v>1190500</v>
      </c>
      <c r="I1361" s="6" t="n">
        <v>347400</v>
      </c>
      <c r="J1361" s="6" t="n">
        <v>343400</v>
      </c>
      <c r="K1361" s="6" t="n">
        <v>-847100</v>
      </c>
      <c r="L1361" s="6" t="n">
        <v>0</v>
      </c>
      <c r="M1361" s="6" t="n">
        <v>0</v>
      </c>
      <c r="N1361" s="6" t="n">
        <v>-533.8</v>
      </c>
    </row>
    <row r="1362" customFormat="false" ht="15" hidden="false" customHeight="false" outlineLevel="0" collapsed="false">
      <c r="A1362" s="6" t="s">
        <v>42</v>
      </c>
      <c r="B1362" s="6" t="s">
        <v>38</v>
      </c>
      <c r="C1362" s="6" t="s">
        <v>54</v>
      </c>
      <c r="D1362" s="6" t="s">
        <v>112</v>
      </c>
      <c r="E1362" s="6" t="s">
        <v>58</v>
      </c>
      <c r="F1362" s="6" t="s">
        <v>60</v>
      </c>
      <c r="G1362" s="6" t="n">
        <v>16</v>
      </c>
      <c r="H1362" s="6" t="n">
        <v>1641700</v>
      </c>
      <c r="I1362" s="6" t="n">
        <v>525500</v>
      </c>
      <c r="J1362" s="6" t="n">
        <v>920800</v>
      </c>
      <c r="K1362" s="6" t="n">
        <v>-721100</v>
      </c>
      <c r="L1362" s="6" t="n">
        <v>1</v>
      </c>
      <c r="M1362" s="6" t="n">
        <v>0</v>
      </c>
      <c r="N1362" s="6" t="n">
        <v>-674.6</v>
      </c>
    </row>
    <row r="1363" customFormat="false" ht="15" hidden="false" customHeight="false" outlineLevel="0" collapsed="false">
      <c r="A1363" s="6" t="s">
        <v>42</v>
      </c>
      <c r="B1363" s="6" t="s">
        <v>38</v>
      </c>
      <c r="C1363" s="6" t="s">
        <v>54</v>
      </c>
      <c r="D1363" s="6" t="s">
        <v>112</v>
      </c>
      <c r="E1363" s="6" t="s">
        <v>60</v>
      </c>
      <c r="F1363" s="6" t="s">
        <v>58</v>
      </c>
      <c r="G1363" s="6" t="n">
        <v>1</v>
      </c>
      <c r="H1363" s="6" t="n">
        <v>126700</v>
      </c>
      <c r="I1363" s="6" t="n">
        <v>55300</v>
      </c>
      <c r="J1363" s="6" t="n">
        <v>46100</v>
      </c>
      <c r="K1363" s="6" t="n">
        <v>-80600</v>
      </c>
      <c r="L1363" s="6" t="n">
        <v>0</v>
      </c>
      <c r="M1363" s="6" t="n">
        <v>0</v>
      </c>
      <c r="N1363" s="6" t="n">
        <v>-63.6</v>
      </c>
    </row>
    <row r="1364" customFormat="false" ht="15" hidden="false" customHeight="false" outlineLevel="0" collapsed="false">
      <c r="A1364" s="6" t="s">
        <v>42</v>
      </c>
      <c r="B1364" s="6" t="s">
        <v>38</v>
      </c>
      <c r="C1364" s="6" t="s">
        <v>54</v>
      </c>
      <c r="D1364" s="6" t="s">
        <v>112</v>
      </c>
      <c r="E1364" s="6" t="s">
        <v>60</v>
      </c>
      <c r="F1364" s="6" t="s">
        <v>60</v>
      </c>
      <c r="G1364" s="6" t="n">
        <v>10</v>
      </c>
      <c r="H1364" s="6" t="n">
        <v>1098300</v>
      </c>
      <c r="I1364" s="6" t="n">
        <v>584300</v>
      </c>
      <c r="J1364" s="6" t="n">
        <v>572600</v>
      </c>
      <c r="K1364" s="6" t="n">
        <v>-525900</v>
      </c>
      <c r="L1364" s="6" t="n">
        <v>0</v>
      </c>
      <c r="M1364" s="6" t="n">
        <v>0</v>
      </c>
      <c r="N1364" s="6" t="n">
        <v>-465.3</v>
      </c>
    </row>
    <row r="1365" customFormat="false" ht="15" hidden="false" customHeight="false" outlineLevel="0" collapsed="false">
      <c r="A1365" s="6" t="s">
        <v>42</v>
      </c>
      <c r="B1365" s="6" t="s">
        <v>38</v>
      </c>
      <c r="C1365" s="6" t="s">
        <v>54</v>
      </c>
      <c r="D1365" s="6" t="s">
        <v>113</v>
      </c>
      <c r="E1365" s="6" t="s">
        <v>58</v>
      </c>
      <c r="F1365" s="6" t="s">
        <v>58</v>
      </c>
      <c r="G1365" s="6" t="n">
        <v>10</v>
      </c>
      <c r="H1365" s="6" t="n">
        <v>1497300</v>
      </c>
      <c r="I1365" s="6" t="n">
        <v>619700</v>
      </c>
      <c r="J1365" s="6" t="n">
        <v>490100</v>
      </c>
      <c r="K1365" s="6" t="n">
        <v>-1007100</v>
      </c>
      <c r="L1365" s="6" t="n">
        <v>0</v>
      </c>
      <c r="M1365" s="6" t="n">
        <v>0</v>
      </c>
      <c r="N1365" s="6" t="n">
        <v>-648.4</v>
      </c>
    </row>
    <row r="1366" customFormat="false" ht="15" hidden="false" customHeight="false" outlineLevel="0" collapsed="false">
      <c r="A1366" s="6" t="s">
        <v>42</v>
      </c>
      <c r="B1366" s="6" t="s">
        <v>38</v>
      </c>
      <c r="C1366" s="6" t="s">
        <v>54</v>
      </c>
      <c r="D1366" s="6" t="s">
        <v>113</v>
      </c>
      <c r="E1366" s="6" t="s">
        <v>58</v>
      </c>
      <c r="F1366" s="6" t="s">
        <v>60</v>
      </c>
      <c r="G1366" s="6" t="n">
        <v>21</v>
      </c>
      <c r="H1366" s="6" t="n">
        <v>2151700</v>
      </c>
      <c r="I1366" s="6" t="n">
        <v>789900</v>
      </c>
      <c r="J1366" s="6" t="n">
        <v>1217100</v>
      </c>
      <c r="K1366" s="6" t="n">
        <v>-934600</v>
      </c>
      <c r="L1366" s="6" t="n">
        <v>1</v>
      </c>
      <c r="M1366" s="6" t="n">
        <v>0</v>
      </c>
      <c r="N1366" s="6" t="n">
        <v>-882.1</v>
      </c>
    </row>
    <row r="1367" customFormat="false" ht="15" hidden="false" customHeight="false" outlineLevel="0" collapsed="false">
      <c r="A1367" s="6" t="s">
        <v>42</v>
      </c>
      <c r="B1367" s="6" t="s">
        <v>38</v>
      </c>
      <c r="C1367" s="6" t="s">
        <v>54</v>
      </c>
      <c r="D1367" s="6" t="s">
        <v>113</v>
      </c>
      <c r="E1367" s="6" t="s">
        <v>60</v>
      </c>
      <c r="F1367" s="6" t="s">
        <v>58</v>
      </c>
      <c r="G1367" s="6" t="n">
        <v>7</v>
      </c>
      <c r="H1367" s="6" t="n">
        <v>1047800</v>
      </c>
      <c r="I1367" s="6" t="n">
        <v>755100</v>
      </c>
      <c r="J1367" s="6" t="n">
        <v>354000</v>
      </c>
      <c r="K1367" s="6" t="n">
        <v>-693900</v>
      </c>
      <c r="L1367" s="6" t="n">
        <v>0</v>
      </c>
      <c r="M1367" s="6" t="n">
        <v>0</v>
      </c>
      <c r="N1367" s="6" t="n">
        <v>-466.7</v>
      </c>
    </row>
    <row r="1368" customFormat="false" ht="15" hidden="false" customHeight="false" outlineLevel="0" collapsed="false">
      <c r="A1368" s="6" t="s">
        <v>42</v>
      </c>
      <c r="B1368" s="6" t="s">
        <v>38</v>
      </c>
      <c r="C1368" s="6" t="s">
        <v>54</v>
      </c>
      <c r="D1368" s="6" t="s">
        <v>113</v>
      </c>
      <c r="E1368" s="6" t="s">
        <v>60</v>
      </c>
      <c r="F1368" s="6" t="s">
        <v>60</v>
      </c>
      <c r="G1368" s="6" t="n">
        <v>11</v>
      </c>
      <c r="H1368" s="6" t="n">
        <v>1175300</v>
      </c>
      <c r="I1368" s="6" t="n">
        <v>603500</v>
      </c>
      <c r="J1368" s="6" t="n">
        <v>738100</v>
      </c>
      <c r="K1368" s="6" t="n">
        <v>-437200</v>
      </c>
      <c r="L1368" s="6" t="n">
        <v>1</v>
      </c>
      <c r="M1368" s="6" t="n">
        <v>0</v>
      </c>
      <c r="N1368" s="6" t="n">
        <v>-406.7</v>
      </c>
    </row>
    <row r="1369" customFormat="false" ht="15" hidden="false" customHeight="false" outlineLevel="0" collapsed="false">
      <c r="A1369" s="6" t="s">
        <v>42</v>
      </c>
      <c r="B1369" s="6" t="s">
        <v>38</v>
      </c>
      <c r="C1369" s="6" t="s">
        <v>54</v>
      </c>
      <c r="D1369" s="6" t="s">
        <v>114</v>
      </c>
      <c r="E1369" s="6" t="s">
        <v>58</v>
      </c>
      <c r="F1369" s="6" t="s">
        <v>58</v>
      </c>
      <c r="G1369" s="6" t="n">
        <v>11</v>
      </c>
      <c r="H1369" s="6" t="n">
        <v>1676500</v>
      </c>
      <c r="I1369" s="6" t="n">
        <v>942500</v>
      </c>
      <c r="J1369" s="6" t="n">
        <v>628900</v>
      </c>
      <c r="K1369" s="6" t="n">
        <v>-1047600</v>
      </c>
      <c r="L1369" s="6" t="n">
        <v>0</v>
      </c>
      <c r="M1369" s="6" t="n">
        <v>0</v>
      </c>
      <c r="N1369" s="6" t="n">
        <v>-675.4</v>
      </c>
    </row>
    <row r="1370" customFormat="false" ht="15" hidden="false" customHeight="false" outlineLevel="0" collapsed="false">
      <c r="A1370" s="6" t="s">
        <v>42</v>
      </c>
      <c r="B1370" s="6" t="s">
        <v>38</v>
      </c>
      <c r="C1370" s="6" t="s">
        <v>54</v>
      </c>
      <c r="D1370" s="6" t="s">
        <v>114</v>
      </c>
      <c r="E1370" s="6" t="s">
        <v>58</v>
      </c>
      <c r="F1370" s="6" t="s">
        <v>60</v>
      </c>
      <c r="G1370" s="6" t="n">
        <v>10</v>
      </c>
      <c r="H1370" s="6" t="n">
        <v>1078500</v>
      </c>
      <c r="I1370" s="6" t="n">
        <v>411400</v>
      </c>
      <c r="J1370" s="6" t="n">
        <v>662300</v>
      </c>
      <c r="K1370" s="6" t="n">
        <v>-416200</v>
      </c>
      <c r="L1370" s="6" t="n">
        <v>3</v>
      </c>
      <c r="M1370" s="6" t="n">
        <v>0</v>
      </c>
      <c r="N1370" s="6" t="n">
        <v>-382.8</v>
      </c>
    </row>
    <row r="1371" customFormat="false" ht="15" hidden="false" customHeight="false" outlineLevel="0" collapsed="false">
      <c r="A1371" s="6" t="s">
        <v>42</v>
      </c>
      <c r="B1371" s="6" t="s">
        <v>38</v>
      </c>
      <c r="C1371" s="6" t="s">
        <v>54</v>
      </c>
      <c r="D1371" s="6" t="s">
        <v>114</v>
      </c>
      <c r="E1371" s="6" t="s">
        <v>60</v>
      </c>
      <c r="F1371" s="6" t="s">
        <v>58</v>
      </c>
      <c r="G1371" s="6" t="n">
        <v>2</v>
      </c>
      <c r="H1371" s="6" t="n">
        <v>341700</v>
      </c>
      <c r="I1371" s="6" t="n">
        <v>132700</v>
      </c>
      <c r="J1371" s="6" t="n">
        <v>131800</v>
      </c>
      <c r="K1371" s="6" t="n">
        <v>-209800</v>
      </c>
      <c r="L1371" s="6" t="n">
        <v>0</v>
      </c>
      <c r="M1371" s="6" t="n">
        <v>0</v>
      </c>
      <c r="N1371" s="6" t="n">
        <v>-118.5</v>
      </c>
    </row>
    <row r="1372" customFormat="false" ht="15" hidden="false" customHeight="false" outlineLevel="0" collapsed="false">
      <c r="A1372" s="6" t="s">
        <v>42</v>
      </c>
      <c r="B1372" s="6" t="s">
        <v>38</v>
      </c>
      <c r="C1372" s="6" t="s">
        <v>54</v>
      </c>
      <c r="D1372" s="6" t="s">
        <v>114</v>
      </c>
      <c r="E1372" s="6" t="s">
        <v>60</v>
      </c>
      <c r="F1372" s="6" t="s">
        <v>60</v>
      </c>
      <c r="G1372" s="6" t="n">
        <v>7</v>
      </c>
      <c r="H1372" s="6" t="n">
        <v>807400</v>
      </c>
      <c r="I1372" s="6" t="n">
        <v>336500</v>
      </c>
      <c r="J1372" s="6" t="n">
        <v>413300</v>
      </c>
      <c r="K1372" s="6" t="n">
        <v>-394100</v>
      </c>
      <c r="L1372" s="6" t="n">
        <v>1</v>
      </c>
      <c r="M1372" s="6" t="n">
        <v>0</v>
      </c>
      <c r="N1372" s="6" t="n">
        <v>-326.9</v>
      </c>
    </row>
    <row r="1373" customFormat="false" ht="15" hidden="false" customHeight="false" outlineLevel="0" collapsed="false">
      <c r="A1373" s="6" t="s">
        <v>42</v>
      </c>
      <c r="B1373" s="6" t="s">
        <v>38</v>
      </c>
      <c r="C1373" s="6" t="s">
        <v>50</v>
      </c>
      <c r="D1373" s="6" t="s">
        <v>111</v>
      </c>
      <c r="E1373" s="6" t="s">
        <v>58</v>
      </c>
      <c r="F1373" s="6" t="s">
        <v>58</v>
      </c>
      <c r="G1373" s="6" t="n">
        <v>4</v>
      </c>
      <c r="H1373" s="6" t="n">
        <v>965300</v>
      </c>
      <c r="I1373" s="6" t="n">
        <v>346200</v>
      </c>
      <c r="J1373" s="6" t="n">
        <v>316600</v>
      </c>
      <c r="K1373" s="6" t="n">
        <v>-648700</v>
      </c>
      <c r="L1373" s="6" t="n">
        <v>0</v>
      </c>
      <c r="M1373" s="6" t="n">
        <v>0</v>
      </c>
      <c r="N1373" s="6" t="n">
        <v>-268.1</v>
      </c>
    </row>
    <row r="1374" customFormat="false" ht="15" hidden="false" customHeight="false" outlineLevel="0" collapsed="false">
      <c r="A1374" s="6" t="s">
        <v>42</v>
      </c>
      <c r="B1374" s="6" t="s">
        <v>38</v>
      </c>
      <c r="C1374" s="6" t="s">
        <v>50</v>
      </c>
      <c r="D1374" s="6" t="s">
        <v>111</v>
      </c>
      <c r="E1374" s="6" t="s">
        <v>58</v>
      </c>
      <c r="F1374" s="6" t="s">
        <v>60</v>
      </c>
      <c r="G1374" s="6" t="n">
        <v>9</v>
      </c>
      <c r="H1374" s="6" t="n">
        <v>1167300</v>
      </c>
      <c r="I1374" s="6" t="n">
        <v>619400</v>
      </c>
      <c r="J1374" s="6" t="n">
        <v>1813100</v>
      </c>
      <c r="K1374" s="6" t="n">
        <v>645800</v>
      </c>
      <c r="L1374" s="6" t="n">
        <v>7</v>
      </c>
      <c r="M1374" s="6" t="n">
        <v>0</v>
      </c>
      <c r="N1374" s="6" t="n">
        <v>554.5</v>
      </c>
    </row>
    <row r="1375" customFormat="false" ht="15" hidden="false" customHeight="false" outlineLevel="0" collapsed="false">
      <c r="A1375" s="6" t="s">
        <v>42</v>
      </c>
      <c r="B1375" s="6" t="s">
        <v>38</v>
      </c>
      <c r="C1375" s="6" t="s">
        <v>50</v>
      </c>
      <c r="D1375" s="6" t="s">
        <v>111</v>
      </c>
      <c r="E1375" s="6" t="s">
        <v>60</v>
      </c>
      <c r="F1375" s="6" t="s">
        <v>60</v>
      </c>
      <c r="G1375" s="6" t="n">
        <v>3</v>
      </c>
      <c r="H1375" s="6" t="n">
        <v>493200</v>
      </c>
      <c r="I1375" s="6" t="n">
        <v>102700</v>
      </c>
      <c r="J1375" s="6" t="n">
        <v>459900</v>
      </c>
      <c r="K1375" s="6" t="n">
        <v>-33300</v>
      </c>
      <c r="L1375" s="6" t="n">
        <v>2</v>
      </c>
      <c r="M1375" s="6" t="n">
        <v>0</v>
      </c>
      <c r="N1375" s="6" t="n">
        <v>-16</v>
      </c>
    </row>
    <row r="1376" customFormat="false" ht="15" hidden="false" customHeight="false" outlineLevel="0" collapsed="false">
      <c r="A1376" s="6" t="s">
        <v>42</v>
      </c>
      <c r="B1376" s="6" t="s">
        <v>38</v>
      </c>
      <c r="C1376" s="6" t="s">
        <v>50</v>
      </c>
      <c r="D1376" s="6" t="s">
        <v>112</v>
      </c>
      <c r="E1376" s="6" t="s">
        <v>58</v>
      </c>
      <c r="F1376" s="6" t="s">
        <v>58</v>
      </c>
      <c r="G1376" s="6" t="n">
        <v>5</v>
      </c>
      <c r="H1376" s="6" t="n">
        <v>1053900</v>
      </c>
      <c r="I1376" s="6" t="n">
        <v>243500</v>
      </c>
      <c r="J1376" s="6" t="n">
        <v>449500</v>
      </c>
      <c r="K1376" s="6" t="n">
        <v>-604600</v>
      </c>
      <c r="L1376" s="6" t="n">
        <v>0</v>
      </c>
      <c r="M1376" s="6" t="n">
        <v>0</v>
      </c>
      <c r="N1376" s="6" t="n">
        <v>-289</v>
      </c>
    </row>
    <row r="1377" customFormat="false" ht="15" hidden="false" customHeight="false" outlineLevel="0" collapsed="false">
      <c r="A1377" s="6" t="s">
        <v>42</v>
      </c>
      <c r="B1377" s="6" t="s">
        <v>38</v>
      </c>
      <c r="C1377" s="6" t="s">
        <v>50</v>
      </c>
      <c r="D1377" s="6" t="s">
        <v>112</v>
      </c>
      <c r="E1377" s="6" t="s">
        <v>58</v>
      </c>
      <c r="F1377" s="6" t="s">
        <v>60</v>
      </c>
      <c r="G1377" s="6" t="n">
        <v>9</v>
      </c>
      <c r="H1377" s="6" t="n">
        <v>1261100</v>
      </c>
      <c r="I1377" s="6" t="n">
        <v>845300</v>
      </c>
      <c r="J1377" s="6" t="n">
        <v>1110800</v>
      </c>
      <c r="K1377" s="6" t="n">
        <v>-150600</v>
      </c>
      <c r="L1377" s="6" t="n">
        <v>2</v>
      </c>
      <c r="M1377" s="6" t="n">
        <v>0</v>
      </c>
      <c r="N1377" s="6" t="n">
        <v>-114.7</v>
      </c>
    </row>
    <row r="1378" customFormat="false" ht="15" hidden="false" customHeight="false" outlineLevel="0" collapsed="false">
      <c r="A1378" s="6" t="s">
        <v>42</v>
      </c>
      <c r="B1378" s="6" t="s">
        <v>38</v>
      </c>
      <c r="C1378" s="6" t="s">
        <v>50</v>
      </c>
      <c r="D1378" s="6" t="s">
        <v>112</v>
      </c>
      <c r="E1378" s="6" t="s">
        <v>60</v>
      </c>
      <c r="F1378" s="6" t="s">
        <v>58</v>
      </c>
      <c r="G1378" s="6" t="n">
        <v>3</v>
      </c>
      <c r="H1378" s="6" t="n">
        <v>579300</v>
      </c>
      <c r="I1378" s="6" t="n">
        <v>165100</v>
      </c>
      <c r="J1378" s="6" t="n">
        <v>508300</v>
      </c>
      <c r="K1378" s="6" t="n">
        <v>-71000</v>
      </c>
      <c r="L1378" s="6" t="n">
        <v>1</v>
      </c>
      <c r="M1378" s="6" t="n">
        <v>0</v>
      </c>
      <c r="N1378" s="6" t="n">
        <v>-32.1</v>
      </c>
    </row>
    <row r="1379" customFormat="false" ht="15" hidden="false" customHeight="false" outlineLevel="0" collapsed="false">
      <c r="A1379" s="6" t="s">
        <v>42</v>
      </c>
      <c r="B1379" s="6" t="s">
        <v>38</v>
      </c>
      <c r="C1379" s="6" t="s">
        <v>50</v>
      </c>
      <c r="D1379" s="6" t="s">
        <v>112</v>
      </c>
      <c r="E1379" s="6" t="s">
        <v>60</v>
      </c>
      <c r="F1379" s="6" t="s">
        <v>60</v>
      </c>
      <c r="G1379" s="6" t="n">
        <v>1</v>
      </c>
      <c r="H1379" s="6" t="n">
        <v>124400</v>
      </c>
      <c r="I1379" s="6" t="n">
        <v>96400</v>
      </c>
      <c r="J1379" s="6" t="n">
        <v>195900</v>
      </c>
      <c r="K1379" s="6" t="n">
        <v>71500</v>
      </c>
      <c r="L1379" s="6" t="n">
        <v>1</v>
      </c>
      <c r="M1379" s="6" t="n">
        <v>0</v>
      </c>
      <c r="N1379" s="6" t="n">
        <v>57.4</v>
      </c>
    </row>
    <row r="1380" customFormat="false" ht="15" hidden="false" customHeight="false" outlineLevel="0" collapsed="false">
      <c r="A1380" s="6" t="s">
        <v>42</v>
      </c>
      <c r="B1380" s="6" t="s">
        <v>38</v>
      </c>
      <c r="C1380" s="6" t="s">
        <v>50</v>
      </c>
      <c r="D1380" s="6" t="s">
        <v>113</v>
      </c>
      <c r="E1380" s="6" t="s">
        <v>58</v>
      </c>
      <c r="F1380" s="6" t="s">
        <v>58</v>
      </c>
      <c r="G1380" s="6" t="n">
        <v>3</v>
      </c>
      <c r="H1380" s="6" t="n">
        <v>535600</v>
      </c>
      <c r="I1380" s="6" t="n">
        <v>393200</v>
      </c>
      <c r="J1380" s="6" t="n">
        <v>286500</v>
      </c>
      <c r="K1380" s="6" t="n">
        <v>-249000</v>
      </c>
      <c r="L1380" s="6" t="n">
        <v>0</v>
      </c>
      <c r="M1380" s="6" t="n">
        <v>0</v>
      </c>
      <c r="N1380" s="6" t="n">
        <v>-133.1</v>
      </c>
    </row>
    <row r="1381" customFormat="false" ht="15" hidden="false" customHeight="false" outlineLevel="0" collapsed="false">
      <c r="A1381" s="6" t="s">
        <v>42</v>
      </c>
      <c r="B1381" s="6" t="s">
        <v>38</v>
      </c>
      <c r="C1381" s="6" t="s">
        <v>50</v>
      </c>
      <c r="D1381" s="6" t="s">
        <v>113</v>
      </c>
      <c r="E1381" s="6" t="s">
        <v>58</v>
      </c>
      <c r="F1381" s="6" t="s">
        <v>60</v>
      </c>
      <c r="G1381" s="6" t="n">
        <v>14</v>
      </c>
      <c r="H1381" s="6" t="n">
        <v>2053200</v>
      </c>
      <c r="I1381" s="6" t="n">
        <v>1320900</v>
      </c>
      <c r="J1381" s="6" t="n">
        <v>1785500</v>
      </c>
      <c r="K1381" s="6" t="n">
        <v>-267600</v>
      </c>
      <c r="L1381" s="6" t="n">
        <v>6</v>
      </c>
      <c r="M1381" s="6" t="n">
        <v>0</v>
      </c>
      <c r="N1381" s="6" t="n">
        <v>-126.1</v>
      </c>
    </row>
    <row r="1382" customFormat="false" ht="15" hidden="false" customHeight="false" outlineLevel="0" collapsed="false">
      <c r="A1382" s="6" t="s">
        <v>42</v>
      </c>
      <c r="B1382" s="6" t="s">
        <v>38</v>
      </c>
      <c r="C1382" s="6" t="s">
        <v>50</v>
      </c>
      <c r="D1382" s="6" t="s">
        <v>113</v>
      </c>
      <c r="E1382" s="6" t="s">
        <v>60</v>
      </c>
      <c r="F1382" s="6" t="s">
        <v>58</v>
      </c>
      <c r="G1382" s="6" t="n">
        <v>3</v>
      </c>
      <c r="H1382" s="6" t="n">
        <v>639600</v>
      </c>
      <c r="I1382" s="6" t="n">
        <v>333800</v>
      </c>
      <c r="J1382" s="6" t="n">
        <v>448000</v>
      </c>
      <c r="K1382" s="6" t="n">
        <v>-191400</v>
      </c>
      <c r="L1382" s="6" t="n">
        <v>1</v>
      </c>
      <c r="M1382" s="6" t="n">
        <v>0</v>
      </c>
      <c r="N1382" s="6" t="n">
        <v>-74.2</v>
      </c>
    </row>
    <row r="1383" customFormat="false" ht="15" hidden="false" customHeight="false" outlineLevel="0" collapsed="false">
      <c r="A1383" s="6" t="s">
        <v>42</v>
      </c>
      <c r="B1383" s="6" t="s">
        <v>38</v>
      </c>
      <c r="C1383" s="6" t="s">
        <v>50</v>
      </c>
      <c r="D1383" s="6" t="s">
        <v>113</v>
      </c>
      <c r="E1383" s="6" t="s">
        <v>60</v>
      </c>
      <c r="F1383" s="6" t="s">
        <v>60</v>
      </c>
      <c r="G1383" s="6" t="n">
        <v>5</v>
      </c>
      <c r="H1383" s="6" t="n">
        <v>783800</v>
      </c>
      <c r="I1383" s="6" t="n">
        <v>208600</v>
      </c>
      <c r="J1383" s="6" t="n">
        <v>790400</v>
      </c>
      <c r="K1383" s="6" t="n">
        <v>6500</v>
      </c>
      <c r="L1383" s="6" t="n">
        <v>2</v>
      </c>
      <c r="M1383" s="6" t="n">
        <v>0</v>
      </c>
      <c r="N1383" s="6" t="n">
        <v>5.2</v>
      </c>
    </row>
    <row r="1384" customFormat="false" ht="15" hidden="false" customHeight="false" outlineLevel="0" collapsed="false">
      <c r="A1384" s="6" t="s">
        <v>42</v>
      </c>
      <c r="B1384" s="6" t="s">
        <v>38</v>
      </c>
      <c r="C1384" s="6" t="s">
        <v>50</v>
      </c>
      <c r="D1384" s="6" t="s">
        <v>114</v>
      </c>
      <c r="E1384" s="6" t="s">
        <v>58</v>
      </c>
      <c r="F1384" s="6" t="s">
        <v>58</v>
      </c>
      <c r="G1384" s="6" t="n">
        <v>4</v>
      </c>
      <c r="H1384" s="6" t="n">
        <v>713900</v>
      </c>
      <c r="I1384" s="6" t="n">
        <v>517200</v>
      </c>
      <c r="J1384" s="6" t="n">
        <v>452300</v>
      </c>
      <c r="K1384" s="6" t="n">
        <v>-261400</v>
      </c>
      <c r="L1384" s="6" t="n">
        <v>0</v>
      </c>
      <c r="M1384" s="6" t="n">
        <v>0</v>
      </c>
      <c r="N1384" s="6" t="n">
        <v>-134.9</v>
      </c>
    </row>
    <row r="1385" customFormat="false" ht="15" hidden="false" customHeight="false" outlineLevel="0" collapsed="false">
      <c r="A1385" s="6" t="s">
        <v>42</v>
      </c>
      <c r="B1385" s="6" t="s">
        <v>38</v>
      </c>
      <c r="C1385" s="6" t="s">
        <v>50</v>
      </c>
      <c r="D1385" s="6" t="s">
        <v>114</v>
      </c>
      <c r="E1385" s="6" t="s">
        <v>58</v>
      </c>
      <c r="F1385" s="6" t="s">
        <v>60</v>
      </c>
      <c r="G1385" s="6" t="n">
        <v>7</v>
      </c>
      <c r="H1385" s="6" t="n">
        <v>993000</v>
      </c>
      <c r="I1385" s="6" t="n">
        <v>325900</v>
      </c>
      <c r="J1385" s="6" t="n">
        <v>968900</v>
      </c>
      <c r="K1385" s="6" t="n">
        <v>-24000</v>
      </c>
      <c r="L1385" s="6" t="n">
        <v>5</v>
      </c>
      <c r="M1385" s="6" t="n">
        <v>0</v>
      </c>
      <c r="N1385" s="6" t="n">
        <v>5.5</v>
      </c>
    </row>
    <row r="1386" customFormat="false" ht="15" hidden="false" customHeight="false" outlineLevel="0" collapsed="false">
      <c r="A1386" s="6" t="s">
        <v>42</v>
      </c>
      <c r="B1386" s="6" t="s">
        <v>38</v>
      </c>
      <c r="C1386" s="6" t="s">
        <v>50</v>
      </c>
      <c r="D1386" s="6" t="s">
        <v>114</v>
      </c>
      <c r="E1386" s="6" t="s">
        <v>60</v>
      </c>
      <c r="F1386" s="6" t="s">
        <v>58</v>
      </c>
      <c r="G1386" s="6" t="n">
        <v>3</v>
      </c>
      <c r="H1386" s="6" t="n">
        <v>446800</v>
      </c>
      <c r="I1386" s="6" t="n">
        <v>252400</v>
      </c>
      <c r="J1386" s="6" t="n">
        <v>610800</v>
      </c>
      <c r="K1386" s="6" t="n">
        <v>163900</v>
      </c>
      <c r="L1386" s="6" t="n">
        <v>2</v>
      </c>
      <c r="M1386" s="6" t="n">
        <v>0</v>
      </c>
      <c r="N1386" s="6" t="n">
        <v>99.2</v>
      </c>
    </row>
    <row r="1387" customFormat="false" ht="15" hidden="false" customHeight="false" outlineLevel="0" collapsed="false">
      <c r="A1387" s="6" t="s">
        <v>42</v>
      </c>
      <c r="B1387" s="6" t="s">
        <v>38</v>
      </c>
      <c r="C1387" s="6" t="s">
        <v>50</v>
      </c>
      <c r="D1387" s="6" t="s">
        <v>114</v>
      </c>
      <c r="E1387" s="6" t="s">
        <v>60</v>
      </c>
      <c r="F1387" s="6" t="s">
        <v>60</v>
      </c>
      <c r="G1387" s="6" t="n">
        <v>4</v>
      </c>
      <c r="H1387" s="6" t="n">
        <v>680700</v>
      </c>
      <c r="I1387" s="6" t="n">
        <v>0</v>
      </c>
      <c r="J1387" s="6" t="n">
        <v>650500</v>
      </c>
      <c r="K1387" s="6" t="n">
        <v>-30300</v>
      </c>
      <c r="L1387" s="6" t="n">
        <v>1</v>
      </c>
      <c r="M1387" s="6" t="n">
        <v>0</v>
      </c>
      <c r="N1387" s="6" t="n">
        <v>73.7</v>
      </c>
    </row>
    <row r="1388" customFormat="false" ht="15" hidden="false" customHeight="false" outlineLevel="0" collapsed="false">
      <c r="A1388" s="6" t="s">
        <v>42</v>
      </c>
      <c r="B1388" s="6" t="s">
        <v>38</v>
      </c>
      <c r="C1388" s="6" t="s">
        <v>52</v>
      </c>
      <c r="D1388" s="6" t="s">
        <v>111</v>
      </c>
      <c r="E1388" s="6" t="s">
        <v>58</v>
      </c>
      <c r="F1388" s="6" t="s">
        <v>58</v>
      </c>
      <c r="G1388" s="6" t="n">
        <v>24</v>
      </c>
      <c r="H1388" s="6" t="n">
        <v>2523700</v>
      </c>
      <c r="I1388" s="6" t="n">
        <v>1047200</v>
      </c>
      <c r="J1388" s="6" t="n">
        <v>2009900</v>
      </c>
      <c r="K1388" s="6" t="n">
        <v>-513800</v>
      </c>
      <c r="L1388" s="6" t="n">
        <v>7</v>
      </c>
      <c r="M1388" s="6" t="n">
        <v>0</v>
      </c>
      <c r="N1388" s="6" t="n">
        <v>-398.8</v>
      </c>
    </row>
    <row r="1389" customFormat="false" ht="15" hidden="false" customHeight="false" outlineLevel="0" collapsed="false">
      <c r="A1389" s="6" t="s">
        <v>42</v>
      </c>
      <c r="B1389" s="6" t="s">
        <v>38</v>
      </c>
      <c r="C1389" s="6" t="s">
        <v>52</v>
      </c>
      <c r="D1389" s="6" t="s">
        <v>111</v>
      </c>
      <c r="E1389" s="6" t="s">
        <v>58</v>
      </c>
      <c r="F1389" s="6" t="s">
        <v>60</v>
      </c>
      <c r="G1389" s="6" t="n">
        <v>56</v>
      </c>
      <c r="H1389" s="6" t="n">
        <v>4202200</v>
      </c>
      <c r="I1389" s="6" t="n">
        <v>1810700</v>
      </c>
      <c r="J1389" s="6" t="n">
        <v>5567700</v>
      </c>
      <c r="K1389" s="6" t="n">
        <v>1366200</v>
      </c>
      <c r="L1389" s="6" t="n">
        <v>44</v>
      </c>
      <c r="M1389" s="6" t="n">
        <v>0</v>
      </c>
      <c r="N1389" s="6" t="n">
        <v>1907.7</v>
      </c>
    </row>
    <row r="1390" customFormat="false" ht="15" hidden="false" customHeight="false" outlineLevel="0" collapsed="false">
      <c r="A1390" s="6" t="s">
        <v>42</v>
      </c>
      <c r="B1390" s="6" t="s">
        <v>38</v>
      </c>
      <c r="C1390" s="6" t="s">
        <v>52</v>
      </c>
      <c r="D1390" s="6" t="s">
        <v>111</v>
      </c>
      <c r="E1390" s="6" t="s">
        <v>60</v>
      </c>
      <c r="F1390" s="6" t="s">
        <v>58</v>
      </c>
      <c r="G1390" s="6" t="n">
        <v>13</v>
      </c>
      <c r="H1390" s="6" t="n">
        <v>1419100</v>
      </c>
      <c r="I1390" s="6" t="n">
        <v>728900</v>
      </c>
      <c r="J1390" s="6" t="n">
        <v>1267200</v>
      </c>
      <c r="K1390" s="6" t="n">
        <v>-151700</v>
      </c>
      <c r="L1390" s="6" t="n">
        <v>5</v>
      </c>
      <c r="M1390" s="6" t="n">
        <v>0</v>
      </c>
      <c r="N1390" s="6" t="n">
        <v>-76.3</v>
      </c>
    </row>
    <row r="1391" customFormat="false" ht="15" hidden="false" customHeight="false" outlineLevel="0" collapsed="false">
      <c r="A1391" s="6" t="s">
        <v>42</v>
      </c>
      <c r="B1391" s="6" t="s">
        <v>38</v>
      </c>
      <c r="C1391" s="6" t="s">
        <v>52</v>
      </c>
      <c r="D1391" s="6" t="s">
        <v>111</v>
      </c>
      <c r="E1391" s="6" t="s">
        <v>60</v>
      </c>
      <c r="F1391" s="6" t="s">
        <v>60</v>
      </c>
      <c r="G1391" s="6" t="n">
        <v>25</v>
      </c>
      <c r="H1391" s="6" t="n">
        <v>1958000</v>
      </c>
      <c r="I1391" s="6" t="n">
        <v>970200</v>
      </c>
      <c r="J1391" s="6" t="n">
        <v>2867100</v>
      </c>
      <c r="K1391" s="6" t="n">
        <v>909700</v>
      </c>
      <c r="L1391" s="6" t="n">
        <v>19</v>
      </c>
      <c r="M1391" s="6" t="n">
        <v>0</v>
      </c>
      <c r="N1391" s="6" t="n">
        <v>1362</v>
      </c>
    </row>
    <row r="1392" customFormat="false" ht="15" hidden="false" customHeight="false" outlineLevel="0" collapsed="false">
      <c r="A1392" s="6" t="s">
        <v>42</v>
      </c>
      <c r="B1392" s="6" t="s">
        <v>38</v>
      </c>
      <c r="C1392" s="6" t="s">
        <v>52</v>
      </c>
      <c r="D1392" s="6" t="s">
        <v>112</v>
      </c>
      <c r="E1392" s="6" t="s">
        <v>58</v>
      </c>
      <c r="F1392" s="6" t="s">
        <v>58</v>
      </c>
      <c r="G1392" s="6" t="n">
        <v>25</v>
      </c>
      <c r="H1392" s="6" t="n">
        <v>2876100</v>
      </c>
      <c r="I1392" s="6" t="n">
        <v>1219200</v>
      </c>
      <c r="J1392" s="6" t="n">
        <v>2388500</v>
      </c>
      <c r="K1392" s="6" t="n">
        <v>-487400</v>
      </c>
      <c r="L1392" s="6" t="n">
        <v>8</v>
      </c>
      <c r="M1392" s="6" t="n">
        <v>0</v>
      </c>
      <c r="N1392" s="6" t="n">
        <v>-278.5</v>
      </c>
    </row>
    <row r="1393" customFormat="false" ht="15" hidden="false" customHeight="false" outlineLevel="0" collapsed="false">
      <c r="A1393" s="6" t="s">
        <v>42</v>
      </c>
      <c r="B1393" s="6" t="s">
        <v>38</v>
      </c>
      <c r="C1393" s="6" t="s">
        <v>52</v>
      </c>
      <c r="D1393" s="6" t="s">
        <v>112</v>
      </c>
      <c r="E1393" s="6" t="s">
        <v>58</v>
      </c>
      <c r="F1393" s="6" t="s">
        <v>60</v>
      </c>
      <c r="G1393" s="6" t="n">
        <v>51</v>
      </c>
      <c r="H1393" s="6" t="n">
        <v>3696500</v>
      </c>
      <c r="I1393" s="6" t="n">
        <v>1383100</v>
      </c>
      <c r="J1393" s="6" t="n">
        <v>4637100</v>
      </c>
      <c r="K1393" s="6" t="n">
        <v>940400</v>
      </c>
      <c r="L1393" s="6" t="n">
        <v>36</v>
      </c>
      <c r="M1393" s="6" t="n">
        <v>0</v>
      </c>
      <c r="N1393" s="6" t="n">
        <v>1503.9</v>
      </c>
    </row>
    <row r="1394" customFormat="false" ht="15" hidden="false" customHeight="false" outlineLevel="0" collapsed="false">
      <c r="A1394" s="6" t="s">
        <v>42</v>
      </c>
      <c r="B1394" s="6" t="s">
        <v>38</v>
      </c>
      <c r="C1394" s="6" t="s">
        <v>52</v>
      </c>
      <c r="D1394" s="6" t="s">
        <v>112</v>
      </c>
      <c r="E1394" s="6" t="s">
        <v>60</v>
      </c>
      <c r="F1394" s="6" t="s">
        <v>58</v>
      </c>
      <c r="G1394" s="6" t="n">
        <v>10</v>
      </c>
      <c r="H1394" s="6" t="n">
        <v>1021800</v>
      </c>
      <c r="I1394" s="6" t="n">
        <v>502700</v>
      </c>
      <c r="J1394" s="6" t="n">
        <v>853000</v>
      </c>
      <c r="K1394" s="6" t="n">
        <v>-168700</v>
      </c>
      <c r="L1394" s="6" t="n">
        <v>2</v>
      </c>
      <c r="M1394" s="6" t="n">
        <v>0</v>
      </c>
      <c r="N1394" s="6" t="n">
        <v>-139.1</v>
      </c>
    </row>
    <row r="1395" customFormat="false" ht="15" hidden="false" customHeight="false" outlineLevel="0" collapsed="false">
      <c r="A1395" s="6" t="s">
        <v>42</v>
      </c>
      <c r="B1395" s="6" t="s">
        <v>38</v>
      </c>
      <c r="C1395" s="6" t="s">
        <v>52</v>
      </c>
      <c r="D1395" s="6" t="s">
        <v>112</v>
      </c>
      <c r="E1395" s="6" t="s">
        <v>60</v>
      </c>
      <c r="F1395" s="6" t="s">
        <v>60</v>
      </c>
      <c r="G1395" s="6" t="n">
        <v>33</v>
      </c>
      <c r="H1395" s="6" t="n">
        <v>2525600</v>
      </c>
      <c r="I1395" s="6" t="n">
        <v>948300</v>
      </c>
      <c r="J1395" s="6" t="n">
        <v>3644300</v>
      </c>
      <c r="K1395" s="6" t="n">
        <v>1119300</v>
      </c>
      <c r="L1395" s="6" t="n">
        <v>27</v>
      </c>
      <c r="M1395" s="6" t="n">
        <v>0</v>
      </c>
      <c r="N1395" s="6" t="n">
        <v>1639.6</v>
      </c>
    </row>
    <row r="1396" customFormat="false" ht="15" hidden="false" customHeight="false" outlineLevel="0" collapsed="false">
      <c r="A1396" s="6" t="s">
        <v>42</v>
      </c>
      <c r="B1396" s="6" t="s">
        <v>38</v>
      </c>
      <c r="C1396" s="6" t="s">
        <v>52</v>
      </c>
      <c r="D1396" s="6" t="s">
        <v>113</v>
      </c>
      <c r="E1396" s="6" t="s">
        <v>58</v>
      </c>
      <c r="F1396" s="6" t="s">
        <v>58</v>
      </c>
      <c r="G1396" s="6" t="n">
        <v>26</v>
      </c>
      <c r="H1396" s="6" t="n">
        <v>2633600</v>
      </c>
      <c r="I1396" s="6" t="n">
        <v>1092300</v>
      </c>
      <c r="J1396" s="6" t="n">
        <v>2176600</v>
      </c>
      <c r="K1396" s="6" t="n">
        <v>-457000</v>
      </c>
      <c r="L1396" s="6" t="n">
        <v>7</v>
      </c>
      <c r="M1396" s="6" t="n">
        <v>0</v>
      </c>
      <c r="N1396" s="6" t="n">
        <v>-332.1</v>
      </c>
    </row>
    <row r="1397" customFormat="false" ht="15" hidden="false" customHeight="false" outlineLevel="0" collapsed="false">
      <c r="A1397" s="6" t="s">
        <v>42</v>
      </c>
      <c r="B1397" s="6" t="s">
        <v>38</v>
      </c>
      <c r="C1397" s="6" t="s">
        <v>52</v>
      </c>
      <c r="D1397" s="6" t="s">
        <v>113</v>
      </c>
      <c r="E1397" s="6" t="s">
        <v>58</v>
      </c>
      <c r="F1397" s="6" t="s">
        <v>60</v>
      </c>
      <c r="G1397" s="6" t="n">
        <v>66</v>
      </c>
      <c r="H1397" s="6" t="n">
        <v>5033100</v>
      </c>
      <c r="I1397" s="6" t="n">
        <v>2511100</v>
      </c>
      <c r="J1397" s="6" t="n">
        <v>5725100</v>
      </c>
      <c r="K1397" s="6" t="n">
        <v>692200</v>
      </c>
      <c r="L1397" s="6" t="n">
        <v>35</v>
      </c>
      <c r="M1397" s="6" t="n">
        <v>0</v>
      </c>
      <c r="N1397" s="6" t="n">
        <v>1293.6</v>
      </c>
    </row>
    <row r="1398" customFormat="false" ht="15" hidden="false" customHeight="false" outlineLevel="0" collapsed="false">
      <c r="A1398" s="6" t="s">
        <v>42</v>
      </c>
      <c r="B1398" s="6" t="s">
        <v>38</v>
      </c>
      <c r="C1398" s="6" t="s">
        <v>52</v>
      </c>
      <c r="D1398" s="6" t="s">
        <v>113</v>
      </c>
      <c r="E1398" s="6" t="s">
        <v>60</v>
      </c>
      <c r="F1398" s="6" t="s">
        <v>58</v>
      </c>
      <c r="G1398" s="6" t="n">
        <v>18</v>
      </c>
      <c r="H1398" s="6" t="n">
        <v>1977700</v>
      </c>
      <c r="I1398" s="6" t="n">
        <v>980100</v>
      </c>
      <c r="J1398" s="6" t="n">
        <v>1707600</v>
      </c>
      <c r="K1398" s="6" t="n">
        <v>-270200</v>
      </c>
      <c r="L1398" s="6" t="n">
        <v>5</v>
      </c>
      <c r="M1398" s="6" t="n">
        <v>0</v>
      </c>
      <c r="N1398" s="6" t="n">
        <v>-161.1</v>
      </c>
    </row>
    <row r="1399" customFormat="false" ht="15" hidden="false" customHeight="false" outlineLevel="0" collapsed="false">
      <c r="A1399" s="6" t="s">
        <v>42</v>
      </c>
      <c r="B1399" s="6" t="s">
        <v>38</v>
      </c>
      <c r="C1399" s="6" t="s">
        <v>52</v>
      </c>
      <c r="D1399" s="6" t="s">
        <v>113</v>
      </c>
      <c r="E1399" s="6" t="s">
        <v>60</v>
      </c>
      <c r="F1399" s="6" t="s">
        <v>60</v>
      </c>
      <c r="G1399" s="6" t="n">
        <v>44</v>
      </c>
      <c r="H1399" s="6" t="n">
        <v>3201300</v>
      </c>
      <c r="I1399" s="6" t="n">
        <v>1333700</v>
      </c>
      <c r="J1399" s="6" t="n">
        <v>4506400</v>
      </c>
      <c r="K1399" s="6" t="n">
        <v>1305300</v>
      </c>
      <c r="L1399" s="6" t="n">
        <v>32</v>
      </c>
      <c r="M1399" s="6" t="n">
        <v>0</v>
      </c>
      <c r="N1399" s="6" t="n">
        <v>2012.9</v>
      </c>
    </row>
    <row r="1400" customFormat="false" ht="15" hidden="false" customHeight="false" outlineLevel="0" collapsed="false">
      <c r="A1400" s="6" t="s">
        <v>42</v>
      </c>
      <c r="B1400" s="6" t="s">
        <v>38</v>
      </c>
      <c r="C1400" s="6" t="s">
        <v>52</v>
      </c>
      <c r="D1400" s="6" t="s">
        <v>114</v>
      </c>
      <c r="E1400" s="6" t="s">
        <v>58</v>
      </c>
      <c r="F1400" s="6" t="s">
        <v>58</v>
      </c>
      <c r="G1400" s="6" t="n">
        <v>20</v>
      </c>
      <c r="H1400" s="6" t="n">
        <v>2052000</v>
      </c>
      <c r="I1400" s="6" t="n">
        <v>920500</v>
      </c>
      <c r="J1400" s="6" t="n">
        <v>1434700</v>
      </c>
      <c r="K1400" s="6" t="n">
        <v>-617400</v>
      </c>
      <c r="L1400" s="6" t="n">
        <v>1</v>
      </c>
      <c r="M1400" s="6" t="n">
        <v>0</v>
      </c>
      <c r="N1400" s="6" t="n">
        <v>-585.2</v>
      </c>
    </row>
    <row r="1401" customFormat="false" ht="15" hidden="false" customHeight="false" outlineLevel="0" collapsed="false">
      <c r="A1401" s="6" t="s">
        <v>42</v>
      </c>
      <c r="B1401" s="6" t="s">
        <v>38</v>
      </c>
      <c r="C1401" s="6" t="s">
        <v>52</v>
      </c>
      <c r="D1401" s="6" t="s">
        <v>114</v>
      </c>
      <c r="E1401" s="6" t="s">
        <v>58</v>
      </c>
      <c r="F1401" s="6" t="s">
        <v>60</v>
      </c>
      <c r="G1401" s="6" t="n">
        <v>44</v>
      </c>
      <c r="H1401" s="6" t="n">
        <v>3250100</v>
      </c>
      <c r="I1401" s="6" t="n">
        <v>1248300</v>
      </c>
      <c r="J1401" s="6" t="n">
        <v>3785400</v>
      </c>
      <c r="K1401" s="6" t="n">
        <v>535200</v>
      </c>
      <c r="L1401" s="6" t="n">
        <v>28</v>
      </c>
      <c r="M1401" s="6" t="n">
        <v>0</v>
      </c>
      <c r="N1401" s="6" t="n">
        <v>884.7</v>
      </c>
    </row>
    <row r="1402" customFormat="false" ht="15" hidden="false" customHeight="false" outlineLevel="0" collapsed="false">
      <c r="A1402" s="6" t="s">
        <v>42</v>
      </c>
      <c r="B1402" s="6" t="s">
        <v>38</v>
      </c>
      <c r="C1402" s="6" t="s">
        <v>52</v>
      </c>
      <c r="D1402" s="6" t="s">
        <v>114</v>
      </c>
      <c r="E1402" s="6" t="s">
        <v>60</v>
      </c>
      <c r="F1402" s="6" t="s">
        <v>58</v>
      </c>
      <c r="G1402" s="6" t="n">
        <v>13</v>
      </c>
      <c r="H1402" s="6" t="n">
        <v>1384200</v>
      </c>
      <c r="I1402" s="6" t="n">
        <v>625300</v>
      </c>
      <c r="J1402" s="6" t="n">
        <v>1322400</v>
      </c>
      <c r="K1402" s="6" t="n">
        <v>-61800</v>
      </c>
      <c r="L1402" s="6" t="n">
        <v>7</v>
      </c>
      <c r="M1402" s="6" t="n">
        <v>0</v>
      </c>
      <c r="N1402" s="6" t="n">
        <v>45.4</v>
      </c>
    </row>
    <row r="1403" customFormat="false" ht="15" hidden="false" customHeight="false" outlineLevel="0" collapsed="false">
      <c r="A1403" s="6" t="s">
        <v>42</v>
      </c>
      <c r="B1403" s="6" t="s">
        <v>38</v>
      </c>
      <c r="C1403" s="6" t="s">
        <v>52</v>
      </c>
      <c r="D1403" s="6" t="s">
        <v>114</v>
      </c>
      <c r="E1403" s="6" t="s">
        <v>60</v>
      </c>
      <c r="F1403" s="6" t="s">
        <v>60</v>
      </c>
      <c r="G1403" s="6" t="n">
        <v>26</v>
      </c>
      <c r="H1403" s="6" t="n">
        <v>1904600</v>
      </c>
      <c r="I1403" s="6" t="n">
        <v>860400</v>
      </c>
      <c r="J1403" s="6" t="n">
        <v>2425200</v>
      </c>
      <c r="K1403" s="6" t="n">
        <v>520800</v>
      </c>
      <c r="L1403" s="6" t="n">
        <v>16</v>
      </c>
      <c r="M1403" s="6" t="n">
        <v>0</v>
      </c>
      <c r="N1403" s="6" t="n">
        <v>811.9</v>
      </c>
    </row>
    <row r="1404" customFormat="false" ht="15" hidden="false" customHeight="false" outlineLevel="0" collapsed="false">
      <c r="A1404" s="6" t="s">
        <v>42</v>
      </c>
      <c r="B1404" s="6" t="s">
        <v>38</v>
      </c>
      <c r="C1404" s="6" t="s">
        <v>53</v>
      </c>
      <c r="D1404" s="6" t="s">
        <v>111</v>
      </c>
      <c r="E1404" s="6" t="s">
        <v>58</v>
      </c>
      <c r="F1404" s="6" t="s">
        <v>58</v>
      </c>
      <c r="G1404" s="6" t="n">
        <v>14</v>
      </c>
      <c r="H1404" s="6" t="n">
        <v>1032300</v>
      </c>
      <c r="I1404" s="6" t="n">
        <v>509000</v>
      </c>
      <c r="J1404" s="6" t="n">
        <v>1282900</v>
      </c>
      <c r="K1404" s="6" t="n">
        <v>250700</v>
      </c>
      <c r="L1404" s="6" t="n">
        <v>6</v>
      </c>
      <c r="M1404" s="6" t="n">
        <v>0</v>
      </c>
      <c r="N1404" s="6" t="n">
        <v>411.3</v>
      </c>
    </row>
    <row r="1405" customFormat="false" ht="15" hidden="false" customHeight="false" outlineLevel="0" collapsed="false">
      <c r="A1405" s="6" t="s">
        <v>42</v>
      </c>
      <c r="B1405" s="6" t="s">
        <v>38</v>
      </c>
      <c r="C1405" s="6" t="s">
        <v>53</v>
      </c>
      <c r="D1405" s="6" t="s">
        <v>111</v>
      </c>
      <c r="E1405" s="6" t="s">
        <v>58</v>
      </c>
      <c r="F1405" s="6" t="s">
        <v>60</v>
      </c>
      <c r="G1405" s="6" t="n">
        <v>43</v>
      </c>
      <c r="H1405" s="6" t="n">
        <v>2530500</v>
      </c>
      <c r="I1405" s="6" t="n">
        <v>1444800</v>
      </c>
      <c r="J1405" s="6" t="n">
        <v>2920600</v>
      </c>
      <c r="K1405" s="6" t="n">
        <v>390300</v>
      </c>
      <c r="L1405" s="6" t="n">
        <v>28</v>
      </c>
      <c r="M1405" s="6" t="n">
        <v>0</v>
      </c>
      <c r="N1405" s="6" t="n">
        <v>902.5</v>
      </c>
    </row>
    <row r="1406" customFormat="false" ht="15" hidden="false" customHeight="false" outlineLevel="0" collapsed="false">
      <c r="A1406" s="6" t="s">
        <v>42</v>
      </c>
      <c r="B1406" s="6" t="s">
        <v>38</v>
      </c>
      <c r="C1406" s="6" t="s">
        <v>53</v>
      </c>
      <c r="D1406" s="6" t="s">
        <v>111</v>
      </c>
      <c r="E1406" s="6" t="s">
        <v>60</v>
      </c>
      <c r="F1406" s="6" t="s">
        <v>58</v>
      </c>
      <c r="G1406" s="6" t="n">
        <v>10</v>
      </c>
      <c r="H1406" s="6" t="n">
        <v>827900</v>
      </c>
      <c r="I1406" s="6" t="n">
        <v>388400</v>
      </c>
      <c r="J1406" s="6" t="n">
        <v>907200</v>
      </c>
      <c r="K1406" s="6" t="n">
        <v>79200</v>
      </c>
      <c r="L1406" s="6" t="n">
        <v>7</v>
      </c>
      <c r="M1406" s="6" t="n">
        <v>0</v>
      </c>
      <c r="N1406" s="6" t="n">
        <v>123.1</v>
      </c>
    </row>
    <row r="1407" customFormat="false" ht="15" hidden="false" customHeight="false" outlineLevel="0" collapsed="false">
      <c r="A1407" s="6" t="s">
        <v>42</v>
      </c>
      <c r="B1407" s="6" t="s">
        <v>38</v>
      </c>
      <c r="C1407" s="6" t="s">
        <v>53</v>
      </c>
      <c r="D1407" s="6" t="s">
        <v>111</v>
      </c>
      <c r="E1407" s="6" t="s">
        <v>60</v>
      </c>
      <c r="F1407" s="6" t="s">
        <v>60</v>
      </c>
      <c r="G1407" s="6" t="n">
        <v>23</v>
      </c>
      <c r="H1407" s="6" t="n">
        <v>1293400</v>
      </c>
      <c r="I1407" s="6" t="n">
        <v>490700</v>
      </c>
      <c r="J1407" s="6" t="n">
        <v>1909900</v>
      </c>
      <c r="K1407" s="6" t="n">
        <v>616400</v>
      </c>
      <c r="L1407" s="6" t="n">
        <v>18</v>
      </c>
      <c r="M1407" s="6" t="n">
        <v>0</v>
      </c>
      <c r="N1407" s="6" t="n">
        <v>1318.1</v>
      </c>
    </row>
    <row r="1408" customFormat="false" ht="15" hidden="false" customHeight="false" outlineLevel="0" collapsed="false">
      <c r="A1408" s="6" t="s">
        <v>42</v>
      </c>
      <c r="B1408" s="6" t="s">
        <v>38</v>
      </c>
      <c r="C1408" s="6" t="s">
        <v>53</v>
      </c>
      <c r="D1408" s="6" t="s">
        <v>112</v>
      </c>
      <c r="E1408" s="6" t="s">
        <v>58</v>
      </c>
      <c r="F1408" s="6" t="s">
        <v>58</v>
      </c>
      <c r="G1408" s="6" t="n">
        <v>15</v>
      </c>
      <c r="H1408" s="6" t="n">
        <v>1315100</v>
      </c>
      <c r="I1408" s="6" t="n">
        <v>580500</v>
      </c>
      <c r="J1408" s="6" t="n">
        <v>944000</v>
      </c>
      <c r="K1408" s="6" t="n">
        <v>-371100</v>
      </c>
      <c r="L1408" s="6" t="n">
        <v>2</v>
      </c>
      <c r="M1408" s="6" t="n">
        <v>0</v>
      </c>
      <c r="N1408" s="6" t="n">
        <v>-393.8</v>
      </c>
    </row>
    <row r="1409" customFormat="false" ht="15" hidden="false" customHeight="false" outlineLevel="0" collapsed="false">
      <c r="A1409" s="6" t="s">
        <v>42</v>
      </c>
      <c r="B1409" s="6" t="s">
        <v>38</v>
      </c>
      <c r="C1409" s="6" t="s">
        <v>53</v>
      </c>
      <c r="D1409" s="6" t="s">
        <v>112</v>
      </c>
      <c r="E1409" s="6" t="s">
        <v>58</v>
      </c>
      <c r="F1409" s="6" t="s">
        <v>60</v>
      </c>
      <c r="G1409" s="6" t="n">
        <v>48</v>
      </c>
      <c r="H1409" s="6" t="n">
        <v>2773900</v>
      </c>
      <c r="I1409" s="6" t="n">
        <v>821000</v>
      </c>
      <c r="J1409" s="6" t="n">
        <v>3746300</v>
      </c>
      <c r="K1409" s="6" t="n">
        <v>972300</v>
      </c>
      <c r="L1409" s="6" t="n">
        <v>35</v>
      </c>
      <c r="M1409" s="6" t="n">
        <v>0</v>
      </c>
      <c r="N1409" s="6" t="n">
        <v>1951.8</v>
      </c>
    </row>
    <row r="1410" customFormat="false" ht="15" hidden="false" customHeight="false" outlineLevel="0" collapsed="false">
      <c r="A1410" s="6" t="s">
        <v>42</v>
      </c>
      <c r="B1410" s="6" t="s">
        <v>38</v>
      </c>
      <c r="C1410" s="6" t="s">
        <v>53</v>
      </c>
      <c r="D1410" s="6" t="s">
        <v>112</v>
      </c>
      <c r="E1410" s="6" t="s">
        <v>60</v>
      </c>
      <c r="F1410" s="6" t="s">
        <v>58</v>
      </c>
      <c r="G1410" s="6" t="n">
        <v>9</v>
      </c>
      <c r="H1410" s="6" t="n">
        <v>668500</v>
      </c>
      <c r="I1410" s="6" t="n">
        <v>278200</v>
      </c>
      <c r="J1410" s="6" t="n">
        <v>840000</v>
      </c>
      <c r="K1410" s="6" t="n">
        <v>171800</v>
      </c>
      <c r="L1410" s="6" t="n">
        <v>6</v>
      </c>
      <c r="M1410" s="6" t="n">
        <v>0</v>
      </c>
      <c r="N1410" s="6" t="n">
        <v>267.9</v>
      </c>
    </row>
    <row r="1411" customFormat="false" ht="15" hidden="false" customHeight="false" outlineLevel="0" collapsed="false">
      <c r="A1411" s="6" t="s">
        <v>42</v>
      </c>
      <c r="B1411" s="6" t="s">
        <v>38</v>
      </c>
      <c r="C1411" s="6" t="s">
        <v>53</v>
      </c>
      <c r="D1411" s="6" t="s">
        <v>112</v>
      </c>
      <c r="E1411" s="6" t="s">
        <v>60</v>
      </c>
      <c r="F1411" s="6" t="s">
        <v>60</v>
      </c>
      <c r="G1411" s="6" t="n">
        <v>24</v>
      </c>
      <c r="H1411" s="6" t="n">
        <v>1293300</v>
      </c>
      <c r="I1411" s="6" t="n">
        <v>652800</v>
      </c>
      <c r="J1411" s="6" t="n">
        <v>2016300</v>
      </c>
      <c r="K1411" s="6" t="n">
        <v>723000</v>
      </c>
      <c r="L1411" s="6" t="n">
        <v>21</v>
      </c>
      <c r="M1411" s="6" t="n">
        <v>0</v>
      </c>
      <c r="N1411" s="6" t="n">
        <v>1417.5</v>
      </c>
    </row>
    <row r="1412" customFormat="false" ht="15" hidden="false" customHeight="false" outlineLevel="0" collapsed="false">
      <c r="A1412" s="6" t="s">
        <v>42</v>
      </c>
      <c r="B1412" s="6" t="s">
        <v>38</v>
      </c>
      <c r="C1412" s="6" t="s">
        <v>53</v>
      </c>
      <c r="D1412" s="6" t="s">
        <v>113</v>
      </c>
      <c r="E1412" s="6" t="s">
        <v>58</v>
      </c>
      <c r="F1412" s="6" t="s">
        <v>58</v>
      </c>
      <c r="G1412" s="6" t="n">
        <v>34</v>
      </c>
      <c r="H1412" s="6" t="n">
        <v>2827500</v>
      </c>
      <c r="I1412" s="6" t="n">
        <v>1125600</v>
      </c>
      <c r="J1412" s="6" t="n">
        <v>2326400</v>
      </c>
      <c r="K1412" s="6" t="n">
        <v>-501500</v>
      </c>
      <c r="L1412" s="6" t="n">
        <v>9</v>
      </c>
      <c r="M1412" s="6" t="n">
        <v>0</v>
      </c>
      <c r="N1412" s="6" t="n">
        <v>-517.9</v>
      </c>
    </row>
    <row r="1413" customFormat="false" ht="15" hidden="false" customHeight="false" outlineLevel="0" collapsed="false">
      <c r="A1413" s="6" t="s">
        <v>42</v>
      </c>
      <c r="B1413" s="6" t="s">
        <v>38</v>
      </c>
      <c r="C1413" s="6" t="s">
        <v>53</v>
      </c>
      <c r="D1413" s="6" t="s">
        <v>113</v>
      </c>
      <c r="E1413" s="6" t="s">
        <v>58</v>
      </c>
      <c r="F1413" s="6" t="s">
        <v>60</v>
      </c>
      <c r="G1413" s="6" t="n">
        <v>62</v>
      </c>
      <c r="H1413" s="6" t="n">
        <v>3677000</v>
      </c>
      <c r="I1413" s="6" t="n">
        <v>1626600</v>
      </c>
      <c r="J1413" s="6" t="n">
        <v>5214600</v>
      </c>
      <c r="K1413" s="6" t="n">
        <v>1537300</v>
      </c>
      <c r="L1413" s="6" t="n">
        <v>45</v>
      </c>
      <c r="M1413" s="6" t="n">
        <v>0</v>
      </c>
      <c r="N1413" s="6" t="n">
        <v>3034.6</v>
      </c>
    </row>
    <row r="1414" customFormat="false" ht="15" hidden="false" customHeight="false" outlineLevel="0" collapsed="false">
      <c r="A1414" s="6" t="s">
        <v>42</v>
      </c>
      <c r="B1414" s="6" t="s">
        <v>38</v>
      </c>
      <c r="C1414" s="6" t="s">
        <v>53</v>
      </c>
      <c r="D1414" s="6" t="s">
        <v>113</v>
      </c>
      <c r="E1414" s="6" t="s">
        <v>60</v>
      </c>
      <c r="F1414" s="6" t="s">
        <v>58</v>
      </c>
      <c r="G1414" s="6" t="n">
        <v>13</v>
      </c>
      <c r="H1414" s="6" t="n">
        <v>999700</v>
      </c>
      <c r="I1414" s="6" t="n">
        <v>403900</v>
      </c>
      <c r="J1414" s="6" t="n">
        <v>938000</v>
      </c>
      <c r="K1414" s="6" t="n">
        <v>-61300</v>
      </c>
      <c r="L1414" s="6" t="n">
        <v>6</v>
      </c>
      <c r="M1414" s="6" t="n">
        <v>0</v>
      </c>
      <c r="N1414" s="6" t="n">
        <v>-7.00000000000003</v>
      </c>
    </row>
    <row r="1415" customFormat="false" ht="15" hidden="false" customHeight="false" outlineLevel="0" collapsed="false">
      <c r="A1415" s="6" t="s">
        <v>42</v>
      </c>
      <c r="B1415" s="6" t="s">
        <v>38</v>
      </c>
      <c r="C1415" s="6" t="s">
        <v>53</v>
      </c>
      <c r="D1415" s="6" t="s">
        <v>113</v>
      </c>
      <c r="E1415" s="6" t="s">
        <v>60</v>
      </c>
      <c r="F1415" s="6" t="s">
        <v>60</v>
      </c>
      <c r="G1415" s="6" t="n">
        <v>32</v>
      </c>
      <c r="H1415" s="6" t="n">
        <v>1857400</v>
      </c>
      <c r="I1415" s="6" t="n">
        <v>633900</v>
      </c>
      <c r="J1415" s="6" t="n">
        <v>2552300</v>
      </c>
      <c r="K1415" s="6" t="n">
        <v>695300</v>
      </c>
      <c r="L1415" s="6" t="n">
        <v>26</v>
      </c>
      <c r="M1415" s="6" t="n">
        <v>0</v>
      </c>
      <c r="N1415" s="6" t="n">
        <v>1262.2</v>
      </c>
    </row>
    <row r="1416" customFormat="false" ht="15" hidden="false" customHeight="false" outlineLevel="0" collapsed="false">
      <c r="A1416" s="6" t="s">
        <v>42</v>
      </c>
      <c r="B1416" s="6" t="s">
        <v>38</v>
      </c>
      <c r="C1416" s="6" t="s">
        <v>53</v>
      </c>
      <c r="D1416" s="6" t="s">
        <v>114</v>
      </c>
      <c r="E1416" s="6" t="s">
        <v>58</v>
      </c>
      <c r="F1416" s="6" t="s">
        <v>58</v>
      </c>
      <c r="G1416" s="6" t="n">
        <v>16</v>
      </c>
      <c r="H1416" s="6" t="n">
        <v>1369700</v>
      </c>
      <c r="I1416" s="6" t="n">
        <v>552200</v>
      </c>
      <c r="J1416" s="6" t="n">
        <v>1084900</v>
      </c>
      <c r="K1416" s="6" t="n">
        <v>-285200</v>
      </c>
      <c r="L1416" s="6" t="n">
        <v>5</v>
      </c>
      <c r="M1416" s="6" t="n">
        <v>0</v>
      </c>
      <c r="N1416" s="6" t="n">
        <v>-309.6</v>
      </c>
    </row>
    <row r="1417" customFormat="false" ht="15" hidden="false" customHeight="false" outlineLevel="0" collapsed="false">
      <c r="A1417" s="6" t="s">
        <v>42</v>
      </c>
      <c r="B1417" s="6" t="s">
        <v>38</v>
      </c>
      <c r="C1417" s="6" t="s">
        <v>53</v>
      </c>
      <c r="D1417" s="6" t="s">
        <v>114</v>
      </c>
      <c r="E1417" s="6" t="s">
        <v>58</v>
      </c>
      <c r="F1417" s="6" t="s">
        <v>60</v>
      </c>
      <c r="G1417" s="6" t="n">
        <v>45</v>
      </c>
      <c r="H1417" s="6" t="n">
        <v>2537300</v>
      </c>
      <c r="I1417" s="6" t="n">
        <v>1026000</v>
      </c>
      <c r="J1417" s="6" t="n">
        <v>3486600</v>
      </c>
      <c r="K1417" s="6" t="n">
        <v>949400</v>
      </c>
      <c r="L1417" s="6" t="n">
        <v>37</v>
      </c>
      <c r="M1417" s="6" t="n">
        <v>0</v>
      </c>
      <c r="N1417" s="6" t="n">
        <v>1845.6</v>
      </c>
    </row>
    <row r="1418" customFormat="false" ht="15" hidden="false" customHeight="false" outlineLevel="0" collapsed="false">
      <c r="A1418" s="6" t="s">
        <v>42</v>
      </c>
      <c r="B1418" s="6" t="s">
        <v>38</v>
      </c>
      <c r="C1418" s="6" t="s">
        <v>53</v>
      </c>
      <c r="D1418" s="6" t="s">
        <v>114</v>
      </c>
      <c r="E1418" s="6" t="s">
        <v>60</v>
      </c>
      <c r="F1418" s="6" t="s">
        <v>58</v>
      </c>
      <c r="G1418" s="6" t="n">
        <v>9</v>
      </c>
      <c r="H1418" s="6" t="n">
        <v>779000</v>
      </c>
      <c r="I1418" s="6" t="n">
        <v>320900</v>
      </c>
      <c r="J1418" s="6" t="n">
        <v>599900</v>
      </c>
      <c r="K1418" s="6" t="n">
        <v>-178800</v>
      </c>
      <c r="L1418" s="6" t="n">
        <v>2</v>
      </c>
      <c r="M1418" s="6" t="n">
        <v>0</v>
      </c>
      <c r="N1418" s="6" t="n">
        <v>-168.5</v>
      </c>
    </row>
    <row r="1419" customFormat="false" ht="15" hidden="false" customHeight="false" outlineLevel="0" collapsed="false">
      <c r="A1419" s="6" t="s">
        <v>42</v>
      </c>
      <c r="B1419" s="6" t="s">
        <v>38</v>
      </c>
      <c r="C1419" s="6" t="s">
        <v>53</v>
      </c>
      <c r="D1419" s="6" t="s">
        <v>114</v>
      </c>
      <c r="E1419" s="6" t="s">
        <v>60</v>
      </c>
      <c r="F1419" s="6" t="s">
        <v>60</v>
      </c>
      <c r="G1419" s="6" t="n">
        <v>24</v>
      </c>
      <c r="H1419" s="6" t="n">
        <v>1334400</v>
      </c>
      <c r="I1419" s="6" t="n">
        <v>350400</v>
      </c>
      <c r="J1419" s="6" t="n">
        <v>2166300</v>
      </c>
      <c r="K1419" s="6" t="n">
        <v>831700</v>
      </c>
      <c r="L1419" s="6" t="n">
        <v>18</v>
      </c>
      <c r="M1419" s="6" t="n">
        <v>0</v>
      </c>
      <c r="N1419" s="6" t="n">
        <v>1625.5</v>
      </c>
    </row>
    <row r="1420" customFormat="false" ht="15" hidden="false" customHeight="false" outlineLevel="0" collapsed="false">
      <c r="A1420" s="6" t="s">
        <v>42</v>
      </c>
      <c r="B1420" s="6" t="s">
        <v>38</v>
      </c>
      <c r="C1420" s="6" t="s">
        <v>51</v>
      </c>
      <c r="D1420" s="6" t="s">
        <v>111</v>
      </c>
      <c r="E1420" s="6" t="s">
        <v>58</v>
      </c>
      <c r="F1420" s="6" t="s">
        <v>58</v>
      </c>
      <c r="G1420" s="6" t="n">
        <v>12</v>
      </c>
      <c r="H1420" s="6" t="n">
        <v>1321700</v>
      </c>
      <c r="I1420" s="6" t="n">
        <v>650300</v>
      </c>
      <c r="J1420" s="6" t="n">
        <v>1215600</v>
      </c>
      <c r="K1420" s="6" t="n">
        <v>-106500</v>
      </c>
      <c r="L1420" s="6" t="n">
        <v>5</v>
      </c>
      <c r="M1420" s="6" t="n">
        <v>0</v>
      </c>
      <c r="N1420" s="6" t="n">
        <v>-103.6</v>
      </c>
    </row>
    <row r="1421" customFormat="false" ht="15" hidden="false" customHeight="false" outlineLevel="0" collapsed="false">
      <c r="A1421" s="6" t="s">
        <v>42</v>
      </c>
      <c r="B1421" s="6" t="s">
        <v>38</v>
      </c>
      <c r="C1421" s="6" t="s">
        <v>51</v>
      </c>
      <c r="D1421" s="6" t="s">
        <v>111</v>
      </c>
      <c r="E1421" s="6" t="s">
        <v>58</v>
      </c>
      <c r="F1421" s="6" t="s">
        <v>60</v>
      </c>
      <c r="G1421" s="6" t="n">
        <v>28</v>
      </c>
      <c r="H1421" s="6" t="n">
        <v>2366400</v>
      </c>
      <c r="I1421" s="6" t="n">
        <v>882900</v>
      </c>
      <c r="J1421" s="6" t="n">
        <v>2831400</v>
      </c>
      <c r="K1421" s="6" t="n">
        <v>465200</v>
      </c>
      <c r="L1421" s="6" t="n">
        <v>14</v>
      </c>
      <c r="M1421" s="6" t="n">
        <v>0</v>
      </c>
      <c r="N1421" s="6" t="n">
        <v>630.9</v>
      </c>
    </row>
    <row r="1422" customFormat="false" ht="15" hidden="false" customHeight="false" outlineLevel="0" collapsed="false">
      <c r="A1422" s="6" t="s">
        <v>42</v>
      </c>
      <c r="B1422" s="6" t="s">
        <v>38</v>
      </c>
      <c r="C1422" s="6" t="s">
        <v>51</v>
      </c>
      <c r="D1422" s="6" t="s">
        <v>111</v>
      </c>
      <c r="E1422" s="6" t="s">
        <v>60</v>
      </c>
      <c r="F1422" s="6" t="s">
        <v>58</v>
      </c>
      <c r="G1422" s="6" t="n">
        <v>8</v>
      </c>
      <c r="H1422" s="6" t="n">
        <v>830200</v>
      </c>
      <c r="I1422" s="6" t="n">
        <v>383300</v>
      </c>
      <c r="J1422" s="6" t="n">
        <v>763000</v>
      </c>
      <c r="K1422" s="6" t="n">
        <v>-67400</v>
      </c>
      <c r="L1422" s="6" t="n">
        <v>2</v>
      </c>
      <c r="M1422" s="6" t="n">
        <v>0</v>
      </c>
      <c r="N1422" s="6" t="n">
        <v>-28.9</v>
      </c>
    </row>
    <row r="1423" customFormat="false" ht="15" hidden="false" customHeight="false" outlineLevel="0" collapsed="false">
      <c r="A1423" s="6" t="s">
        <v>42</v>
      </c>
      <c r="B1423" s="6" t="s">
        <v>38</v>
      </c>
      <c r="C1423" s="6" t="s">
        <v>51</v>
      </c>
      <c r="D1423" s="6" t="s">
        <v>111</v>
      </c>
      <c r="E1423" s="6" t="s">
        <v>60</v>
      </c>
      <c r="F1423" s="6" t="s">
        <v>60</v>
      </c>
      <c r="G1423" s="6" t="n">
        <v>10</v>
      </c>
      <c r="H1423" s="6" t="n">
        <v>792100</v>
      </c>
      <c r="I1423" s="6" t="n">
        <v>394400</v>
      </c>
      <c r="J1423" s="6" t="n">
        <v>1104900</v>
      </c>
      <c r="K1423" s="6" t="n">
        <v>313000</v>
      </c>
      <c r="L1423" s="6" t="n">
        <v>8</v>
      </c>
      <c r="M1423" s="6" t="n">
        <v>0</v>
      </c>
      <c r="N1423" s="6" t="n">
        <v>413.4</v>
      </c>
    </row>
    <row r="1424" customFormat="false" ht="15" hidden="false" customHeight="false" outlineLevel="0" collapsed="false">
      <c r="A1424" s="6" t="s">
        <v>42</v>
      </c>
      <c r="B1424" s="6" t="s">
        <v>38</v>
      </c>
      <c r="C1424" s="6" t="s">
        <v>51</v>
      </c>
      <c r="D1424" s="6" t="s">
        <v>112</v>
      </c>
      <c r="E1424" s="6" t="s">
        <v>58</v>
      </c>
      <c r="F1424" s="6" t="s">
        <v>58</v>
      </c>
      <c r="G1424" s="6" t="n">
        <v>17</v>
      </c>
      <c r="H1424" s="6" t="n">
        <v>2030300</v>
      </c>
      <c r="I1424" s="6" t="n">
        <v>1062600</v>
      </c>
      <c r="J1424" s="6" t="n">
        <v>1385300</v>
      </c>
      <c r="K1424" s="6" t="n">
        <v>-645200</v>
      </c>
      <c r="L1424" s="6" t="n">
        <v>3</v>
      </c>
      <c r="M1424" s="6" t="n">
        <v>0</v>
      </c>
      <c r="N1424" s="6" t="n">
        <v>-437.3</v>
      </c>
    </row>
    <row r="1425" customFormat="false" ht="15" hidden="false" customHeight="false" outlineLevel="0" collapsed="false">
      <c r="A1425" s="6" t="s">
        <v>42</v>
      </c>
      <c r="B1425" s="6" t="s">
        <v>38</v>
      </c>
      <c r="C1425" s="6" t="s">
        <v>51</v>
      </c>
      <c r="D1425" s="6" t="s">
        <v>112</v>
      </c>
      <c r="E1425" s="6" t="s">
        <v>58</v>
      </c>
      <c r="F1425" s="6" t="s">
        <v>60</v>
      </c>
      <c r="G1425" s="6" t="n">
        <v>40</v>
      </c>
      <c r="H1425" s="6" t="n">
        <v>3427600</v>
      </c>
      <c r="I1425" s="6" t="n">
        <v>1435200</v>
      </c>
      <c r="J1425" s="6" t="n">
        <v>4073000</v>
      </c>
      <c r="K1425" s="6" t="n">
        <v>646100</v>
      </c>
      <c r="L1425" s="6" t="n">
        <v>22</v>
      </c>
      <c r="M1425" s="6" t="n">
        <v>0</v>
      </c>
      <c r="N1425" s="6" t="n">
        <v>927.2</v>
      </c>
    </row>
    <row r="1426" customFormat="false" ht="15" hidden="false" customHeight="false" outlineLevel="0" collapsed="false">
      <c r="A1426" s="6" t="s">
        <v>42</v>
      </c>
      <c r="B1426" s="6" t="s">
        <v>38</v>
      </c>
      <c r="C1426" s="6" t="s">
        <v>51</v>
      </c>
      <c r="D1426" s="6" t="s">
        <v>112</v>
      </c>
      <c r="E1426" s="6" t="s">
        <v>60</v>
      </c>
      <c r="F1426" s="6" t="s">
        <v>58</v>
      </c>
      <c r="G1426" s="6" t="n">
        <v>6</v>
      </c>
      <c r="H1426" s="6" t="n">
        <v>809000</v>
      </c>
      <c r="I1426" s="6" t="n">
        <v>501200</v>
      </c>
      <c r="J1426" s="6" t="n">
        <v>703100</v>
      </c>
      <c r="K1426" s="6" t="n">
        <v>-106200</v>
      </c>
      <c r="L1426" s="6" t="n">
        <v>2</v>
      </c>
      <c r="M1426" s="6" t="n">
        <v>0</v>
      </c>
      <c r="N1426" s="6" t="n">
        <v>-66.8</v>
      </c>
    </row>
    <row r="1427" customFormat="false" ht="15" hidden="false" customHeight="false" outlineLevel="0" collapsed="false">
      <c r="A1427" s="6" t="s">
        <v>42</v>
      </c>
      <c r="B1427" s="6" t="s">
        <v>38</v>
      </c>
      <c r="C1427" s="6" t="s">
        <v>51</v>
      </c>
      <c r="D1427" s="6" t="s">
        <v>112</v>
      </c>
      <c r="E1427" s="6" t="s">
        <v>60</v>
      </c>
      <c r="F1427" s="6" t="s">
        <v>60</v>
      </c>
      <c r="G1427" s="6" t="n">
        <v>20</v>
      </c>
      <c r="H1427" s="6" t="n">
        <v>1630800</v>
      </c>
      <c r="I1427" s="6" t="n">
        <v>543500</v>
      </c>
      <c r="J1427" s="6" t="n">
        <v>2082600</v>
      </c>
      <c r="K1427" s="6" t="n">
        <v>451700</v>
      </c>
      <c r="L1427" s="6" t="n">
        <v>13</v>
      </c>
      <c r="M1427" s="6" t="n">
        <v>0</v>
      </c>
      <c r="N1427" s="6" t="n">
        <v>622.8</v>
      </c>
    </row>
    <row r="1428" customFormat="false" ht="15" hidden="false" customHeight="false" outlineLevel="0" collapsed="false">
      <c r="A1428" s="6" t="s">
        <v>42</v>
      </c>
      <c r="B1428" s="6" t="s">
        <v>38</v>
      </c>
      <c r="C1428" s="6" t="s">
        <v>51</v>
      </c>
      <c r="D1428" s="6" t="s">
        <v>113</v>
      </c>
      <c r="E1428" s="6" t="s">
        <v>58</v>
      </c>
      <c r="F1428" s="6" t="s">
        <v>58</v>
      </c>
      <c r="G1428" s="6" t="n">
        <v>14</v>
      </c>
      <c r="H1428" s="6" t="n">
        <v>1738100</v>
      </c>
      <c r="I1428" s="6" t="n">
        <v>951900</v>
      </c>
      <c r="J1428" s="6" t="n">
        <v>1295700</v>
      </c>
      <c r="K1428" s="6" t="n">
        <v>-442400</v>
      </c>
      <c r="L1428" s="6" t="n">
        <v>2</v>
      </c>
      <c r="M1428" s="6" t="n">
        <v>0</v>
      </c>
      <c r="N1428" s="6" t="n">
        <v>-316</v>
      </c>
    </row>
    <row r="1429" customFormat="false" ht="15" hidden="false" customHeight="false" outlineLevel="0" collapsed="false">
      <c r="A1429" s="6" t="s">
        <v>42</v>
      </c>
      <c r="B1429" s="6" t="s">
        <v>38</v>
      </c>
      <c r="C1429" s="6" t="s">
        <v>51</v>
      </c>
      <c r="D1429" s="6" t="s">
        <v>113</v>
      </c>
      <c r="E1429" s="6" t="s">
        <v>58</v>
      </c>
      <c r="F1429" s="6" t="s">
        <v>60</v>
      </c>
      <c r="G1429" s="6" t="n">
        <v>27</v>
      </c>
      <c r="H1429" s="6" t="n">
        <v>2102400</v>
      </c>
      <c r="I1429" s="6" t="n">
        <v>745000</v>
      </c>
      <c r="J1429" s="6" t="n">
        <v>3047500</v>
      </c>
      <c r="K1429" s="6" t="n">
        <v>945000</v>
      </c>
      <c r="L1429" s="6" t="n">
        <v>20</v>
      </c>
      <c r="M1429" s="6" t="n">
        <v>0</v>
      </c>
      <c r="N1429" s="6" t="n">
        <v>1362.9</v>
      </c>
    </row>
    <row r="1430" customFormat="false" ht="15" hidden="false" customHeight="false" outlineLevel="0" collapsed="false">
      <c r="A1430" s="6" t="s">
        <v>42</v>
      </c>
      <c r="B1430" s="6" t="s">
        <v>38</v>
      </c>
      <c r="C1430" s="6" t="s">
        <v>51</v>
      </c>
      <c r="D1430" s="6" t="s">
        <v>113</v>
      </c>
      <c r="E1430" s="6" t="s">
        <v>60</v>
      </c>
      <c r="F1430" s="6" t="s">
        <v>58</v>
      </c>
      <c r="G1430" s="6" t="n">
        <v>13</v>
      </c>
      <c r="H1430" s="6" t="n">
        <v>1538600</v>
      </c>
      <c r="I1430" s="6" t="n">
        <v>647000</v>
      </c>
      <c r="J1430" s="6" t="n">
        <v>1547700</v>
      </c>
      <c r="K1430" s="6" t="n">
        <v>9200</v>
      </c>
      <c r="L1430" s="6" t="n">
        <v>4</v>
      </c>
      <c r="M1430" s="6" t="n">
        <v>0</v>
      </c>
      <c r="N1430" s="6" t="n">
        <v>69.6</v>
      </c>
    </row>
    <row r="1431" customFormat="false" ht="15" hidden="false" customHeight="false" outlineLevel="0" collapsed="false">
      <c r="A1431" s="6" t="s">
        <v>42</v>
      </c>
      <c r="B1431" s="6" t="s">
        <v>38</v>
      </c>
      <c r="C1431" s="6" t="s">
        <v>51</v>
      </c>
      <c r="D1431" s="6" t="s">
        <v>113</v>
      </c>
      <c r="E1431" s="6" t="s">
        <v>60</v>
      </c>
      <c r="F1431" s="6" t="s">
        <v>60</v>
      </c>
      <c r="G1431" s="6" t="n">
        <v>22</v>
      </c>
      <c r="H1431" s="6" t="n">
        <v>1670900</v>
      </c>
      <c r="I1431" s="6" t="n">
        <v>560500</v>
      </c>
      <c r="J1431" s="6" t="n">
        <v>3021000</v>
      </c>
      <c r="K1431" s="6" t="n">
        <v>1350100</v>
      </c>
      <c r="L1431" s="6" t="n">
        <v>20</v>
      </c>
      <c r="M1431" s="6" t="n">
        <v>0</v>
      </c>
      <c r="N1431" s="6" t="n">
        <v>1899.8</v>
      </c>
    </row>
    <row r="1432" customFormat="false" ht="15" hidden="false" customHeight="false" outlineLevel="0" collapsed="false">
      <c r="A1432" s="6" t="s">
        <v>42</v>
      </c>
      <c r="B1432" s="6" t="s">
        <v>38</v>
      </c>
      <c r="C1432" s="6" t="s">
        <v>51</v>
      </c>
      <c r="D1432" s="6" t="s">
        <v>114</v>
      </c>
      <c r="E1432" s="6" t="s">
        <v>58</v>
      </c>
      <c r="F1432" s="6" t="s">
        <v>58</v>
      </c>
      <c r="G1432" s="6" t="n">
        <v>14</v>
      </c>
      <c r="H1432" s="6" t="n">
        <v>1667700</v>
      </c>
      <c r="I1432" s="6" t="n">
        <v>687100</v>
      </c>
      <c r="J1432" s="6" t="n">
        <v>1275700</v>
      </c>
      <c r="K1432" s="6" t="n">
        <v>-391700</v>
      </c>
      <c r="L1432" s="6" t="n">
        <v>4</v>
      </c>
      <c r="M1432" s="6" t="n">
        <v>0</v>
      </c>
      <c r="N1432" s="6" t="n">
        <v>-266</v>
      </c>
    </row>
    <row r="1433" customFormat="false" ht="15" hidden="false" customHeight="false" outlineLevel="0" collapsed="false">
      <c r="A1433" s="6" t="s">
        <v>42</v>
      </c>
      <c r="B1433" s="6" t="s">
        <v>38</v>
      </c>
      <c r="C1433" s="6" t="s">
        <v>51</v>
      </c>
      <c r="D1433" s="6" t="s">
        <v>114</v>
      </c>
      <c r="E1433" s="6" t="s">
        <v>58</v>
      </c>
      <c r="F1433" s="6" t="s">
        <v>60</v>
      </c>
      <c r="G1433" s="6" t="n">
        <v>30</v>
      </c>
      <c r="H1433" s="6" t="n">
        <v>2473800</v>
      </c>
      <c r="I1433" s="6" t="n">
        <v>934800</v>
      </c>
      <c r="J1433" s="6" t="n">
        <v>3061500</v>
      </c>
      <c r="K1433" s="6" t="n">
        <v>587900</v>
      </c>
      <c r="L1433" s="6" t="n">
        <v>18</v>
      </c>
      <c r="M1433" s="6" t="n">
        <v>0</v>
      </c>
      <c r="N1433" s="6" t="n">
        <v>879.5</v>
      </c>
    </row>
    <row r="1434" customFormat="false" ht="15" hidden="false" customHeight="false" outlineLevel="0" collapsed="false">
      <c r="A1434" s="6" t="s">
        <v>42</v>
      </c>
      <c r="B1434" s="6" t="s">
        <v>38</v>
      </c>
      <c r="C1434" s="6" t="s">
        <v>51</v>
      </c>
      <c r="D1434" s="6" t="s">
        <v>114</v>
      </c>
      <c r="E1434" s="6" t="s">
        <v>60</v>
      </c>
      <c r="F1434" s="6" t="s">
        <v>58</v>
      </c>
      <c r="G1434" s="6" t="n">
        <v>10</v>
      </c>
      <c r="H1434" s="6" t="n">
        <v>1230900</v>
      </c>
      <c r="I1434" s="6" t="n">
        <v>522400</v>
      </c>
      <c r="J1434" s="6" t="n">
        <v>1185500</v>
      </c>
      <c r="K1434" s="6" t="n">
        <v>-45400</v>
      </c>
      <c r="L1434" s="6" t="n">
        <v>5</v>
      </c>
      <c r="M1434" s="6" t="n">
        <v>0</v>
      </c>
      <c r="N1434" s="6" t="n">
        <v>20.9</v>
      </c>
    </row>
    <row r="1435" customFormat="false" ht="15" hidden="false" customHeight="false" outlineLevel="0" collapsed="false">
      <c r="A1435" s="6" t="s">
        <v>42</v>
      </c>
      <c r="B1435" s="6" t="s">
        <v>38</v>
      </c>
      <c r="C1435" s="6" t="s">
        <v>51</v>
      </c>
      <c r="D1435" s="6" t="s">
        <v>114</v>
      </c>
      <c r="E1435" s="6" t="s">
        <v>60</v>
      </c>
      <c r="F1435" s="6" t="s">
        <v>60</v>
      </c>
      <c r="G1435" s="6" t="n">
        <v>14</v>
      </c>
      <c r="H1435" s="6" t="n">
        <v>1250400</v>
      </c>
      <c r="I1435" s="6" t="n">
        <v>704700</v>
      </c>
      <c r="J1435" s="6" t="n">
        <v>1728700</v>
      </c>
      <c r="K1435" s="6" t="n">
        <v>478200</v>
      </c>
      <c r="L1435" s="6" t="n">
        <v>10</v>
      </c>
      <c r="M1435" s="6" t="n">
        <v>0</v>
      </c>
      <c r="N1435" s="6" t="n">
        <v>581.6</v>
      </c>
    </row>
    <row r="1436" customFormat="false" ht="15" hidden="false" customHeight="false" outlineLevel="0" collapsed="false">
      <c r="A1436" s="6" t="s">
        <v>41</v>
      </c>
      <c r="B1436" s="6" t="s">
        <v>38</v>
      </c>
      <c r="C1436" s="6" t="s">
        <v>54</v>
      </c>
      <c r="D1436" s="6" t="s">
        <v>111</v>
      </c>
      <c r="E1436" s="6" t="s">
        <v>58</v>
      </c>
      <c r="F1436" s="6" t="s">
        <v>58</v>
      </c>
      <c r="G1436" s="6" t="n">
        <v>4</v>
      </c>
      <c r="H1436" s="6" t="n">
        <v>606600</v>
      </c>
      <c r="I1436" s="6" t="n">
        <v>180400</v>
      </c>
      <c r="J1436" s="6" t="n">
        <v>204900</v>
      </c>
      <c r="K1436" s="6" t="n">
        <v>-401700</v>
      </c>
      <c r="L1436" s="6" t="n">
        <v>0</v>
      </c>
      <c r="M1436" s="6" t="n">
        <v>0</v>
      </c>
      <c r="N1436" s="6" t="n">
        <v>-261.9</v>
      </c>
    </row>
    <row r="1437" customFormat="false" ht="15" hidden="false" customHeight="false" outlineLevel="0" collapsed="false">
      <c r="A1437" s="6" t="s">
        <v>41</v>
      </c>
      <c r="B1437" s="6" t="s">
        <v>38</v>
      </c>
      <c r="C1437" s="6" t="s">
        <v>54</v>
      </c>
      <c r="D1437" s="6" t="s">
        <v>111</v>
      </c>
      <c r="E1437" s="6" t="s">
        <v>58</v>
      </c>
      <c r="F1437" s="6" t="s">
        <v>60</v>
      </c>
      <c r="G1437" s="6" t="n">
        <v>10</v>
      </c>
      <c r="H1437" s="6" t="n">
        <v>1139900</v>
      </c>
      <c r="I1437" s="6" t="n">
        <v>526500</v>
      </c>
      <c r="J1437" s="6" t="n">
        <v>604400</v>
      </c>
      <c r="K1437" s="6" t="n">
        <v>-535300</v>
      </c>
      <c r="L1437" s="6" t="n">
        <v>0</v>
      </c>
      <c r="M1437" s="6" t="n">
        <v>0</v>
      </c>
      <c r="N1437" s="6" t="n">
        <v>-436.7</v>
      </c>
    </row>
    <row r="1438" customFormat="false" ht="15" hidden="false" customHeight="false" outlineLevel="0" collapsed="false">
      <c r="A1438" s="6" t="s">
        <v>41</v>
      </c>
      <c r="B1438" s="6" t="s">
        <v>38</v>
      </c>
      <c r="C1438" s="6" t="s">
        <v>54</v>
      </c>
      <c r="D1438" s="6" t="s">
        <v>111</v>
      </c>
      <c r="E1438" s="6" t="s">
        <v>60</v>
      </c>
      <c r="F1438" s="6" t="s">
        <v>58</v>
      </c>
      <c r="G1438" s="6" t="n">
        <v>4</v>
      </c>
      <c r="H1438" s="6" t="n">
        <v>626200</v>
      </c>
      <c r="I1438" s="6" t="n">
        <v>388900</v>
      </c>
      <c r="J1438" s="6" t="n">
        <v>283200</v>
      </c>
      <c r="K1438" s="6" t="n">
        <v>-343100</v>
      </c>
      <c r="L1438" s="6" t="n">
        <v>0</v>
      </c>
      <c r="M1438" s="6" t="n">
        <v>0</v>
      </c>
      <c r="N1438" s="6" t="n">
        <v>-214.2</v>
      </c>
    </row>
    <row r="1439" customFormat="false" ht="15" hidden="false" customHeight="false" outlineLevel="0" collapsed="false">
      <c r="A1439" s="6" t="s">
        <v>41</v>
      </c>
      <c r="B1439" s="6" t="s">
        <v>38</v>
      </c>
      <c r="C1439" s="6" t="s">
        <v>54</v>
      </c>
      <c r="D1439" s="6" t="s">
        <v>111</v>
      </c>
      <c r="E1439" s="6" t="s">
        <v>60</v>
      </c>
      <c r="F1439" s="6" t="s">
        <v>60</v>
      </c>
      <c r="G1439" s="6" t="n">
        <v>6</v>
      </c>
      <c r="H1439" s="6" t="n">
        <v>701000</v>
      </c>
      <c r="I1439" s="6" t="n">
        <v>284100</v>
      </c>
      <c r="J1439" s="6" t="n">
        <v>374900</v>
      </c>
      <c r="K1439" s="6" t="n">
        <v>-326100</v>
      </c>
      <c r="L1439" s="6" t="n">
        <v>1</v>
      </c>
      <c r="M1439" s="6" t="n">
        <v>0</v>
      </c>
      <c r="N1439" s="6" t="n">
        <v>-268.8</v>
      </c>
    </row>
    <row r="1440" customFormat="false" ht="15" hidden="false" customHeight="false" outlineLevel="0" collapsed="false">
      <c r="A1440" s="6" t="s">
        <v>41</v>
      </c>
      <c r="B1440" s="6" t="s">
        <v>38</v>
      </c>
      <c r="C1440" s="6" t="s">
        <v>54</v>
      </c>
      <c r="D1440" s="6" t="s">
        <v>112</v>
      </c>
      <c r="E1440" s="6" t="s">
        <v>58</v>
      </c>
      <c r="F1440" s="6" t="s">
        <v>58</v>
      </c>
      <c r="G1440" s="6" t="n">
        <v>9</v>
      </c>
      <c r="H1440" s="6" t="n">
        <v>1334800</v>
      </c>
      <c r="I1440" s="6" t="n">
        <v>792200</v>
      </c>
      <c r="J1440" s="6" t="n">
        <v>469900</v>
      </c>
      <c r="K1440" s="6" t="n">
        <v>-864900</v>
      </c>
      <c r="L1440" s="6" t="n">
        <v>0</v>
      </c>
      <c r="M1440" s="6" t="n">
        <v>0</v>
      </c>
      <c r="N1440" s="6" t="n">
        <v>-572.5</v>
      </c>
    </row>
    <row r="1441" customFormat="false" ht="15" hidden="false" customHeight="false" outlineLevel="0" collapsed="false">
      <c r="A1441" s="6" t="s">
        <v>41</v>
      </c>
      <c r="B1441" s="6" t="s">
        <v>38</v>
      </c>
      <c r="C1441" s="6" t="s">
        <v>54</v>
      </c>
      <c r="D1441" s="6" t="s">
        <v>112</v>
      </c>
      <c r="E1441" s="6" t="s">
        <v>58</v>
      </c>
      <c r="F1441" s="6" t="s">
        <v>60</v>
      </c>
      <c r="G1441" s="6" t="n">
        <v>15</v>
      </c>
      <c r="H1441" s="6" t="n">
        <v>1637000</v>
      </c>
      <c r="I1441" s="6" t="n">
        <v>819400</v>
      </c>
      <c r="J1441" s="6" t="n">
        <v>973700</v>
      </c>
      <c r="K1441" s="6" t="n">
        <v>-663100</v>
      </c>
      <c r="L1441" s="6" t="n">
        <v>1</v>
      </c>
      <c r="M1441" s="6" t="n">
        <v>0</v>
      </c>
      <c r="N1441" s="6" t="n">
        <v>-569.3</v>
      </c>
    </row>
    <row r="1442" customFormat="false" ht="15" hidden="false" customHeight="false" outlineLevel="0" collapsed="false">
      <c r="A1442" s="6" t="s">
        <v>41</v>
      </c>
      <c r="B1442" s="6" t="s">
        <v>38</v>
      </c>
      <c r="C1442" s="6" t="s">
        <v>54</v>
      </c>
      <c r="D1442" s="6" t="s">
        <v>112</v>
      </c>
      <c r="E1442" s="6" t="s">
        <v>60</v>
      </c>
      <c r="F1442" s="6" t="s">
        <v>58</v>
      </c>
      <c r="G1442" s="6" t="n">
        <v>3</v>
      </c>
      <c r="H1442" s="6" t="n">
        <v>437400</v>
      </c>
      <c r="I1442" s="6" t="n">
        <v>169600</v>
      </c>
      <c r="J1442" s="6" t="n">
        <v>253500</v>
      </c>
      <c r="K1442" s="6" t="n">
        <v>-183900</v>
      </c>
      <c r="L1442" s="6" t="n">
        <v>0</v>
      </c>
      <c r="M1442" s="6" t="n">
        <v>0</v>
      </c>
      <c r="N1442" s="6" t="n">
        <v>-126.7</v>
      </c>
    </row>
    <row r="1443" customFormat="false" ht="15" hidden="false" customHeight="false" outlineLevel="0" collapsed="false">
      <c r="A1443" s="6" t="s">
        <v>41</v>
      </c>
      <c r="B1443" s="6" t="s">
        <v>38</v>
      </c>
      <c r="C1443" s="6" t="s">
        <v>54</v>
      </c>
      <c r="D1443" s="6" t="s">
        <v>112</v>
      </c>
      <c r="E1443" s="6" t="s">
        <v>60</v>
      </c>
      <c r="F1443" s="6" t="s">
        <v>60</v>
      </c>
      <c r="G1443" s="6" t="n">
        <v>6</v>
      </c>
      <c r="H1443" s="6" t="n">
        <v>699900</v>
      </c>
      <c r="I1443" s="6" t="n">
        <v>79900</v>
      </c>
      <c r="J1443" s="6" t="n">
        <v>367400</v>
      </c>
      <c r="K1443" s="6" t="n">
        <v>-332800</v>
      </c>
      <c r="L1443" s="6" t="n">
        <v>1</v>
      </c>
      <c r="M1443" s="6" t="n">
        <v>0</v>
      </c>
      <c r="N1443" s="6" t="n">
        <v>-265.8</v>
      </c>
    </row>
    <row r="1444" customFormat="false" ht="15" hidden="false" customHeight="false" outlineLevel="0" collapsed="false">
      <c r="A1444" s="6" t="s">
        <v>41</v>
      </c>
      <c r="B1444" s="6" t="s">
        <v>38</v>
      </c>
      <c r="C1444" s="6" t="s">
        <v>54</v>
      </c>
      <c r="D1444" s="6" t="s">
        <v>113</v>
      </c>
      <c r="E1444" s="6" t="s">
        <v>58</v>
      </c>
      <c r="F1444" s="6" t="s">
        <v>58</v>
      </c>
      <c r="G1444" s="6" t="n">
        <v>10</v>
      </c>
      <c r="H1444" s="6" t="n">
        <v>1423200</v>
      </c>
      <c r="I1444" s="6" t="n">
        <v>490100</v>
      </c>
      <c r="J1444" s="6" t="n">
        <v>508200</v>
      </c>
      <c r="K1444" s="6" t="n">
        <v>-915100</v>
      </c>
      <c r="L1444" s="6" t="n">
        <v>0</v>
      </c>
      <c r="M1444" s="6" t="n">
        <v>0</v>
      </c>
      <c r="N1444" s="6" t="n">
        <v>-639.7</v>
      </c>
    </row>
    <row r="1445" customFormat="false" ht="15" hidden="false" customHeight="false" outlineLevel="0" collapsed="false">
      <c r="A1445" s="6" t="s">
        <v>41</v>
      </c>
      <c r="B1445" s="6" t="s">
        <v>38</v>
      </c>
      <c r="C1445" s="6" t="s">
        <v>54</v>
      </c>
      <c r="D1445" s="6" t="s">
        <v>113</v>
      </c>
      <c r="E1445" s="6" t="s">
        <v>58</v>
      </c>
      <c r="F1445" s="6" t="s">
        <v>60</v>
      </c>
      <c r="G1445" s="6" t="n">
        <v>18</v>
      </c>
      <c r="H1445" s="6" t="n">
        <v>1897600</v>
      </c>
      <c r="I1445" s="6" t="n">
        <v>972200</v>
      </c>
      <c r="J1445" s="6" t="n">
        <v>1178300</v>
      </c>
      <c r="K1445" s="6" t="n">
        <v>-719500</v>
      </c>
      <c r="L1445" s="6" t="n">
        <v>2</v>
      </c>
      <c r="M1445" s="6" t="n">
        <v>0</v>
      </c>
      <c r="N1445" s="6" t="n">
        <v>-656</v>
      </c>
    </row>
    <row r="1446" customFormat="false" ht="15" hidden="false" customHeight="false" outlineLevel="0" collapsed="false">
      <c r="A1446" s="6" t="s">
        <v>41</v>
      </c>
      <c r="B1446" s="6" t="s">
        <v>38</v>
      </c>
      <c r="C1446" s="6" t="s">
        <v>54</v>
      </c>
      <c r="D1446" s="6" t="s">
        <v>113</v>
      </c>
      <c r="E1446" s="6" t="s">
        <v>60</v>
      </c>
      <c r="F1446" s="6" t="s">
        <v>58</v>
      </c>
      <c r="G1446" s="6" t="n">
        <v>1</v>
      </c>
      <c r="H1446" s="6" t="n">
        <v>144800</v>
      </c>
      <c r="I1446" s="6" t="n">
        <v>126400</v>
      </c>
      <c r="J1446" s="6" t="n">
        <v>48600</v>
      </c>
      <c r="K1446" s="6" t="n">
        <v>-96200</v>
      </c>
      <c r="L1446" s="6" t="n">
        <v>0</v>
      </c>
      <c r="M1446" s="6" t="n">
        <v>0</v>
      </c>
      <c r="N1446" s="6" t="n">
        <v>-66.4</v>
      </c>
    </row>
    <row r="1447" customFormat="false" ht="15" hidden="false" customHeight="false" outlineLevel="0" collapsed="false">
      <c r="A1447" s="6" t="s">
        <v>41</v>
      </c>
      <c r="B1447" s="6" t="s">
        <v>38</v>
      </c>
      <c r="C1447" s="6" t="s">
        <v>54</v>
      </c>
      <c r="D1447" s="6" t="s">
        <v>113</v>
      </c>
      <c r="E1447" s="6" t="s">
        <v>60</v>
      </c>
      <c r="F1447" s="6" t="s">
        <v>60</v>
      </c>
      <c r="G1447" s="6" t="n">
        <v>16</v>
      </c>
      <c r="H1447" s="6" t="n">
        <v>1652500</v>
      </c>
      <c r="I1447" s="6" t="n">
        <v>834100</v>
      </c>
      <c r="J1447" s="6" t="n">
        <v>970400</v>
      </c>
      <c r="K1447" s="6" t="n">
        <v>-682300</v>
      </c>
      <c r="L1447" s="6" t="n">
        <v>1</v>
      </c>
      <c r="M1447" s="6" t="n">
        <v>0</v>
      </c>
      <c r="N1447" s="6" t="n">
        <v>-650.8</v>
      </c>
    </row>
    <row r="1448" customFormat="false" ht="15" hidden="false" customHeight="false" outlineLevel="0" collapsed="false">
      <c r="A1448" s="6" t="s">
        <v>41</v>
      </c>
      <c r="B1448" s="6" t="s">
        <v>38</v>
      </c>
      <c r="C1448" s="6" t="s">
        <v>54</v>
      </c>
      <c r="D1448" s="6" t="s">
        <v>114</v>
      </c>
      <c r="E1448" s="6" t="s">
        <v>58</v>
      </c>
      <c r="F1448" s="6" t="s">
        <v>58</v>
      </c>
      <c r="G1448" s="6" t="n">
        <v>7</v>
      </c>
      <c r="H1448" s="6" t="n">
        <v>1022700</v>
      </c>
      <c r="I1448" s="6" t="n">
        <v>617200</v>
      </c>
      <c r="J1448" s="6" t="n">
        <v>387600</v>
      </c>
      <c r="K1448" s="6" t="n">
        <v>-635400</v>
      </c>
      <c r="L1448" s="6" t="n">
        <v>0</v>
      </c>
      <c r="M1448" s="6" t="n">
        <v>0</v>
      </c>
      <c r="N1448" s="6" t="n">
        <v>-416.9</v>
      </c>
    </row>
    <row r="1449" customFormat="false" ht="15" hidden="false" customHeight="false" outlineLevel="0" collapsed="false">
      <c r="A1449" s="6" t="s">
        <v>41</v>
      </c>
      <c r="B1449" s="6" t="s">
        <v>38</v>
      </c>
      <c r="C1449" s="6" t="s">
        <v>54</v>
      </c>
      <c r="D1449" s="6" t="s">
        <v>114</v>
      </c>
      <c r="E1449" s="6" t="s">
        <v>58</v>
      </c>
      <c r="F1449" s="6" t="s">
        <v>60</v>
      </c>
      <c r="G1449" s="6" t="n">
        <v>6</v>
      </c>
      <c r="H1449" s="6" t="n">
        <v>640400</v>
      </c>
      <c r="I1449" s="6" t="n">
        <v>267300</v>
      </c>
      <c r="J1449" s="6" t="n">
        <v>392900</v>
      </c>
      <c r="K1449" s="6" t="n">
        <v>-247500</v>
      </c>
      <c r="L1449" s="6" t="n">
        <v>0</v>
      </c>
      <c r="M1449" s="6" t="n">
        <v>0</v>
      </c>
      <c r="N1449" s="6" t="n">
        <v>-220.6</v>
      </c>
    </row>
    <row r="1450" customFormat="false" ht="15" hidden="false" customHeight="false" outlineLevel="0" collapsed="false">
      <c r="A1450" s="6" t="s">
        <v>41</v>
      </c>
      <c r="B1450" s="6" t="s">
        <v>38</v>
      </c>
      <c r="C1450" s="6" t="s">
        <v>54</v>
      </c>
      <c r="D1450" s="6" t="s">
        <v>114</v>
      </c>
      <c r="E1450" s="6" t="s">
        <v>60</v>
      </c>
      <c r="F1450" s="6" t="s">
        <v>58</v>
      </c>
      <c r="G1450" s="6" t="n">
        <v>6</v>
      </c>
      <c r="H1450" s="6" t="n">
        <v>942800</v>
      </c>
      <c r="I1450" s="6" t="n">
        <v>203200</v>
      </c>
      <c r="J1450" s="6" t="n">
        <v>280500</v>
      </c>
      <c r="K1450" s="6" t="n">
        <v>-662200</v>
      </c>
      <c r="L1450" s="6" t="n">
        <v>0</v>
      </c>
      <c r="M1450" s="6" t="n">
        <v>0</v>
      </c>
      <c r="N1450" s="6" t="n">
        <v>-418.7</v>
      </c>
    </row>
    <row r="1451" customFormat="false" ht="15" hidden="false" customHeight="false" outlineLevel="0" collapsed="false">
      <c r="A1451" s="6" t="s">
        <v>41</v>
      </c>
      <c r="B1451" s="6" t="s">
        <v>38</v>
      </c>
      <c r="C1451" s="6" t="s">
        <v>54</v>
      </c>
      <c r="D1451" s="6" t="s">
        <v>114</v>
      </c>
      <c r="E1451" s="6" t="s">
        <v>60</v>
      </c>
      <c r="F1451" s="6" t="s">
        <v>60</v>
      </c>
      <c r="G1451" s="6" t="n">
        <v>7</v>
      </c>
      <c r="H1451" s="6" t="n">
        <v>753700</v>
      </c>
      <c r="I1451" s="6" t="n">
        <v>216900</v>
      </c>
      <c r="J1451" s="6" t="n">
        <v>404300</v>
      </c>
      <c r="K1451" s="6" t="n">
        <v>-349500</v>
      </c>
      <c r="L1451" s="6" t="n">
        <v>1</v>
      </c>
      <c r="M1451" s="6" t="n">
        <v>0</v>
      </c>
      <c r="N1451" s="6" t="n">
        <v>-300.4</v>
      </c>
    </row>
    <row r="1452" customFormat="false" ht="15" hidden="false" customHeight="false" outlineLevel="0" collapsed="false">
      <c r="A1452" s="6" t="s">
        <v>41</v>
      </c>
      <c r="B1452" s="6" t="s">
        <v>38</v>
      </c>
      <c r="C1452" s="6" t="s">
        <v>50</v>
      </c>
      <c r="D1452" s="6" t="s">
        <v>111</v>
      </c>
      <c r="E1452" s="6" t="s">
        <v>58</v>
      </c>
      <c r="F1452" s="6" t="s">
        <v>58</v>
      </c>
      <c r="G1452" s="6" t="n">
        <v>3</v>
      </c>
      <c r="H1452" s="6" t="n">
        <v>578000</v>
      </c>
      <c r="I1452" s="6" t="n">
        <v>195300</v>
      </c>
      <c r="J1452" s="6" t="n">
        <v>351000</v>
      </c>
      <c r="K1452" s="6" t="n">
        <v>-227000</v>
      </c>
      <c r="L1452" s="6" t="n">
        <v>0</v>
      </c>
      <c r="M1452" s="6" t="n">
        <v>0</v>
      </c>
      <c r="N1452" s="6" t="n">
        <v>-117.1</v>
      </c>
    </row>
    <row r="1453" customFormat="false" ht="15" hidden="false" customHeight="false" outlineLevel="0" collapsed="false">
      <c r="A1453" s="6" t="s">
        <v>41</v>
      </c>
      <c r="B1453" s="6" t="s">
        <v>38</v>
      </c>
      <c r="C1453" s="6" t="s">
        <v>50</v>
      </c>
      <c r="D1453" s="6" t="s">
        <v>111</v>
      </c>
      <c r="E1453" s="6" t="s">
        <v>58</v>
      </c>
      <c r="F1453" s="6" t="s">
        <v>60</v>
      </c>
      <c r="G1453" s="6" t="n">
        <v>3</v>
      </c>
      <c r="H1453" s="6" t="n">
        <v>348600</v>
      </c>
      <c r="I1453" s="6" t="n">
        <v>191500</v>
      </c>
      <c r="J1453" s="6" t="n">
        <v>445500</v>
      </c>
      <c r="K1453" s="6" t="n">
        <v>96900</v>
      </c>
      <c r="L1453" s="6" t="n">
        <v>2</v>
      </c>
      <c r="M1453" s="6" t="n">
        <v>0</v>
      </c>
      <c r="N1453" s="6" t="n">
        <v>83.2</v>
      </c>
    </row>
    <row r="1454" customFormat="false" ht="15" hidden="false" customHeight="false" outlineLevel="0" collapsed="false">
      <c r="A1454" s="6" t="s">
        <v>41</v>
      </c>
      <c r="B1454" s="6" t="s">
        <v>38</v>
      </c>
      <c r="C1454" s="6" t="s">
        <v>50</v>
      </c>
      <c r="D1454" s="6" t="s">
        <v>111</v>
      </c>
      <c r="E1454" s="6" t="s">
        <v>60</v>
      </c>
      <c r="F1454" s="6" t="s">
        <v>58</v>
      </c>
      <c r="G1454" s="6" t="n">
        <v>1</v>
      </c>
      <c r="H1454" s="6" t="n">
        <v>177900</v>
      </c>
      <c r="I1454" s="6" t="n">
        <v>144000</v>
      </c>
      <c r="J1454" s="6" t="n">
        <v>198000</v>
      </c>
      <c r="K1454" s="6" t="n">
        <v>20100</v>
      </c>
      <c r="L1454" s="6" t="n">
        <v>1</v>
      </c>
      <c r="M1454" s="6" t="n">
        <v>0</v>
      </c>
      <c r="N1454" s="6" t="n">
        <v>11.3</v>
      </c>
    </row>
    <row r="1455" customFormat="false" ht="15" hidden="false" customHeight="false" outlineLevel="0" collapsed="false">
      <c r="A1455" s="6" t="s">
        <v>41</v>
      </c>
      <c r="B1455" s="6" t="s">
        <v>38</v>
      </c>
      <c r="C1455" s="6" t="s">
        <v>50</v>
      </c>
      <c r="D1455" s="6" t="s">
        <v>111</v>
      </c>
      <c r="E1455" s="6" t="s">
        <v>60</v>
      </c>
      <c r="F1455" s="6" t="s">
        <v>60</v>
      </c>
      <c r="G1455" s="6" t="n">
        <v>5</v>
      </c>
      <c r="H1455" s="6" t="n">
        <v>805900</v>
      </c>
      <c r="I1455" s="6" t="n">
        <v>225000</v>
      </c>
      <c r="J1455" s="6" t="n">
        <v>891000</v>
      </c>
      <c r="K1455" s="6" t="n">
        <v>84900</v>
      </c>
      <c r="L1455" s="6" t="n">
        <v>3</v>
      </c>
      <c r="M1455" s="6" t="n">
        <v>0</v>
      </c>
      <c r="N1455" s="6" t="n">
        <v>58.7</v>
      </c>
    </row>
    <row r="1456" customFormat="false" ht="15" hidden="false" customHeight="false" outlineLevel="0" collapsed="false">
      <c r="A1456" s="6" t="s">
        <v>41</v>
      </c>
      <c r="B1456" s="6" t="s">
        <v>38</v>
      </c>
      <c r="C1456" s="6" t="s">
        <v>50</v>
      </c>
      <c r="D1456" s="6" t="s">
        <v>112</v>
      </c>
      <c r="E1456" s="6" t="s">
        <v>58</v>
      </c>
      <c r="F1456" s="6" t="s">
        <v>58</v>
      </c>
      <c r="G1456" s="6" t="n">
        <v>2</v>
      </c>
      <c r="H1456" s="6" t="n">
        <v>363000</v>
      </c>
      <c r="I1456" s="6" t="n">
        <v>0</v>
      </c>
      <c r="J1456" s="6" t="n">
        <v>274500</v>
      </c>
      <c r="K1456" s="6" t="n">
        <v>-88600</v>
      </c>
      <c r="L1456" s="6" t="n">
        <v>0</v>
      </c>
      <c r="M1456" s="6" t="n">
        <v>0</v>
      </c>
      <c r="N1456" s="6" t="n">
        <v>-48.8</v>
      </c>
    </row>
    <row r="1457" customFormat="false" ht="15" hidden="false" customHeight="false" outlineLevel="0" collapsed="false">
      <c r="A1457" s="6" t="s">
        <v>41</v>
      </c>
      <c r="B1457" s="6" t="s">
        <v>38</v>
      </c>
      <c r="C1457" s="6" t="s">
        <v>50</v>
      </c>
      <c r="D1457" s="6" t="s">
        <v>112</v>
      </c>
      <c r="E1457" s="6" t="s">
        <v>58</v>
      </c>
      <c r="F1457" s="6" t="s">
        <v>60</v>
      </c>
      <c r="G1457" s="6" t="n">
        <v>12</v>
      </c>
      <c r="H1457" s="6" t="n">
        <v>1763700</v>
      </c>
      <c r="I1457" s="6" t="n">
        <v>886000</v>
      </c>
      <c r="J1457" s="6" t="n">
        <v>1445000</v>
      </c>
      <c r="K1457" s="6" t="n">
        <v>-318600</v>
      </c>
      <c r="L1457" s="6" t="n">
        <v>4</v>
      </c>
      <c r="M1457" s="6" t="n">
        <v>0</v>
      </c>
      <c r="N1457" s="6" t="n">
        <v>-201.3</v>
      </c>
    </row>
    <row r="1458" customFormat="false" ht="15" hidden="false" customHeight="false" outlineLevel="0" collapsed="false">
      <c r="A1458" s="6" t="s">
        <v>41</v>
      </c>
      <c r="B1458" s="6" t="s">
        <v>38</v>
      </c>
      <c r="C1458" s="6" t="s">
        <v>50</v>
      </c>
      <c r="D1458" s="6" t="s">
        <v>112</v>
      </c>
      <c r="E1458" s="6" t="s">
        <v>60</v>
      </c>
      <c r="F1458" s="6" t="s">
        <v>58</v>
      </c>
      <c r="G1458" s="6" t="n">
        <v>1</v>
      </c>
      <c r="H1458" s="6" t="n">
        <v>203600</v>
      </c>
      <c r="I1458" s="6" t="n">
        <v>0</v>
      </c>
      <c r="J1458" s="6" t="n">
        <v>92800</v>
      </c>
      <c r="K1458" s="6" t="n">
        <v>-110800</v>
      </c>
      <c r="L1458" s="6" t="n">
        <v>0</v>
      </c>
      <c r="M1458" s="6" t="n">
        <v>0</v>
      </c>
      <c r="N1458" s="6" t="n">
        <v>-54.4</v>
      </c>
    </row>
    <row r="1459" customFormat="false" ht="15" hidden="false" customHeight="false" outlineLevel="0" collapsed="false">
      <c r="A1459" s="6" t="s">
        <v>41</v>
      </c>
      <c r="B1459" s="6" t="s">
        <v>38</v>
      </c>
      <c r="C1459" s="6" t="s">
        <v>50</v>
      </c>
      <c r="D1459" s="6" t="s">
        <v>112</v>
      </c>
      <c r="E1459" s="6" t="s">
        <v>60</v>
      </c>
      <c r="F1459" s="6" t="s">
        <v>60</v>
      </c>
      <c r="G1459" s="6" t="n">
        <v>4</v>
      </c>
      <c r="H1459" s="6" t="n">
        <v>597900</v>
      </c>
      <c r="I1459" s="6" t="n">
        <v>113700</v>
      </c>
      <c r="J1459" s="6" t="n">
        <v>718800</v>
      </c>
      <c r="K1459" s="6" t="n">
        <v>120900</v>
      </c>
      <c r="L1459" s="6" t="n">
        <v>3</v>
      </c>
      <c r="M1459" s="6" t="n">
        <v>0</v>
      </c>
      <c r="N1459" s="6" t="n">
        <v>93</v>
      </c>
    </row>
    <row r="1460" customFormat="false" ht="15" hidden="false" customHeight="false" outlineLevel="0" collapsed="false">
      <c r="A1460" s="6" t="s">
        <v>41</v>
      </c>
      <c r="B1460" s="6" t="s">
        <v>38</v>
      </c>
      <c r="C1460" s="6" t="s">
        <v>50</v>
      </c>
      <c r="D1460" s="6" t="s">
        <v>113</v>
      </c>
      <c r="E1460" s="6" t="s">
        <v>58</v>
      </c>
      <c r="F1460" s="6" t="s">
        <v>58</v>
      </c>
      <c r="G1460" s="6" t="n">
        <v>11</v>
      </c>
      <c r="H1460" s="6" t="n">
        <v>2369100</v>
      </c>
      <c r="I1460" s="6" t="n">
        <v>1108400</v>
      </c>
      <c r="J1460" s="6" t="n">
        <v>1286600</v>
      </c>
      <c r="K1460" s="6" t="n">
        <v>-1082600</v>
      </c>
      <c r="L1460" s="6" t="n">
        <v>0</v>
      </c>
      <c r="M1460" s="6" t="n">
        <v>0</v>
      </c>
      <c r="N1460" s="6" t="n">
        <v>-475.5</v>
      </c>
    </row>
    <row r="1461" customFormat="false" ht="15" hidden="false" customHeight="false" outlineLevel="0" collapsed="false">
      <c r="A1461" s="6" t="s">
        <v>41</v>
      </c>
      <c r="B1461" s="6" t="s">
        <v>38</v>
      </c>
      <c r="C1461" s="6" t="s">
        <v>50</v>
      </c>
      <c r="D1461" s="6" t="s">
        <v>113</v>
      </c>
      <c r="E1461" s="6" t="s">
        <v>58</v>
      </c>
      <c r="F1461" s="6" t="s">
        <v>60</v>
      </c>
      <c r="G1461" s="6" t="n">
        <v>10</v>
      </c>
      <c r="H1461" s="6" t="n">
        <v>1439700</v>
      </c>
      <c r="I1461" s="6" t="n">
        <v>500700</v>
      </c>
      <c r="J1461" s="6" t="n">
        <v>1316900</v>
      </c>
      <c r="K1461" s="6" t="n">
        <v>-123200</v>
      </c>
      <c r="L1461" s="6" t="n">
        <v>3</v>
      </c>
      <c r="M1461" s="6" t="n">
        <v>0</v>
      </c>
      <c r="N1461" s="6" t="n">
        <v>-42.2</v>
      </c>
    </row>
    <row r="1462" customFormat="false" ht="15" hidden="false" customHeight="false" outlineLevel="0" collapsed="false">
      <c r="A1462" s="6" t="s">
        <v>41</v>
      </c>
      <c r="B1462" s="6" t="s">
        <v>38</v>
      </c>
      <c r="C1462" s="6" t="s">
        <v>50</v>
      </c>
      <c r="D1462" s="6" t="s">
        <v>113</v>
      </c>
      <c r="E1462" s="6" t="s">
        <v>60</v>
      </c>
      <c r="F1462" s="6" t="s">
        <v>58</v>
      </c>
      <c r="G1462" s="6" t="n">
        <v>4</v>
      </c>
      <c r="H1462" s="6" t="n">
        <v>732200</v>
      </c>
      <c r="I1462" s="6" t="n">
        <v>285500</v>
      </c>
      <c r="J1462" s="6" t="n">
        <v>546200</v>
      </c>
      <c r="K1462" s="6" t="n">
        <v>-186100</v>
      </c>
      <c r="L1462" s="6" t="n">
        <v>1</v>
      </c>
      <c r="M1462" s="6" t="n">
        <v>0</v>
      </c>
      <c r="N1462" s="6" t="n">
        <v>-93.3</v>
      </c>
    </row>
    <row r="1463" customFormat="false" ht="15" hidden="false" customHeight="false" outlineLevel="0" collapsed="false">
      <c r="A1463" s="6" t="s">
        <v>41</v>
      </c>
      <c r="B1463" s="6" t="s">
        <v>38</v>
      </c>
      <c r="C1463" s="6" t="s">
        <v>50</v>
      </c>
      <c r="D1463" s="6" t="s">
        <v>113</v>
      </c>
      <c r="E1463" s="6" t="s">
        <v>60</v>
      </c>
      <c r="F1463" s="6" t="s">
        <v>60</v>
      </c>
      <c r="G1463" s="6" t="n">
        <v>6</v>
      </c>
      <c r="H1463" s="6" t="n">
        <v>817700</v>
      </c>
      <c r="I1463" s="6" t="n">
        <v>346500</v>
      </c>
      <c r="J1463" s="6" t="n">
        <v>696200</v>
      </c>
      <c r="K1463" s="6" t="n">
        <v>-121500</v>
      </c>
      <c r="L1463" s="6" t="n">
        <v>1</v>
      </c>
      <c r="M1463" s="6" t="n">
        <v>0</v>
      </c>
      <c r="N1463" s="6" t="n">
        <v>-72.3</v>
      </c>
    </row>
    <row r="1464" customFormat="false" ht="15" hidden="false" customHeight="false" outlineLevel="0" collapsed="false">
      <c r="A1464" s="6" t="s">
        <v>41</v>
      </c>
      <c r="B1464" s="6" t="s">
        <v>38</v>
      </c>
      <c r="C1464" s="6" t="s">
        <v>50</v>
      </c>
      <c r="D1464" s="6" t="s">
        <v>114</v>
      </c>
      <c r="E1464" s="6" t="s">
        <v>58</v>
      </c>
      <c r="F1464" s="6" t="s">
        <v>58</v>
      </c>
      <c r="G1464" s="6" t="n">
        <v>2</v>
      </c>
      <c r="H1464" s="6" t="n">
        <v>451100</v>
      </c>
      <c r="I1464" s="6" t="n">
        <v>193800</v>
      </c>
      <c r="J1464" s="6" t="n">
        <v>179000</v>
      </c>
      <c r="K1464" s="6" t="n">
        <v>-272100</v>
      </c>
      <c r="L1464" s="6" t="n">
        <v>0</v>
      </c>
      <c r="M1464" s="6" t="n">
        <v>0</v>
      </c>
      <c r="N1464" s="6" t="n">
        <v>-121.9</v>
      </c>
    </row>
    <row r="1465" customFormat="false" ht="15" hidden="false" customHeight="false" outlineLevel="0" collapsed="false">
      <c r="A1465" s="6" t="s">
        <v>41</v>
      </c>
      <c r="B1465" s="6" t="s">
        <v>38</v>
      </c>
      <c r="C1465" s="6" t="s">
        <v>50</v>
      </c>
      <c r="D1465" s="6" t="s">
        <v>114</v>
      </c>
      <c r="E1465" s="6" t="s">
        <v>58</v>
      </c>
      <c r="F1465" s="6" t="s">
        <v>60</v>
      </c>
      <c r="G1465" s="6" t="n">
        <v>6</v>
      </c>
      <c r="H1465" s="6" t="n">
        <v>765400</v>
      </c>
      <c r="I1465" s="6" t="n">
        <v>231800</v>
      </c>
      <c r="J1465" s="6" t="n">
        <v>891800</v>
      </c>
      <c r="K1465" s="6" t="n">
        <v>126300</v>
      </c>
      <c r="L1465" s="6" t="n">
        <v>4</v>
      </c>
      <c r="M1465" s="6" t="n">
        <v>0</v>
      </c>
      <c r="N1465" s="6" t="n">
        <v>135.6</v>
      </c>
    </row>
    <row r="1466" customFormat="false" ht="15" hidden="false" customHeight="false" outlineLevel="0" collapsed="false">
      <c r="A1466" s="6" t="s">
        <v>41</v>
      </c>
      <c r="B1466" s="6" t="s">
        <v>38</v>
      </c>
      <c r="C1466" s="6" t="s">
        <v>50</v>
      </c>
      <c r="D1466" s="6" t="s">
        <v>114</v>
      </c>
      <c r="E1466" s="6" t="s">
        <v>60</v>
      </c>
      <c r="F1466" s="6" t="s">
        <v>58</v>
      </c>
      <c r="G1466" s="6" t="n">
        <v>2</v>
      </c>
      <c r="H1466" s="6" t="n">
        <v>332700</v>
      </c>
      <c r="I1466" s="6" t="n">
        <v>196400</v>
      </c>
      <c r="J1466" s="6" t="n">
        <v>268700</v>
      </c>
      <c r="K1466" s="6" t="n">
        <v>-63900</v>
      </c>
      <c r="L1466" s="6" t="n">
        <v>0</v>
      </c>
      <c r="M1466" s="6" t="n">
        <v>0</v>
      </c>
      <c r="N1466" s="6" t="n">
        <v>-38.5</v>
      </c>
    </row>
    <row r="1467" customFormat="false" ht="15" hidden="false" customHeight="false" outlineLevel="0" collapsed="false">
      <c r="A1467" s="6" t="s">
        <v>41</v>
      </c>
      <c r="B1467" s="6" t="s">
        <v>38</v>
      </c>
      <c r="C1467" s="6" t="s">
        <v>50</v>
      </c>
      <c r="D1467" s="6" t="s">
        <v>114</v>
      </c>
      <c r="E1467" s="6" t="s">
        <v>60</v>
      </c>
      <c r="F1467" s="6" t="s">
        <v>60</v>
      </c>
      <c r="G1467" s="6" t="n">
        <v>5</v>
      </c>
      <c r="H1467" s="6" t="n">
        <v>819900</v>
      </c>
      <c r="I1467" s="6" t="n">
        <v>513400</v>
      </c>
      <c r="J1467" s="6" t="n">
        <v>962600</v>
      </c>
      <c r="K1467" s="6" t="n">
        <v>142900</v>
      </c>
      <c r="L1467" s="6" t="n">
        <v>4</v>
      </c>
      <c r="M1467" s="6" t="n">
        <v>0</v>
      </c>
      <c r="N1467" s="6" t="n">
        <v>119.6</v>
      </c>
    </row>
    <row r="1468" customFormat="false" ht="15" hidden="false" customHeight="false" outlineLevel="0" collapsed="false">
      <c r="A1468" s="6" t="s">
        <v>41</v>
      </c>
      <c r="B1468" s="6" t="s">
        <v>38</v>
      </c>
      <c r="C1468" s="6" t="s">
        <v>52</v>
      </c>
      <c r="D1468" s="6" t="s">
        <v>111</v>
      </c>
      <c r="E1468" s="6" t="s">
        <v>58</v>
      </c>
      <c r="F1468" s="6" t="s">
        <v>58</v>
      </c>
      <c r="G1468" s="6" t="n">
        <v>21</v>
      </c>
      <c r="H1468" s="6" t="n">
        <v>2219800</v>
      </c>
      <c r="I1468" s="6" t="n">
        <v>948500</v>
      </c>
      <c r="J1468" s="6" t="n">
        <v>1615300</v>
      </c>
      <c r="K1468" s="6" t="n">
        <v>-604600</v>
      </c>
      <c r="L1468" s="6" t="n">
        <v>4</v>
      </c>
      <c r="M1468" s="6" t="n">
        <v>0</v>
      </c>
      <c r="N1468" s="6" t="n">
        <v>-468.7</v>
      </c>
    </row>
    <row r="1469" customFormat="false" ht="15" hidden="false" customHeight="false" outlineLevel="0" collapsed="false">
      <c r="A1469" s="6" t="s">
        <v>41</v>
      </c>
      <c r="B1469" s="6" t="s">
        <v>38</v>
      </c>
      <c r="C1469" s="6" t="s">
        <v>52</v>
      </c>
      <c r="D1469" s="6" t="s">
        <v>111</v>
      </c>
      <c r="E1469" s="6" t="s">
        <v>58</v>
      </c>
      <c r="F1469" s="6" t="s">
        <v>60</v>
      </c>
      <c r="G1469" s="6" t="n">
        <v>43</v>
      </c>
      <c r="H1469" s="6" t="n">
        <v>3137900</v>
      </c>
      <c r="I1469" s="6" t="n">
        <v>1493900</v>
      </c>
      <c r="J1469" s="6" t="n">
        <v>4219000</v>
      </c>
      <c r="K1469" s="6" t="n">
        <v>1080900</v>
      </c>
      <c r="L1469" s="6" t="n">
        <v>30</v>
      </c>
      <c r="M1469" s="6" t="n">
        <v>0</v>
      </c>
      <c r="N1469" s="6" t="n">
        <v>1527.5</v>
      </c>
    </row>
    <row r="1470" customFormat="false" ht="15" hidden="false" customHeight="false" outlineLevel="0" collapsed="false">
      <c r="A1470" s="6" t="s">
        <v>41</v>
      </c>
      <c r="B1470" s="6" t="s">
        <v>38</v>
      </c>
      <c r="C1470" s="6" t="s">
        <v>52</v>
      </c>
      <c r="D1470" s="6" t="s">
        <v>111</v>
      </c>
      <c r="E1470" s="6" t="s">
        <v>60</v>
      </c>
      <c r="F1470" s="6" t="s">
        <v>58</v>
      </c>
      <c r="G1470" s="6" t="n">
        <v>10</v>
      </c>
      <c r="H1470" s="6" t="n">
        <v>1046100</v>
      </c>
      <c r="I1470" s="6" t="n">
        <v>462100</v>
      </c>
      <c r="J1470" s="6" t="n">
        <v>957600</v>
      </c>
      <c r="K1470" s="6" t="n">
        <v>-88200</v>
      </c>
      <c r="L1470" s="6" t="n">
        <v>3</v>
      </c>
      <c r="M1470" s="6" t="n">
        <v>0</v>
      </c>
      <c r="N1470" s="6" t="n">
        <v>-57.8</v>
      </c>
    </row>
    <row r="1471" customFormat="false" ht="15" hidden="false" customHeight="false" outlineLevel="0" collapsed="false">
      <c r="A1471" s="6" t="s">
        <v>41</v>
      </c>
      <c r="B1471" s="6" t="s">
        <v>38</v>
      </c>
      <c r="C1471" s="6" t="s">
        <v>52</v>
      </c>
      <c r="D1471" s="6" t="s">
        <v>111</v>
      </c>
      <c r="E1471" s="6" t="s">
        <v>60</v>
      </c>
      <c r="F1471" s="6" t="s">
        <v>60</v>
      </c>
      <c r="G1471" s="6" t="n">
        <v>29</v>
      </c>
      <c r="H1471" s="6" t="n">
        <v>2201700</v>
      </c>
      <c r="I1471" s="6" t="n">
        <v>904000</v>
      </c>
      <c r="J1471" s="6" t="n">
        <v>3120100</v>
      </c>
      <c r="K1471" s="6" t="n">
        <v>918800</v>
      </c>
      <c r="L1471" s="6" t="n">
        <v>19</v>
      </c>
      <c r="M1471" s="6" t="n">
        <v>0</v>
      </c>
      <c r="N1471" s="6" t="n">
        <v>1296.6</v>
      </c>
    </row>
    <row r="1472" customFormat="false" ht="15" hidden="false" customHeight="false" outlineLevel="0" collapsed="false">
      <c r="A1472" s="6" t="s">
        <v>41</v>
      </c>
      <c r="B1472" s="6" t="s">
        <v>38</v>
      </c>
      <c r="C1472" s="6" t="s">
        <v>52</v>
      </c>
      <c r="D1472" s="6" t="s">
        <v>112</v>
      </c>
      <c r="E1472" s="6" t="s">
        <v>58</v>
      </c>
      <c r="F1472" s="6" t="s">
        <v>58</v>
      </c>
      <c r="G1472" s="6" t="n">
        <v>24</v>
      </c>
      <c r="H1472" s="6" t="n">
        <v>2514800</v>
      </c>
      <c r="I1472" s="6" t="n">
        <v>1072200</v>
      </c>
      <c r="J1472" s="6" t="n">
        <v>1909300</v>
      </c>
      <c r="K1472" s="6" t="n">
        <v>-605300</v>
      </c>
      <c r="L1472" s="6" t="n">
        <v>8</v>
      </c>
      <c r="M1472" s="6" t="n">
        <v>0</v>
      </c>
      <c r="N1472" s="6" t="n">
        <v>-519.1</v>
      </c>
    </row>
    <row r="1473" customFormat="false" ht="15" hidden="false" customHeight="false" outlineLevel="0" collapsed="false">
      <c r="A1473" s="6" t="s">
        <v>41</v>
      </c>
      <c r="B1473" s="6" t="s">
        <v>38</v>
      </c>
      <c r="C1473" s="6" t="s">
        <v>52</v>
      </c>
      <c r="D1473" s="6" t="s">
        <v>112</v>
      </c>
      <c r="E1473" s="6" t="s">
        <v>58</v>
      </c>
      <c r="F1473" s="6" t="s">
        <v>60</v>
      </c>
      <c r="G1473" s="6" t="n">
        <v>53</v>
      </c>
      <c r="H1473" s="6" t="n">
        <v>3864000</v>
      </c>
      <c r="I1473" s="6" t="n">
        <v>1925600</v>
      </c>
      <c r="J1473" s="6" t="n">
        <v>5336500</v>
      </c>
      <c r="K1473" s="6" t="n">
        <v>1472100</v>
      </c>
      <c r="L1473" s="6" t="n">
        <v>40</v>
      </c>
      <c r="M1473" s="6" t="n">
        <v>0</v>
      </c>
      <c r="N1473" s="6" t="n">
        <v>2172.1</v>
      </c>
    </row>
    <row r="1474" customFormat="false" ht="15" hidden="false" customHeight="false" outlineLevel="0" collapsed="false">
      <c r="A1474" s="6" t="s">
        <v>41</v>
      </c>
      <c r="B1474" s="6" t="s">
        <v>38</v>
      </c>
      <c r="C1474" s="6" t="s">
        <v>52</v>
      </c>
      <c r="D1474" s="6" t="s">
        <v>112</v>
      </c>
      <c r="E1474" s="6" t="s">
        <v>60</v>
      </c>
      <c r="F1474" s="6" t="s">
        <v>58</v>
      </c>
      <c r="G1474" s="6" t="n">
        <v>14</v>
      </c>
      <c r="H1474" s="6" t="n">
        <v>1418000</v>
      </c>
      <c r="I1474" s="6" t="n">
        <v>711600</v>
      </c>
      <c r="J1474" s="6" t="n">
        <v>1444800</v>
      </c>
      <c r="K1474" s="6" t="n">
        <v>26600</v>
      </c>
      <c r="L1474" s="6" t="n">
        <v>6</v>
      </c>
      <c r="M1474" s="6" t="n">
        <v>0</v>
      </c>
      <c r="N1474" s="6" t="n">
        <v>111.4</v>
      </c>
    </row>
    <row r="1475" customFormat="false" ht="15" hidden="false" customHeight="false" outlineLevel="0" collapsed="false">
      <c r="A1475" s="6" t="s">
        <v>41</v>
      </c>
      <c r="B1475" s="6" t="s">
        <v>38</v>
      </c>
      <c r="C1475" s="6" t="s">
        <v>52</v>
      </c>
      <c r="D1475" s="6" t="s">
        <v>112</v>
      </c>
      <c r="E1475" s="6" t="s">
        <v>60</v>
      </c>
      <c r="F1475" s="6" t="s">
        <v>60</v>
      </c>
      <c r="G1475" s="6" t="n">
        <v>31</v>
      </c>
      <c r="H1475" s="6" t="n">
        <v>2339000</v>
      </c>
      <c r="I1475" s="6" t="n">
        <v>755400</v>
      </c>
      <c r="J1475" s="6" t="n">
        <v>3134100</v>
      </c>
      <c r="K1475" s="6" t="n">
        <v>795200</v>
      </c>
      <c r="L1475" s="6" t="n">
        <v>26</v>
      </c>
      <c r="M1475" s="6" t="n">
        <v>0</v>
      </c>
      <c r="N1475" s="6" t="n">
        <v>1054.1</v>
      </c>
    </row>
    <row r="1476" customFormat="false" ht="15" hidden="false" customHeight="false" outlineLevel="0" collapsed="false">
      <c r="A1476" s="6" t="s">
        <v>41</v>
      </c>
      <c r="B1476" s="6" t="s">
        <v>38</v>
      </c>
      <c r="C1476" s="6" t="s">
        <v>52</v>
      </c>
      <c r="D1476" s="6" t="s">
        <v>113</v>
      </c>
      <c r="E1476" s="6" t="s">
        <v>58</v>
      </c>
      <c r="F1476" s="6" t="s">
        <v>58</v>
      </c>
      <c r="G1476" s="6" t="n">
        <v>45</v>
      </c>
      <c r="H1476" s="6" t="n">
        <v>5027100</v>
      </c>
      <c r="I1476" s="6" t="n">
        <v>1998100</v>
      </c>
      <c r="J1476" s="6" t="n">
        <v>4277600</v>
      </c>
      <c r="K1476" s="6" t="n">
        <v>-749100</v>
      </c>
      <c r="L1476" s="6" t="n">
        <v>15</v>
      </c>
      <c r="M1476" s="6" t="n">
        <v>0</v>
      </c>
      <c r="N1476" s="6" t="n">
        <v>-592.6</v>
      </c>
    </row>
    <row r="1477" customFormat="false" ht="15" hidden="false" customHeight="false" outlineLevel="0" collapsed="false">
      <c r="A1477" s="6" t="s">
        <v>41</v>
      </c>
      <c r="B1477" s="6" t="s">
        <v>38</v>
      </c>
      <c r="C1477" s="6" t="s">
        <v>52</v>
      </c>
      <c r="D1477" s="6" t="s">
        <v>113</v>
      </c>
      <c r="E1477" s="6" t="s">
        <v>58</v>
      </c>
      <c r="F1477" s="6" t="s">
        <v>60</v>
      </c>
      <c r="G1477" s="6" t="n">
        <v>63</v>
      </c>
      <c r="H1477" s="6" t="n">
        <v>4581200</v>
      </c>
      <c r="I1477" s="6" t="n">
        <v>1889500</v>
      </c>
      <c r="J1477" s="6" t="n">
        <v>6121600</v>
      </c>
      <c r="K1477" s="6" t="n">
        <v>1540700</v>
      </c>
      <c r="L1477" s="6" t="n">
        <v>43</v>
      </c>
      <c r="M1477" s="6" t="n">
        <v>0</v>
      </c>
      <c r="N1477" s="6" t="n">
        <v>2454.4</v>
      </c>
    </row>
    <row r="1478" customFormat="false" ht="15" hidden="false" customHeight="false" outlineLevel="0" collapsed="false">
      <c r="A1478" s="6" t="s">
        <v>41</v>
      </c>
      <c r="B1478" s="6" t="s">
        <v>38</v>
      </c>
      <c r="C1478" s="6" t="s">
        <v>52</v>
      </c>
      <c r="D1478" s="6" t="s">
        <v>113</v>
      </c>
      <c r="E1478" s="6" t="s">
        <v>60</v>
      </c>
      <c r="F1478" s="6" t="s">
        <v>58</v>
      </c>
      <c r="G1478" s="6" t="n">
        <v>15</v>
      </c>
      <c r="H1478" s="6" t="n">
        <v>1611100</v>
      </c>
      <c r="I1478" s="6" t="n">
        <v>873600</v>
      </c>
      <c r="J1478" s="6" t="n">
        <v>1394900</v>
      </c>
      <c r="K1478" s="6" t="n">
        <v>-216000</v>
      </c>
      <c r="L1478" s="6" t="n">
        <v>6</v>
      </c>
      <c r="M1478" s="6" t="n">
        <v>0</v>
      </c>
      <c r="N1478" s="6" t="n">
        <v>-134.2</v>
      </c>
    </row>
    <row r="1479" customFormat="false" ht="15" hidden="false" customHeight="false" outlineLevel="0" collapsed="false">
      <c r="A1479" s="6" t="s">
        <v>41</v>
      </c>
      <c r="B1479" s="6" t="s">
        <v>38</v>
      </c>
      <c r="C1479" s="6" t="s">
        <v>52</v>
      </c>
      <c r="D1479" s="6" t="s">
        <v>113</v>
      </c>
      <c r="E1479" s="6" t="s">
        <v>60</v>
      </c>
      <c r="F1479" s="6" t="s">
        <v>60</v>
      </c>
      <c r="G1479" s="6" t="n">
        <v>32</v>
      </c>
      <c r="H1479" s="6" t="n">
        <v>2471500</v>
      </c>
      <c r="I1479" s="6" t="n">
        <v>1280000</v>
      </c>
      <c r="J1479" s="6" t="n">
        <v>3311800</v>
      </c>
      <c r="K1479" s="6" t="n">
        <v>840200</v>
      </c>
      <c r="L1479" s="6" t="n">
        <v>22</v>
      </c>
      <c r="M1479" s="6" t="n">
        <v>0</v>
      </c>
      <c r="N1479" s="6" t="n">
        <v>1309.2</v>
      </c>
    </row>
    <row r="1480" customFormat="false" ht="15" hidden="false" customHeight="false" outlineLevel="0" collapsed="false">
      <c r="A1480" s="6" t="s">
        <v>41</v>
      </c>
      <c r="B1480" s="6" t="s">
        <v>38</v>
      </c>
      <c r="C1480" s="6" t="s">
        <v>52</v>
      </c>
      <c r="D1480" s="6" t="s">
        <v>114</v>
      </c>
      <c r="E1480" s="6" t="s">
        <v>58</v>
      </c>
      <c r="F1480" s="6" t="s">
        <v>58</v>
      </c>
      <c r="G1480" s="6" t="n">
        <v>17</v>
      </c>
      <c r="H1480" s="6" t="n">
        <v>1892800</v>
      </c>
      <c r="I1480" s="6" t="n">
        <v>1012900</v>
      </c>
      <c r="J1480" s="6" t="n">
        <v>1699800</v>
      </c>
      <c r="K1480" s="6" t="n">
        <v>-192800</v>
      </c>
      <c r="L1480" s="6" t="n">
        <v>5</v>
      </c>
      <c r="M1480" s="6" t="n">
        <v>0</v>
      </c>
      <c r="N1480" s="6" t="n">
        <v>-141.8</v>
      </c>
    </row>
    <row r="1481" customFormat="false" ht="15" hidden="false" customHeight="false" outlineLevel="0" collapsed="false">
      <c r="A1481" s="6" t="s">
        <v>41</v>
      </c>
      <c r="B1481" s="6" t="s">
        <v>38</v>
      </c>
      <c r="C1481" s="6" t="s">
        <v>52</v>
      </c>
      <c r="D1481" s="6" t="s">
        <v>114</v>
      </c>
      <c r="E1481" s="6" t="s">
        <v>58</v>
      </c>
      <c r="F1481" s="6" t="s">
        <v>60</v>
      </c>
      <c r="G1481" s="6" t="n">
        <v>44</v>
      </c>
      <c r="H1481" s="6" t="n">
        <v>3349400</v>
      </c>
      <c r="I1481" s="6" t="n">
        <v>1727300</v>
      </c>
      <c r="J1481" s="6" t="n">
        <v>4290000</v>
      </c>
      <c r="K1481" s="6" t="n">
        <v>941400</v>
      </c>
      <c r="L1481" s="6" t="n">
        <v>29</v>
      </c>
      <c r="M1481" s="6" t="n">
        <v>0</v>
      </c>
      <c r="N1481" s="6" t="n">
        <v>1323</v>
      </c>
    </row>
    <row r="1482" customFormat="false" ht="15" hidden="false" customHeight="false" outlineLevel="0" collapsed="false">
      <c r="A1482" s="6" t="s">
        <v>41</v>
      </c>
      <c r="B1482" s="6" t="s">
        <v>38</v>
      </c>
      <c r="C1482" s="6" t="s">
        <v>52</v>
      </c>
      <c r="D1482" s="6" t="s">
        <v>114</v>
      </c>
      <c r="E1482" s="6" t="s">
        <v>60</v>
      </c>
      <c r="F1482" s="6" t="s">
        <v>58</v>
      </c>
      <c r="G1482" s="6" t="n">
        <v>11</v>
      </c>
      <c r="H1482" s="6" t="n">
        <v>1193600</v>
      </c>
      <c r="I1482" s="6" t="n">
        <v>238000</v>
      </c>
      <c r="J1482" s="6" t="n">
        <v>1194100</v>
      </c>
      <c r="K1482" s="6" t="n">
        <v>400</v>
      </c>
      <c r="L1482" s="6" t="n">
        <v>5</v>
      </c>
      <c r="M1482" s="6" t="n">
        <v>0</v>
      </c>
      <c r="N1482" s="6" t="n">
        <v>70.5</v>
      </c>
    </row>
    <row r="1483" customFormat="false" ht="15" hidden="false" customHeight="false" outlineLevel="0" collapsed="false">
      <c r="A1483" s="6" t="s">
        <v>41</v>
      </c>
      <c r="B1483" s="6" t="s">
        <v>38</v>
      </c>
      <c r="C1483" s="6" t="s">
        <v>52</v>
      </c>
      <c r="D1483" s="6" t="s">
        <v>114</v>
      </c>
      <c r="E1483" s="6" t="s">
        <v>60</v>
      </c>
      <c r="F1483" s="6" t="s">
        <v>60</v>
      </c>
      <c r="G1483" s="6" t="n">
        <v>18</v>
      </c>
      <c r="H1483" s="6" t="n">
        <v>1269800</v>
      </c>
      <c r="I1483" s="6" t="n">
        <v>594800</v>
      </c>
      <c r="J1483" s="6" t="n">
        <v>1758500</v>
      </c>
      <c r="K1483" s="6" t="n">
        <v>488800</v>
      </c>
      <c r="L1483" s="6" t="n">
        <v>14</v>
      </c>
      <c r="M1483" s="6" t="n">
        <v>0</v>
      </c>
      <c r="N1483" s="6" t="n">
        <v>734.9</v>
      </c>
    </row>
    <row r="1484" customFormat="false" ht="15" hidden="false" customHeight="false" outlineLevel="0" collapsed="false">
      <c r="A1484" s="6" t="s">
        <v>41</v>
      </c>
      <c r="B1484" s="6" t="s">
        <v>38</v>
      </c>
      <c r="C1484" s="6" t="s">
        <v>53</v>
      </c>
      <c r="D1484" s="6" t="s">
        <v>111</v>
      </c>
      <c r="E1484" s="6" t="s">
        <v>58</v>
      </c>
      <c r="F1484" s="6" t="s">
        <v>58</v>
      </c>
      <c r="G1484" s="6" t="n">
        <v>20</v>
      </c>
      <c r="H1484" s="6" t="n">
        <v>1608500</v>
      </c>
      <c r="I1484" s="6" t="n">
        <v>562500</v>
      </c>
      <c r="J1484" s="6" t="n">
        <v>1493300</v>
      </c>
      <c r="K1484" s="6" t="n">
        <v>-115000</v>
      </c>
      <c r="L1484" s="6" t="n">
        <v>9</v>
      </c>
      <c r="M1484" s="6" t="n">
        <v>0</v>
      </c>
      <c r="N1484" s="6" t="n">
        <v>-33.6</v>
      </c>
    </row>
    <row r="1485" customFormat="false" ht="15" hidden="false" customHeight="false" outlineLevel="0" collapsed="false">
      <c r="A1485" s="6" t="s">
        <v>41</v>
      </c>
      <c r="B1485" s="6" t="s">
        <v>38</v>
      </c>
      <c r="C1485" s="6" t="s">
        <v>53</v>
      </c>
      <c r="D1485" s="6" t="s">
        <v>111</v>
      </c>
      <c r="E1485" s="6" t="s">
        <v>58</v>
      </c>
      <c r="F1485" s="6" t="s">
        <v>60</v>
      </c>
      <c r="G1485" s="6" t="n">
        <v>46</v>
      </c>
      <c r="H1485" s="6" t="n">
        <v>2679500</v>
      </c>
      <c r="I1485" s="6" t="n">
        <v>1352300</v>
      </c>
      <c r="J1485" s="6" t="n">
        <v>4038000</v>
      </c>
      <c r="K1485" s="6" t="n">
        <v>1358100</v>
      </c>
      <c r="L1485" s="6" t="n">
        <v>37</v>
      </c>
      <c r="M1485" s="6" t="n">
        <v>0</v>
      </c>
      <c r="N1485" s="6" t="n">
        <v>2598.3</v>
      </c>
    </row>
    <row r="1486" customFormat="false" ht="15" hidden="false" customHeight="false" outlineLevel="0" collapsed="false">
      <c r="A1486" s="6" t="s">
        <v>41</v>
      </c>
      <c r="B1486" s="6" t="s">
        <v>38</v>
      </c>
      <c r="C1486" s="6" t="s">
        <v>53</v>
      </c>
      <c r="D1486" s="6" t="s">
        <v>111</v>
      </c>
      <c r="E1486" s="6" t="s">
        <v>60</v>
      </c>
      <c r="F1486" s="6" t="s">
        <v>58</v>
      </c>
      <c r="G1486" s="6" t="n">
        <v>17</v>
      </c>
      <c r="H1486" s="6" t="n">
        <v>1400700</v>
      </c>
      <c r="I1486" s="6" t="n">
        <v>620800</v>
      </c>
      <c r="J1486" s="6" t="n">
        <v>1144800</v>
      </c>
      <c r="K1486" s="6" t="n">
        <v>-255700</v>
      </c>
      <c r="L1486" s="6" t="n">
        <v>5</v>
      </c>
      <c r="M1486" s="6" t="n">
        <v>0</v>
      </c>
      <c r="N1486" s="6" t="n">
        <v>-276.6</v>
      </c>
    </row>
    <row r="1487" customFormat="false" ht="15" hidden="false" customHeight="false" outlineLevel="0" collapsed="false">
      <c r="A1487" s="6" t="s">
        <v>41</v>
      </c>
      <c r="B1487" s="6" t="s">
        <v>38</v>
      </c>
      <c r="C1487" s="6" t="s">
        <v>53</v>
      </c>
      <c r="D1487" s="6" t="s">
        <v>111</v>
      </c>
      <c r="E1487" s="6" t="s">
        <v>60</v>
      </c>
      <c r="F1487" s="6" t="s">
        <v>60</v>
      </c>
      <c r="G1487" s="6" t="n">
        <v>22</v>
      </c>
      <c r="H1487" s="6" t="n">
        <v>1305200</v>
      </c>
      <c r="I1487" s="6" t="n">
        <v>508700</v>
      </c>
      <c r="J1487" s="6" t="n">
        <v>2226600</v>
      </c>
      <c r="K1487" s="6" t="n">
        <v>921400</v>
      </c>
      <c r="L1487" s="6" t="n">
        <v>19</v>
      </c>
      <c r="M1487" s="6" t="n">
        <v>0</v>
      </c>
      <c r="N1487" s="6" t="n">
        <v>1613.9</v>
      </c>
    </row>
    <row r="1488" customFormat="false" ht="15" hidden="false" customHeight="false" outlineLevel="0" collapsed="false">
      <c r="A1488" s="6" t="s">
        <v>41</v>
      </c>
      <c r="B1488" s="6" t="s">
        <v>38</v>
      </c>
      <c r="C1488" s="6" t="s">
        <v>53</v>
      </c>
      <c r="D1488" s="6" t="s">
        <v>112</v>
      </c>
      <c r="E1488" s="6" t="s">
        <v>58</v>
      </c>
      <c r="F1488" s="6" t="s">
        <v>58</v>
      </c>
      <c r="G1488" s="6" t="n">
        <v>20</v>
      </c>
      <c r="H1488" s="6" t="n">
        <v>1631000</v>
      </c>
      <c r="I1488" s="6" t="n">
        <v>671100</v>
      </c>
      <c r="J1488" s="6" t="n">
        <v>1409600</v>
      </c>
      <c r="K1488" s="6" t="n">
        <v>-221500</v>
      </c>
      <c r="L1488" s="6" t="n">
        <v>6</v>
      </c>
      <c r="M1488" s="6" t="n">
        <v>0</v>
      </c>
      <c r="N1488" s="6" t="n">
        <v>-189</v>
      </c>
    </row>
    <row r="1489" customFormat="false" ht="15" hidden="false" customHeight="false" outlineLevel="0" collapsed="false">
      <c r="A1489" s="6" t="s">
        <v>41</v>
      </c>
      <c r="B1489" s="6" t="s">
        <v>38</v>
      </c>
      <c r="C1489" s="6" t="s">
        <v>53</v>
      </c>
      <c r="D1489" s="6" t="s">
        <v>112</v>
      </c>
      <c r="E1489" s="6" t="s">
        <v>58</v>
      </c>
      <c r="F1489" s="6" t="s">
        <v>60</v>
      </c>
      <c r="G1489" s="6" t="n">
        <v>43</v>
      </c>
      <c r="H1489" s="6" t="n">
        <v>2368900</v>
      </c>
      <c r="I1489" s="6" t="n">
        <v>1197000</v>
      </c>
      <c r="J1489" s="6" t="n">
        <v>3683400</v>
      </c>
      <c r="K1489" s="6" t="n">
        <v>1314400</v>
      </c>
      <c r="L1489" s="6" t="n">
        <v>34</v>
      </c>
      <c r="M1489" s="6" t="n">
        <v>0</v>
      </c>
      <c r="N1489" s="6" t="n">
        <v>2573.9</v>
      </c>
    </row>
    <row r="1490" customFormat="false" ht="15" hidden="false" customHeight="false" outlineLevel="0" collapsed="false">
      <c r="A1490" s="6" t="s">
        <v>41</v>
      </c>
      <c r="B1490" s="6" t="s">
        <v>38</v>
      </c>
      <c r="C1490" s="6" t="s">
        <v>53</v>
      </c>
      <c r="D1490" s="6" t="s">
        <v>112</v>
      </c>
      <c r="E1490" s="6" t="s">
        <v>60</v>
      </c>
      <c r="F1490" s="6" t="s">
        <v>58</v>
      </c>
      <c r="G1490" s="6" t="n">
        <v>17</v>
      </c>
      <c r="H1490" s="6" t="n">
        <v>1448800</v>
      </c>
      <c r="I1490" s="6" t="n">
        <v>548800</v>
      </c>
      <c r="J1490" s="6" t="n">
        <v>1185200</v>
      </c>
      <c r="K1490" s="6" t="n">
        <v>-263700</v>
      </c>
      <c r="L1490" s="6" t="n">
        <v>5</v>
      </c>
      <c r="M1490" s="6" t="n">
        <v>0</v>
      </c>
      <c r="N1490" s="6" t="n">
        <v>-278.3</v>
      </c>
    </row>
    <row r="1491" customFormat="false" ht="15" hidden="false" customHeight="false" outlineLevel="0" collapsed="false">
      <c r="A1491" s="6" t="s">
        <v>41</v>
      </c>
      <c r="B1491" s="6" t="s">
        <v>38</v>
      </c>
      <c r="C1491" s="6" t="s">
        <v>53</v>
      </c>
      <c r="D1491" s="6" t="s">
        <v>112</v>
      </c>
      <c r="E1491" s="6" t="s">
        <v>60</v>
      </c>
      <c r="F1491" s="6" t="s">
        <v>60</v>
      </c>
      <c r="G1491" s="6" t="n">
        <v>32</v>
      </c>
      <c r="H1491" s="6" t="n">
        <v>1893700</v>
      </c>
      <c r="I1491" s="6" t="n">
        <v>936400</v>
      </c>
      <c r="J1491" s="6" t="n">
        <v>2827400</v>
      </c>
      <c r="K1491" s="6" t="n">
        <v>933700</v>
      </c>
      <c r="L1491" s="6" t="n">
        <v>26</v>
      </c>
      <c r="M1491" s="6" t="n">
        <v>0</v>
      </c>
      <c r="N1491" s="6" t="n">
        <v>1707.8</v>
      </c>
    </row>
    <row r="1492" customFormat="false" ht="15" hidden="false" customHeight="false" outlineLevel="0" collapsed="false">
      <c r="A1492" s="6" t="s">
        <v>41</v>
      </c>
      <c r="B1492" s="6" t="s">
        <v>38</v>
      </c>
      <c r="C1492" s="6" t="s">
        <v>53</v>
      </c>
      <c r="D1492" s="6" t="s">
        <v>113</v>
      </c>
      <c r="E1492" s="6" t="s">
        <v>58</v>
      </c>
      <c r="F1492" s="6" t="s">
        <v>58</v>
      </c>
      <c r="G1492" s="6" t="n">
        <v>26</v>
      </c>
      <c r="H1492" s="6" t="n">
        <v>2221500</v>
      </c>
      <c r="I1492" s="6" t="n">
        <v>1002800</v>
      </c>
      <c r="J1492" s="6" t="n">
        <v>2065200</v>
      </c>
      <c r="K1492" s="6" t="n">
        <v>-156500</v>
      </c>
      <c r="L1492" s="6" t="n">
        <v>8</v>
      </c>
      <c r="M1492" s="6" t="n">
        <v>0</v>
      </c>
      <c r="N1492" s="6" t="n">
        <v>-138.3</v>
      </c>
    </row>
    <row r="1493" customFormat="false" ht="15" hidden="false" customHeight="false" outlineLevel="0" collapsed="false">
      <c r="A1493" s="6" t="s">
        <v>41</v>
      </c>
      <c r="B1493" s="6" t="s">
        <v>38</v>
      </c>
      <c r="C1493" s="6" t="s">
        <v>53</v>
      </c>
      <c r="D1493" s="6" t="s">
        <v>113</v>
      </c>
      <c r="E1493" s="6" t="s">
        <v>58</v>
      </c>
      <c r="F1493" s="6" t="s">
        <v>60</v>
      </c>
      <c r="G1493" s="6" t="n">
        <v>77</v>
      </c>
      <c r="H1493" s="6" t="n">
        <v>4478500</v>
      </c>
      <c r="I1493" s="6" t="n">
        <v>2017000</v>
      </c>
      <c r="J1493" s="6" t="n">
        <v>6627000</v>
      </c>
      <c r="K1493" s="6" t="n">
        <v>2149000</v>
      </c>
      <c r="L1493" s="6" t="n">
        <v>64</v>
      </c>
      <c r="M1493" s="6" t="n">
        <v>0</v>
      </c>
      <c r="N1493" s="6" t="n">
        <v>3990.8</v>
      </c>
    </row>
    <row r="1494" customFormat="false" ht="15" hidden="false" customHeight="false" outlineLevel="0" collapsed="false">
      <c r="A1494" s="6" t="s">
        <v>41</v>
      </c>
      <c r="B1494" s="6" t="s">
        <v>38</v>
      </c>
      <c r="C1494" s="6" t="s">
        <v>53</v>
      </c>
      <c r="D1494" s="6" t="s">
        <v>113</v>
      </c>
      <c r="E1494" s="6" t="s">
        <v>60</v>
      </c>
      <c r="F1494" s="6" t="s">
        <v>58</v>
      </c>
      <c r="G1494" s="6" t="n">
        <v>15</v>
      </c>
      <c r="H1494" s="6" t="n">
        <v>1437600</v>
      </c>
      <c r="I1494" s="6" t="n">
        <v>431000</v>
      </c>
      <c r="J1494" s="6" t="n">
        <v>1180500</v>
      </c>
      <c r="K1494" s="6" t="n">
        <v>-256900</v>
      </c>
      <c r="L1494" s="6" t="n">
        <v>5</v>
      </c>
      <c r="M1494" s="6" t="n">
        <v>0</v>
      </c>
      <c r="N1494" s="6" t="n">
        <v>-192.1</v>
      </c>
    </row>
    <row r="1495" customFormat="false" ht="15" hidden="false" customHeight="false" outlineLevel="0" collapsed="false">
      <c r="A1495" s="6" t="s">
        <v>41</v>
      </c>
      <c r="B1495" s="6" t="s">
        <v>38</v>
      </c>
      <c r="C1495" s="6" t="s">
        <v>53</v>
      </c>
      <c r="D1495" s="6" t="s">
        <v>113</v>
      </c>
      <c r="E1495" s="6" t="s">
        <v>60</v>
      </c>
      <c r="F1495" s="6" t="s">
        <v>60</v>
      </c>
      <c r="G1495" s="6" t="n">
        <v>26</v>
      </c>
      <c r="H1495" s="6" t="n">
        <v>1575200</v>
      </c>
      <c r="I1495" s="6" t="n">
        <v>804400</v>
      </c>
      <c r="J1495" s="6" t="n">
        <v>2427700</v>
      </c>
      <c r="K1495" s="6" t="n">
        <v>852400</v>
      </c>
      <c r="L1495" s="6" t="n">
        <v>23</v>
      </c>
      <c r="M1495" s="6" t="n">
        <v>0</v>
      </c>
      <c r="N1495" s="6" t="n">
        <v>1483.9</v>
      </c>
    </row>
    <row r="1496" customFormat="false" ht="15" hidden="false" customHeight="false" outlineLevel="0" collapsed="false">
      <c r="A1496" s="6" t="s">
        <v>41</v>
      </c>
      <c r="B1496" s="6" t="s">
        <v>38</v>
      </c>
      <c r="C1496" s="6" t="s">
        <v>53</v>
      </c>
      <c r="D1496" s="6" t="s">
        <v>114</v>
      </c>
      <c r="E1496" s="6" t="s">
        <v>58</v>
      </c>
      <c r="F1496" s="6" t="s">
        <v>58</v>
      </c>
      <c r="G1496" s="6" t="n">
        <v>22</v>
      </c>
      <c r="H1496" s="6" t="n">
        <v>1910500</v>
      </c>
      <c r="I1496" s="6" t="n">
        <v>775100</v>
      </c>
      <c r="J1496" s="6" t="n">
        <v>2103500</v>
      </c>
      <c r="K1496" s="6" t="n">
        <v>193000</v>
      </c>
      <c r="L1496" s="6" t="n">
        <v>12</v>
      </c>
      <c r="M1496" s="6" t="n">
        <v>0</v>
      </c>
      <c r="N1496" s="6" t="n">
        <v>403.4</v>
      </c>
    </row>
    <row r="1497" customFormat="false" ht="15" hidden="false" customHeight="false" outlineLevel="0" collapsed="false">
      <c r="A1497" s="6" t="s">
        <v>41</v>
      </c>
      <c r="B1497" s="6" t="s">
        <v>38</v>
      </c>
      <c r="C1497" s="6" t="s">
        <v>53</v>
      </c>
      <c r="D1497" s="6" t="s">
        <v>114</v>
      </c>
      <c r="E1497" s="6" t="s">
        <v>58</v>
      </c>
      <c r="F1497" s="6" t="s">
        <v>60</v>
      </c>
      <c r="G1497" s="6" t="n">
        <v>43</v>
      </c>
      <c r="H1497" s="6" t="n">
        <v>2517600</v>
      </c>
      <c r="I1497" s="6" t="n">
        <v>1140200</v>
      </c>
      <c r="J1497" s="6" t="n">
        <v>3815200</v>
      </c>
      <c r="K1497" s="6" t="n">
        <v>1296700</v>
      </c>
      <c r="L1497" s="6" t="n">
        <v>33</v>
      </c>
      <c r="M1497" s="6" t="n">
        <v>0</v>
      </c>
      <c r="N1497" s="6" t="n">
        <v>2386</v>
      </c>
    </row>
    <row r="1498" customFormat="false" ht="15" hidden="false" customHeight="false" outlineLevel="0" collapsed="false">
      <c r="A1498" s="6" t="s">
        <v>41</v>
      </c>
      <c r="B1498" s="6" t="s">
        <v>38</v>
      </c>
      <c r="C1498" s="6" t="s">
        <v>53</v>
      </c>
      <c r="D1498" s="6" t="s">
        <v>114</v>
      </c>
      <c r="E1498" s="6" t="s">
        <v>60</v>
      </c>
      <c r="F1498" s="6" t="s">
        <v>58</v>
      </c>
      <c r="G1498" s="6" t="n">
        <v>12</v>
      </c>
      <c r="H1498" s="6" t="n">
        <v>1100000</v>
      </c>
      <c r="I1498" s="6" t="n">
        <v>559600</v>
      </c>
      <c r="J1498" s="6" t="n">
        <v>1134500</v>
      </c>
      <c r="K1498" s="6" t="n">
        <v>34500</v>
      </c>
      <c r="L1498" s="6" t="n">
        <v>7</v>
      </c>
      <c r="M1498" s="6" t="n">
        <v>0</v>
      </c>
      <c r="N1498" s="6" t="n">
        <v>64.7</v>
      </c>
    </row>
    <row r="1499" customFormat="false" ht="15" hidden="false" customHeight="false" outlineLevel="0" collapsed="false">
      <c r="A1499" s="6" t="s">
        <v>41</v>
      </c>
      <c r="B1499" s="6" t="s">
        <v>38</v>
      </c>
      <c r="C1499" s="6" t="s">
        <v>53</v>
      </c>
      <c r="D1499" s="6" t="s">
        <v>114</v>
      </c>
      <c r="E1499" s="6" t="s">
        <v>60</v>
      </c>
      <c r="F1499" s="6" t="s">
        <v>60</v>
      </c>
      <c r="G1499" s="6" t="n">
        <v>13</v>
      </c>
      <c r="H1499" s="6" t="n">
        <v>739200</v>
      </c>
      <c r="I1499" s="6" t="n">
        <v>199300</v>
      </c>
      <c r="J1499" s="6" t="n">
        <v>1280600</v>
      </c>
      <c r="K1499" s="6" t="n">
        <v>541400</v>
      </c>
      <c r="L1499" s="6" t="n">
        <v>12</v>
      </c>
      <c r="M1499" s="6" t="n">
        <v>0</v>
      </c>
      <c r="N1499" s="6" t="n">
        <v>953.1</v>
      </c>
    </row>
    <row r="1500" customFormat="false" ht="15" hidden="false" customHeight="false" outlineLevel="0" collapsed="false">
      <c r="A1500" s="6" t="s">
        <v>41</v>
      </c>
      <c r="B1500" s="6" t="s">
        <v>38</v>
      </c>
      <c r="C1500" s="6" t="s">
        <v>51</v>
      </c>
      <c r="D1500" s="6" t="s">
        <v>111</v>
      </c>
      <c r="E1500" s="6" t="s">
        <v>58</v>
      </c>
      <c r="F1500" s="6" t="s">
        <v>58</v>
      </c>
      <c r="G1500" s="6" t="n">
        <v>9</v>
      </c>
      <c r="H1500" s="6" t="n">
        <v>991300</v>
      </c>
      <c r="I1500" s="6" t="n">
        <v>296600</v>
      </c>
      <c r="J1500" s="6" t="n">
        <v>800000</v>
      </c>
      <c r="K1500" s="6" t="n">
        <v>-191300</v>
      </c>
      <c r="L1500" s="6" t="n">
        <v>2</v>
      </c>
      <c r="M1500" s="6" t="n">
        <v>0</v>
      </c>
      <c r="N1500" s="6" t="n">
        <v>-110.2</v>
      </c>
    </row>
    <row r="1501" customFormat="false" ht="15" hidden="false" customHeight="false" outlineLevel="0" collapsed="false">
      <c r="A1501" s="6" t="s">
        <v>41</v>
      </c>
      <c r="B1501" s="6" t="s">
        <v>38</v>
      </c>
      <c r="C1501" s="6" t="s">
        <v>51</v>
      </c>
      <c r="D1501" s="6" t="s">
        <v>111</v>
      </c>
      <c r="E1501" s="6" t="s">
        <v>58</v>
      </c>
      <c r="F1501" s="6" t="s">
        <v>60</v>
      </c>
      <c r="G1501" s="6" t="n">
        <v>21</v>
      </c>
      <c r="H1501" s="6" t="n">
        <v>1813200</v>
      </c>
      <c r="I1501" s="6" t="n">
        <v>678700</v>
      </c>
      <c r="J1501" s="6" t="n">
        <v>2306000</v>
      </c>
      <c r="K1501" s="6" t="n">
        <v>493000</v>
      </c>
      <c r="L1501" s="6" t="n">
        <v>13</v>
      </c>
      <c r="M1501" s="6" t="n">
        <v>0</v>
      </c>
      <c r="N1501" s="6" t="n">
        <v>658.8</v>
      </c>
    </row>
    <row r="1502" customFormat="false" ht="15" hidden="false" customHeight="false" outlineLevel="0" collapsed="false">
      <c r="A1502" s="6" t="s">
        <v>41</v>
      </c>
      <c r="B1502" s="6" t="s">
        <v>38</v>
      </c>
      <c r="C1502" s="6" t="s">
        <v>51</v>
      </c>
      <c r="D1502" s="6" t="s">
        <v>111</v>
      </c>
      <c r="E1502" s="6" t="s">
        <v>60</v>
      </c>
      <c r="F1502" s="6" t="s">
        <v>58</v>
      </c>
      <c r="G1502" s="6" t="n">
        <v>4</v>
      </c>
      <c r="H1502" s="6" t="n">
        <v>503400</v>
      </c>
      <c r="I1502" s="6" t="n">
        <v>455000</v>
      </c>
      <c r="J1502" s="6" t="n">
        <v>528100</v>
      </c>
      <c r="K1502" s="6" t="n">
        <v>24800</v>
      </c>
      <c r="L1502" s="6" t="n">
        <v>2</v>
      </c>
      <c r="M1502" s="6" t="n">
        <v>0</v>
      </c>
      <c r="N1502" s="6" t="n">
        <v>36.6</v>
      </c>
    </row>
    <row r="1503" customFormat="false" ht="15" hidden="false" customHeight="false" outlineLevel="0" collapsed="false">
      <c r="A1503" s="6" t="s">
        <v>41</v>
      </c>
      <c r="B1503" s="6" t="s">
        <v>38</v>
      </c>
      <c r="C1503" s="6" t="s">
        <v>51</v>
      </c>
      <c r="D1503" s="6" t="s">
        <v>111</v>
      </c>
      <c r="E1503" s="6" t="s">
        <v>60</v>
      </c>
      <c r="F1503" s="6" t="s">
        <v>60</v>
      </c>
      <c r="G1503" s="6" t="n">
        <v>14</v>
      </c>
      <c r="H1503" s="6" t="n">
        <v>1156900</v>
      </c>
      <c r="I1503" s="6" t="n">
        <v>366900</v>
      </c>
      <c r="J1503" s="6" t="n">
        <v>1891500</v>
      </c>
      <c r="K1503" s="6" t="n">
        <v>734500</v>
      </c>
      <c r="L1503" s="6" t="n">
        <v>11</v>
      </c>
      <c r="M1503" s="6" t="n">
        <v>0</v>
      </c>
      <c r="N1503" s="6" t="n">
        <v>837.3</v>
      </c>
    </row>
    <row r="1504" customFormat="false" ht="15" hidden="false" customHeight="false" outlineLevel="0" collapsed="false">
      <c r="A1504" s="6" t="s">
        <v>41</v>
      </c>
      <c r="B1504" s="6" t="s">
        <v>38</v>
      </c>
      <c r="C1504" s="6" t="s">
        <v>51</v>
      </c>
      <c r="D1504" s="6" t="s">
        <v>112</v>
      </c>
      <c r="E1504" s="6" t="s">
        <v>58</v>
      </c>
      <c r="F1504" s="6" t="s">
        <v>58</v>
      </c>
      <c r="G1504" s="6" t="n">
        <v>21</v>
      </c>
      <c r="H1504" s="6" t="n">
        <v>2588600</v>
      </c>
      <c r="I1504" s="6" t="n">
        <v>1164000</v>
      </c>
      <c r="J1504" s="6" t="n">
        <v>2280200</v>
      </c>
      <c r="K1504" s="6" t="n">
        <v>-308300</v>
      </c>
      <c r="L1504" s="6" t="n">
        <v>5</v>
      </c>
      <c r="M1504" s="6" t="n">
        <v>0</v>
      </c>
      <c r="N1504" s="6" t="n">
        <v>-225.7</v>
      </c>
    </row>
    <row r="1505" customFormat="false" ht="15" hidden="false" customHeight="false" outlineLevel="0" collapsed="false">
      <c r="A1505" s="6" t="s">
        <v>41</v>
      </c>
      <c r="B1505" s="6" t="s">
        <v>38</v>
      </c>
      <c r="C1505" s="6" t="s">
        <v>51</v>
      </c>
      <c r="D1505" s="6" t="s">
        <v>112</v>
      </c>
      <c r="E1505" s="6" t="s">
        <v>58</v>
      </c>
      <c r="F1505" s="6" t="s">
        <v>60</v>
      </c>
      <c r="G1505" s="6" t="n">
        <v>32</v>
      </c>
      <c r="H1505" s="6" t="n">
        <v>2852900</v>
      </c>
      <c r="I1505" s="6" t="n">
        <v>1290300</v>
      </c>
      <c r="J1505" s="6" t="n">
        <v>3126100</v>
      </c>
      <c r="K1505" s="6" t="n">
        <v>273300</v>
      </c>
      <c r="L1505" s="6" t="n">
        <v>20</v>
      </c>
      <c r="M1505" s="6" t="n">
        <v>0</v>
      </c>
      <c r="N1505" s="6" t="n">
        <v>428.4</v>
      </c>
    </row>
    <row r="1506" customFormat="false" ht="15" hidden="false" customHeight="false" outlineLevel="0" collapsed="false">
      <c r="A1506" s="6" t="s">
        <v>41</v>
      </c>
      <c r="B1506" s="6" t="s">
        <v>38</v>
      </c>
      <c r="C1506" s="6" t="s">
        <v>51</v>
      </c>
      <c r="D1506" s="6" t="s">
        <v>112</v>
      </c>
      <c r="E1506" s="6" t="s">
        <v>60</v>
      </c>
      <c r="F1506" s="6" t="s">
        <v>58</v>
      </c>
      <c r="G1506" s="6" t="n">
        <v>6</v>
      </c>
      <c r="H1506" s="6" t="n">
        <v>659000</v>
      </c>
      <c r="I1506" s="6" t="n">
        <v>112100</v>
      </c>
      <c r="J1506" s="6" t="n">
        <v>484700</v>
      </c>
      <c r="K1506" s="6" t="n">
        <v>-174200</v>
      </c>
      <c r="L1506" s="6" t="n">
        <v>1</v>
      </c>
      <c r="M1506" s="6" t="n">
        <v>0</v>
      </c>
      <c r="N1506" s="6" t="n">
        <v>-123</v>
      </c>
    </row>
    <row r="1507" customFormat="false" ht="15" hidden="false" customHeight="false" outlineLevel="0" collapsed="false">
      <c r="A1507" s="6" t="s">
        <v>41</v>
      </c>
      <c r="B1507" s="6" t="s">
        <v>38</v>
      </c>
      <c r="C1507" s="6" t="s">
        <v>51</v>
      </c>
      <c r="D1507" s="6" t="s">
        <v>112</v>
      </c>
      <c r="E1507" s="6" t="s">
        <v>60</v>
      </c>
      <c r="F1507" s="6" t="s">
        <v>60</v>
      </c>
      <c r="G1507" s="6" t="n">
        <v>18</v>
      </c>
      <c r="H1507" s="6" t="n">
        <v>1480000</v>
      </c>
      <c r="I1507" s="6" t="n">
        <v>535100</v>
      </c>
      <c r="J1507" s="6" t="n">
        <v>2165600</v>
      </c>
      <c r="K1507" s="6" t="n">
        <v>686000</v>
      </c>
      <c r="L1507" s="6" t="n">
        <v>14</v>
      </c>
      <c r="M1507" s="6" t="n">
        <v>0</v>
      </c>
      <c r="N1507" s="6" t="n">
        <v>850.4</v>
      </c>
    </row>
    <row r="1508" customFormat="false" ht="15" hidden="false" customHeight="false" outlineLevel="0" collapsed="false">
      <c r="A1508" s="6" t="s">
        <v>41</v>
      </c>
      <c r="B1508" s="6" t="s">
        <v>38</v>
      </c>
      <c r="C1508" s="6" t="s">
        <v>51</v>
      </c>
      <c r="D1508" s="6" t="s">
        <v>113</v>
      </c>
      <c r="E1508" s="6" t="s">
        <v>58</v>
      </c>
      <c r="F1508" s="6" t="s">
        <v>58</v>
      </c>
      <c r="G1508" s="6" t="n">
        <v>12</v>
      </c>
      <c r="H1508" s="6" t="n">
        <v>1461800</v>
      </c>
      <c r="I1508" s="6" t="n">
        <v>754300</v>
      </c>
      <c r="J1508" s="6" t="n">
        <v>1296800</v>
      </c>
      <c r="K1508" s="6" t="n">
        <v>-165400</v>
      </c>
      <c r="L1508" s="6" t="n">
        <v>4</v>
      </c>
      <c r="M1508" s="6" t="n">
        <v>0</v>
      </c>
      <c r="N1508" s="6" t="n">
        <v>-106.8</v>
      </c>
    </row>
    <row r="1509" customFormat="false" ht="15" hidden="false" customHeight="false" outlineLevel="0" collapsed="false">
      <c r="A1509" s="6" t="s">
        <v>41</v>
      </c>
      <c r="B1509" s="6" t="s">
        <v>38</v>
      </c>
      <c r="C1509" s="6" t="s">
        <v>51</v>
      </c>
      <c r="D1509" s="6" t="s">
        <v>113</v>
      </c>
      <c r="E1509" s="6" t="s">
        <v>58</v>
      </c>
      <c r="F1509" s="6" t="s">
        <v>60</v>
      </c>
      <c r="G1509" s="6" t="n">
        <v>31</v>
      </c>
      <c r="H1509" s="6" t="n">
        <v>2556300</v>
      </c>
      <c r="I1509" s="6" t="n">
        <v>1186300</v>
      </c>
      <c r="J1509" s="6" t="n">
        <v>3687000</v>
      </c>
      <c r="K1509" s="6" t="n">
        <v>1130700</v>
      </c>
      <c r="L1509" s="6" t="n">
        <v>22</v>
      </c>
      <c r="M1509" s="6" t="n">
        <v>0</v>
      </c>
      <c r="N1509" s="6" t="n">
        <v>1580.5</v>
      </c>
    </row>
    <row r="1510" customFormat="false" ht="15" hidden="false" customHeight="false" outlineLevel="0" collapsed="false">
      <c r="A1510" s="6" t="s">
        <v>41</v>
      </c>
      <c r="B1510" s="6" t="s">
        <v>38</v>
      </c>
      <c r="C1510" s="6" t="s">
        <v>51</v>
      </c>
      <c r="D1510" s="6" t="s">
        <v>113</v>
      </c>
      <c r="E1510" s="6" t="s">
        <v>60</v>
      </c>
      <c r="F1510" s="6" t="s">
        <v>58</v>
      </c>
      <c r="G1510" s="6" t="n">
        <v>13</v>
      </c>
      <c r="H1510" s="6" t="n">
        <v>1513600</v>
      </c>
      <c r="I1510" s="6" t="n">
        <v>596600</v>
      </c>
      <c r="J1510" s="6" t="n">
        <v>1568400</v>
      </c>
      <c r="K1510" s="6" t="n">
        <v>54600</v>
      </c>
      <c r="L1510" s="6" t="n">
        <v>5</v>
      </c>
      <c r="M1510" s="6" t="n">
        <v>0</v>
      </c>
      <c r="N1510" s="6" t="n">
        <v>102</v>
      </c>
    </row>
    <row r="1511" customFormat="false" ht="15" hidden="false" customHeight="false" outlineLevel="0" collapsed="false">
      <c r="A1511" s="6" t="s">
        <v>41</v>
      </c>
      <c r="B1511" s="6" t="s">
        <v>38</v>
      </c>
      <c r="C1511" s="6" t="s">
        <v>51</v>
      </c>
      <c r="D1511" s="6" t="s">
        <v>113</v>
      </c>
      <c r="E1511" s="6" t="s">
        <v>60</v>
      </c>
      <c r="F1511" s="6" t="s">
        <v>60</v>
      </c>
      <c r="G1511" s="6" t="n">
        <v>22</v>
      </c>
      <c r="H1511" s="6" t="n">
        <v>1913400</v>
      </c>
      <c r="I1511" s="6" t="n">
        <v>829600</v>
      </c>
      <c r="J1511" s="6" t="n">
        <v>2597700</v>
      </c>
      <c r="K1511" s="6" t="n">
        <v>684000</v>
      </c>
      <c r="L1511" s="6" t="n">
        <v>16</v>
      </c>
      <c r="M1511" s="6" t="n">
        <v>0</v>
      </c>
      <c r="N1511" s="6" t="n">
        <v>866.3</v>
      </c>
    </row>
    <row r="1512" customFormat="false" ht="15" hidden="false" customHeight="false" outlineLevel="0" collapsed="false">
      <c r="A1512" s="6" t="s">
        <v>41</v>
      </c>
      <c r="B1512" s="6" t="s">
        <v>38</v>
      </c>
      <c r="C1512" s="6" t="s">
        <v>51</v>
      </c>
      <c r="D1512" s="6" t="s">
        <v>114</v>
      </c>
      <c r="E1512" s="6" t="s">
        <v>58</v>
      </c>
      <c r="F1512" s="6" t="s">
        <v>58</v>
      </c>
      <c r="G1512" s="6" t="n">
        <v>14</v>
      </c>
      <c r="H1512" s="6" t="n">
        <v>1608700</v>
      </c>
      <c r="I1512" s="6" t="n">
        <v>623400</v>
      </c>
      <c r="J1512" s="6" t="n">
        <v>1452500</v>
      </c>
      <c r="K1512" s="6" t="n">
        <v>-156300</v>
      </c>
      <c r="L1512" s="6" t="n">
        <v>5</v>
      </c>
      <c r="M1512" s="6" t="n">
        <v>0</v>
      </c>
      <c r="N1512" s="6" t="n">
        <v>-122.5</v>
      </c>
    </row>
    <row r="1513" customFormat="false" ht="15" hidden="false" customHeight="false" outlineLevel="0" collapsed="false">
      <c r="A1513" s="6" t="s">
        <v>41</v>
      </c>
      <c r="B1513" s="6" t="s">
        <v>38</v>
      </c>
      <c r="C1513" s="6" t="s">
        <v>51</v>
      </c>
      <c r="D1513" s="6" t="s">
        <v>114</v>
      </c>
      <c r="E1513" s="6" t="s">
        <v>58</v>
      </c>
      <c r="F1513" s="6" t="s">
        <v>60</v>
      </c>
      <c r="G1513" s="6" t="n">
        <v>30</v>
      </c>
      <c r="H1513" s="6" t="n">
        <v>2568900</v>
      </c>
      <c r="I1513" s="6" t="n">
        <v>750900</v>
      </c>
      <c r="J1513" s="6" t="n">
        <v>3268000</v>
      </c>
      <c r="K1513" s="6" t="n">
        <v>698500</v>
      </c>
      <c r="L1513" s="6" t="n">
        <v>19</v>
      </c>
      <c r="M1513" s="6" t="n">
        <v>0</v>
      </c>
      <c r="N1513" s="6" t="n">
        <v>925.3</v>
      </c>
    </row>
    <row r="1514" customFormat="false" ht="15" hidden="false" customHeight="false" outlineLevel="0" collapsed="false">
      <c r="A1514" s="6" t="s">
        <v>41</v>
      </c>
      <c r="B1514" s="6" t="s">
        <v>38</v>
      </c>
      <c r="C1514" s="6" t="s">
        <v>51</v>
      </c>
      <c r="D1514" s="6" t="s">
        <v>114</v>
      </c>
      <c r="E1514" s="6" t="s">
        <v>60</v>
      </c>
      <c r="F1514" s="6" t="s">
        <v>58</v>
      </c>
      <c r="G1514" s="6" t="n">
        <v>8</v>
      </c>
      <c r="H1514" s="6" t="n">
        <v>876000</v>
      </c>
      <c r="I1514" s="6" t="n">
        <v>256700</v>
      </c>
      <c r="J1514" s="6" t="n">
        <v>851800</v>
      </c>
      <c r="K1514" s="6" t="n">
        <v>-24100</v>
      </c>
      <c r="L1514" s="6" t="n">
        <v>5</v>
      </c>
      <c r="M1514" s="6" t="n">
        <v>0</v>
      </c>
      <c r="N1514" s="6" t="n">
        <v>30.8</v>
      </c>
    </row>
    <row r="1515" customFormat="false" ht="15" hidden="false" customHeight="false" outlineLevel="0" collapsed="false">
      <c r="A1515" s="6" t="s">
        <v>41</v>
      </c>
      <c r="B1515" s="6" t="s">
        <v>38</v>
      </c>
      <c r="C1515" s="6" t="s">
        <v>51</v>
      </c>
      <c r="D1515" s="6" t="s">
        <v>114</v>
      </c>
      <c r="E1515" s="6" t="s">
        <v>60</v>
      </c>
      <c r="F1515" s="6" t="s">
        <v>60</v>
      </c>
      <c r="G1515" s="6" t="n">
        <v>15</v>
      </c>
      <c r="H1515" s="6" t="n">
        <v>1304500</v>
      </c>
      <c r="I1515" s="6" t="n">
        <v>606900</v>
      </c>
      <c r="J1515" s="6" t="n">
        <v>1779400</v>
      </c>
      <c r="K1515" s="6" t="n">
        <v>474900</v>
      </c>
      <c r="L1515" s="6" t="n">
        <v>10</v>
      </c>
      <c r="M1515" s="6" t="n">
        <v>0</v>
      </c>
      <c r="N1515" s="6" t="n">
        <v>543.5</v>
      </c>
    </row>
  </sheetData>
  <autoFilter ref="A1:N15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8"/>
  </cols>
  <sheetData>
    <row r="1" customFormat="false" ht="15" hidden="false" customHeight="false" outlineLevel="0" collapsed="false">
      <c r="A1" s="17" t="s">
        <v>115</v>
      </c>
      <c r="B1" s="17" t="s">
        <v>116</v>
      </c>
      <c r="C1" s="17" t="s">
        <v>117</v>
      </c>
      <c r="D1" s="17" t="s">
        <v>118</v>
      </c>
      <c r="E1" s="17" t="s">
        <v>63</v>
      </c>
      <c r="F1" s="17" t="s">
        <v>119</v>
      </c>
      <c r="G1" s="17" t="s">
        <v>120</v>
      </c>
      <c r="H1" s="17" t="s">
        <v>121</v>
      </c>
      <c r="I1" s="17" t="s">
        <v>122</v>
      </c>
      <c r="J1" s="17" t="s">
        <v>123</v>
      </c>
      <c r="K1" s="17" t="s">
        <v>124</v>
      </c>
      <c r="L1" s="17" t="s">
        <v>125</v>
      </c>
      <c r="M1" s="17" t="s">
        <v>126</v>
      </c>
      <c r="N1" s="17" t="s">
        <v>127</v>
      </c>
      <c r="O1" s="17" t="s">
        <v>128</v>
      </c>
      <c r="P1" s="17" t="s">
        <v>129</v>
      </c>
      <c r="Q1" s="17" t="s">
        <v>130</v>
      </c>
      <c r="R1" s="17" t="s">
        <v>131</v>
      </c>
      <c r="T1" s="5" t="s">
        <v>132</v>
      </c>
    </row>
    <row r="2" customFormat="false" ht="15" hidden="false" customHeight="false" outlineLevel="0" collapsed="false">
      <c r="A2" s="6" t="s">
        <v>133</v>
      </c>
      <c r="B2" s="6" t="n">
        <v>50</v>
      </c>
      <c r="C2" s="6" t="s">
        <v>134</v>
      </c>
      <c r="D2" s="6" t="s">
        <v>135</v>
      </c>
      <c r="E2" s="6" t="s">
        <v>92</v>
      </c>
      <c r="F2" s="6" t="s">
        <v>136</v>
      </c>
      <c r="G2" s="6" t="n">
        <v>26</v>
      </c>
      <c r="H2" s="6" t="s">
        <v>82</v>
      </c>
      <c r="I2" s="6" t="s">
        <v>82</v>
      </c>
      <c r="J2" s="6" t="s">
        <v>60</v>
      </c>
      <c r="K2" s="6" t="n">
        <v>106820</v>
      </c>
      <c r="L2" s="6" t="n">
        <v>95455</v>
      </c>
      <c r="M2" s="6" t="s">
        <v>137</v>
      </c>
      <c r="N2" s="6" t="n">
        <v>45</v>
      </c>
      <c r="O2" s="6" t="s">
        <v>58</v>
      </c>
      <c r="P2" s="6" t="n">
        <v>5</v>
      </c>
      <c r="Q2" s="6" t="n">
        <v>-10.64</v>
      </c>
      <c r="R2" s="20" t="n">
        <f aca="false">(L2-K2)/K2</f>
        <v>-0.106393933720277</v>
      </c>
    </row>
    <row r="3" customFormat="false" ht="15" hidden="false" customHeight="false" outlineLevel="0" collapsed="false">
      <c r="A3" s="6" t="s">
        <v>138</v>
      </c>
      <c r="B3" s="6" t="n">
        <v>45</v>
      </c>
      <c r="C3" s="6" t="s">
        <v>139</v>
      </c>
      <c r="D3" s="6" t="s">
        <v>140</v>
      </c>
      <c r="E3" s="6" t="s">
        <v>91</v>
      </c>
      <c r="F3" s="6" t="s">
        <v>141</v>
      </c>
      <c r="G3" s="6" t="n">
        <v>19</v>
      </c>
      <c r="H3" s="6" t="s">
        <v>80</v>
      </c>
      <c r="I3" s="6" t="s">
        <v>80</v>
      </c>
      <c r="J3" s="6" t="s">
        <v>60</v>
      </c>
      <c r="K3" s="6" t="n">
        <v>74131</v>
      </c>
      <c r="L3" s="6" t="n">
        <v>72013</v>
      </c>
      <c r="M3" s="6" t="s">
        <v>142</v>
      </c>
      <c r="N3" s="6" t="n">
        <v>36</v>
      </c>
      <c r="O3" s="6" t="s">
        <v>60</v>
      </c>
      <c r="P3" s="6" t="n">
        <v>6</v>
      </c>
      <c r="Q3" s="6" t="n">
        <v>19.05</v>
      </c>
      <c r="R3" s="20" t="n">
        <f aca="false">(L3-K3)/K3</f>
        <v>-0.0285710431533367</v>
      </c>
    </row>
    <row r="4" customFormat="false" ht="15" hidden="false" customHeight="false" outlineLevel="0" collapsed="false">
      <c r="A4" s="6" t="s">
        <v>143</v>
      </c>
      <c r="B4" s="6" t="n">
        <v>51</v>
      </c>
      <c r="C4" s="6" t="s">
        <v>134</v>
      </c>
      <c r="D4" s="6" t="s">
        <v>144</v>
      </c>
      <c r="E4" s="6" t="s">
        <v>90</v>
      </c>
      <c r="F4" s="6" t="s">
        <v>145</v>
      </c>
      <c r="G4" s="6" t="n">
        <v>28</v>
      </c>
      <c r="H4" s="6" t="s">
        <v>81</v>
      </c>
      <c r="I4" s="6" t="s">
        <v>81</v>
      </c>
      <c r="J4" s="6" t="s">
        <v>60</v>
      </c>
      <c r="K4" s="6" t="n">
        <v>35311</v>
      </c>
      <c r="L4" s="6" t="n">
        <v>42290</v>
      </c>
      <c r="M4" s="6" t="s">
        <v>146</v>
      </c>
      <c r="N4" s="6" t="n">
        <v>46</v>
      </c>
      <c r="O4" s="6" t="s">
        <v>60</v>
      </c>
      <c r="P4" s="6" t="n">
        <v>3</v>
      </c>
      <c r="Q4" s="6" t="n">
        <v>17.05</v>
      </c>
      <c r="R4" s="20" t="n">
        <f aca="false">(L4-K4)/K4</f>
        <v>0.197643793718671</v>
      </c>
    </row>
    <row r="5" customFormat="false" ht="15" hidden="false" customHeight="false" outlineLevel="0" collapsed="false">
      <c r="A5" s="6" t="s">
        <v>147</v>
      </c>
      <c r="B5" s="6" t="n">
        <v>48</v>
      </c>
      <c r="C5" s="6" t="s">
        <v>139</v>
      </c>
      <c r="D5" s="6" t="s">
        <v>148</v>
      </c>
      <c r="E5" s="6" t="s">
        <v>87</v>
      </c>
      <c r="F5" s="6" t="s">
        <v>149</v>
      </c>
      <c r="G5" s="6" t="n">
        <v>24</v>
      </c>
      <c r="H5" s="6" t="s">
        <v>81</v>
      </c>
      <c r="I5" s="6" t="s">
        <v>81</v>
      </c>
      <c r="J5" s="6" t="s">
        <v>60</v>
      </c>
      <c r="K5" s="6" t="n">
        <v>114478</v>
      </c>
      <c r="L5" s="6" t="n">
        <v>107820</v>
      </c>
      <c r="M5" s="6" t="s">
        <v>146</v>
      </c>
      <c r="N5" s="6" t="n">
        <v>50</v>
      </c>
      <c r="O5" s="6" t="s">
        <v>58</v>
      </c>
      <c r="P5" s="6" t="n">
        <v>9</v>
      </c>
      <c r="Q5" s="6" t="n">
        <v>-2.47</v>
      </c>
      <c r="R5" s="20" t="n">
        <f aca="false">(L5-K5)/K5</f>
        <v>-0.0581596463949405</v>
      </c>
    </row>
    <row r="6" customFormat="false" ht="15" hidden="false" customHeight="false" outlineLevel="0" collapsed="false">
      <c r="A6" s="6" t="s">
        <v>150</v>
      </c>
      <c r="B6" s="6" t="n">
        <v>24</v>
      </c>
      <c r="C6" s="6" t="s">
        <v>139</v>
      </c>
      <c r="D6" s="6" t="s">
        <v>135</v>
      </c>
      <c r="E6" s="6" t="s">
        <v>89</v>
      </c>
      <c r="F6" s="6" t="s">
        <v>151</v>
      </c>
      <c r="G6" s="6" t="n">
        <v>0</v>
      </c>
      <c r="H6" s="6" t="s">
        <v>82</v>
      </c>
      <c r="I6" s="6" t="s">
        <v>81</v>
      </c>
      <c r="J6" s="6" t="s">
        <v>58</v>
      </c>
      <c r="K6" s="6" t="n">
        <v>33890</v>
      </c>
      <c r="L6" s="6" t="n">
        <v>40945</v>
      </c>
      <c r="M6" s="6" t="s">
        <v>146</v>
      </c>
      <c r="N6" s="6" t="n">
        <v>52</v>
      </c>
      <c r="O6" s="6" t="s">
        <v>60</v>
      </c>
      <c r="P6" s="6" t="n">
        <v>6</v>
      </c>
      <c r="Q6" s="6" t="n">
        <v>7.03</v>
      </c>
      <c r="R6" s="20" t="n">
        <f aca="false">(L6-K6)/K6</f>
        <v>0.208173502508114</v>
      </c>
    </row>
    <row r="7" customFormat="false" ht="15" hidden="false" customHeight="false" outlineLevel="0" collapsed="false">
      <c r="A7" s="6" t="s">
        <v>152</v>
      </c>
      <c r="B7" s="6" t="n">
        <v>46</v>
      </c>
      <c r="C7" s="6" t="s">
        <v>139</v>
      </c>
      <c r="D7" s="6" t="s">
        <v>140</v>
      </c>
      <c r="E7" s="6" t="s">
        <v>89</v>
      </c>
      <c r="F7" s="6" t="s">
        <v>153</v>
      </c>
      <c r="G7" s="6" t="n">
        <v>21</v>
      </c>
      <c r="H7" s="6" t="s">
        <v>80</v>
      </c>
      <c r="I7" s="6" t="s">
        <v>81</v>
      </c>
      <c r="J7" s="6" t="s">
        <v>58</v>
      </c>
      <c r="K7" s="6" t="n">
        <v>103969</v>
      </c>
      <c r="L7" s="6" t="n">
        <v>104781</v>
      </c>
      <c r="M7" s="6" t="s">
        <v>146</v>
      </c>
      <c r="N7" s="6" t="n">
        <v>36</v>
      </c>
      <c r="O7" s="6" t="s">
        <v>58</v>
      </c>
      <c r="P7" s="6" t="n">
        <v>6</v>
      </c>
      <c r="Q7" s="6" t="n">
        <v>-19.04</v>
      </c>
      <c r="R7" s="20" t="n">
        <f aca="false">(L7-K7)/K7</f>
        <v>0.00781002029451086</v>
      </c>
    </row>
    <row r="8" customFormat="false" ht="15" hidden="false" customHeight="false" outlineLevel="0" collapsed="false">
      <c r="A8" s="6" t="s">
        <v>154</v>
      </c>
      <c r="B8" s="6" t="n">
        <v>49</v>
      </c>
      <c r="C8" s="6" t="s">
        <v>139</v>
      </c>
      <c r="D8" s="6" t="s">
        <v>148</v>
      </c>
      <c r="E8" s="6" t="s">
        <v>87</v>
      </c>
      <c r="F8" s="6" t="s">
        <v>155</v>
      </c>
      <c r="G8" s="6" t="n">
        <v>24</v>
      </c>
      <c r="H8" s="6" t="s">
        <v>82</v>
      </c>
      <c r="I8" s="6" t="s">
        <v>81</v>
      </c>
      <c r="J8" s="6" t="s">
        <v>58</v>
      </c>
      <c r="K8" s="6" t="n">
        <v>78555</v>
      </c>
      <c r="L8" s="6" t="n">
        <v>86183</v>
      </c>
      <c r="M8" s="6" t="s">
        <v>146</v>
      </c>
      <c r="N8" s="6" t="n">
        <v>48</v>
      </c>
      <c r="O8" s="6" t="s">
        <v>60</v>
      </c>
      <c r="P8" s="6" t="n">
        <v>3</v>
      </c>
      <c r="Q8" s="6" t="n">
        <v>-17.94</v>
      </c>
      <c r="R8" s="20" t="n">
        <f aca="false">(L8-K8)/K8</f>
        <v>0.0971039399147094</v>
      </c>
    </row>
    <row r="9" customFormat="false" ht="15" hidden="false" customHeight="false" outlineLevel="0" collapsed="false">
      <c r="A9" s="6" t="s">
        <v>156</v>
      </c>
      <c r="B9" s="6" t="n">
        <v>57</v>
      </c>
      <c r="C9" s="6" t="s">
        <v>139</v>
      </c>
      <c r="D9" s="6" t="s">
        <v>135</v>
      </c>
      <c r="E9" s="6" t="s">
        <v>88</v>
      </c>
      <c r="F9" s="6" t="s">
        <v>157</v>
      </c>
      <c r="G9" s="6" t="n">
        <v>34</v>
      </c>
      <c r="H9" s="6" t="s">
        <v>80</v>
      </c>
      <c r="I9" s="6" t="s">
        <v>82</v>
      </c>
      <c r="J9" s="6" t="s">
        <v>58</v>
      </c>
      <c r="K9" s="6" t="n">
        <v>99479</v>
      </c>
      <c r="L9" s="6" t="n">
        <v>105776</v>
      </c>
      <c r="M9" s="6" t="s">
        <v>142</v>
      </c>
      <c r="N9" s="6" t="n">
        <v>44</v>
      </c>
      <c r="O9" s="6" t="s">
        <v>60</v>
      </c>
      <c r="P9" s="6" t="n">
        <v>6</v>
      </c>
      <c r="Q9" s="6" t="n">
        <v>5.51</v>
      </c>
      <c r="R9" s="20" t="n">
        <f aca="false">(L9-K9)/K9</f>
        <v>0.0632997919158817</v>
      </c>
    </row>
    <row r="10" customFormat="false" ht="15" hidden="false" customHeight="false" outlineLevel="0" collapsed="false">
      <c r="A10" s="6" t="s">
        <v>158</v>
      </c>
      <c r="B10" s="6" t="n">
        <v>50</v>
      </c>
      <c r="C10" s="6" t="s">
        <v>159</v>
      </c>
      <c r="D10" s="6" t="s">
        <v>135</v>
      </c>
      <c r="E10" s="6" t="s">
        <v>87</v>
      </c>
      <c r="F10" s="6" t="s">
        <v>160</v>
      </c>
      <c r="G10" s="6" t="n">
        <v>27</v>
      </c>
      <c r="H10" s="6" t="s">
        <v>80</v>
      </c>
      <c r="I10" s="6" t="s">
        <v>82</v>
      </c>
      <c r="J10" s="6" t="s">
        <v>60</v>
      </c>
      <c r="K10" s="6" t="n">
        <v>102409</v>
      </c>
      <c r="L10" s="6" t="n">
        <v>104197</v>
      </c>
      <c r="M10" s="6" t="s">
        <v>142</v>
      </c>
      <c r="N10" s="6" t="n">
        <v>38</v>
      </c>
      <c r="O10" s="6" t="s">
        <v>58</v>
      </c>
      <c r="P10" s="6" t="n">
        <v>8</v>
      </c>
      <c r="Q10" s="6" t="n">
        <v>3.71</v>
      </c>
      <c r="R10" s="20" t="n">
        <f aca="false">(L10-K10)/K10</f>
        <v>0.0174594029821598</v>
      </c>
    </row>
    <row r="11" customFormat="false" ht="15" hidden="false" customHeight="false" outlineLevel="0" collapsed="false">
      <c r="A11" s="6" t="s">
        <v>161</v>
      </c>
      <c r="B11" s="6" t="n">
        <v>52</v>
      </c>
      <c r="C11" s="6" t="s">
        <v>139</v>
      </c>
      <c r="D11" s="6" t="s">
        <v>140</v>
      </c>
      <c r="E11" s="6" t="s">
        <v>89</v>
      </c>
      <c r="F11" s="6" t="s">
        <v>162</v>
      </c>
      <c r="G11" s="6" t="n">
        <v>27</v>
      </c>
      <c r="H11" s="6" t="s">
        <v>82</v>
      </c>
      <c r="I11" s="6" t="s">
        <v>80</v>
      </c>
      <c r="J11" s="6" t="s">
        <v>60</v>
      </c>
      <c r="K11" s="6" t="n">
        <v>31016</v>
      </c>
      <c r="L11" s="6" t="n">
        <v>42699</v>
      </c>
      <c r="M11" s="6" t="s">
        <v>142</v>
      </c>
      <c r="N11" s="6" t="n">
        <v>47</v>
      </c>
      <c r="O11" s="6" t="s">
        <v>60</v>
      </c>
      <c r="P11" s="6" t="n">
        <v>4</v>
      </c>
      <c r="Q11" s="6" t="n">
        <v>30.67</v>
      </c>
      <c r="R11" s="20" t="n">
        <f aca="false">(L11-K11)/K11</f>
        <v>0.376676554036626</v>
      </c>
    </row>
    <row r="12" customFormat="false" ht="15" hidden="false" customHeight="false" outlineLevel="0" collapsed="false">
      <c r="A12" s="6" t="s">
        <v>163</v>
      </c>
      <c r="B12" s="6" t="n">
        <v>45</v>
      </c>
      <c r="C12" s="6" t="s">
        <v>134</v>
      </c>
      <c r="D12" s="6" t="s">
        <v>140</v>
      </c>
      <c r="E12" s="6" t="s">
        <v>93</v>
      </c>
      <c r="F12" s="6" t="s">
        <v>164</v>
      </c>
      <c r="G12" s="6" t="n">
        <v>22</v>
      </c>
      <c r="H12" s="6" t="s">
        <v>81</v>
      </c>
      <c r="I12" s="6" t="s">
        <v>82</v>
      </c>
      <c r="J12" s="6" t="s">
        <v>58</v>
      </c>
      <c r="K12" s="6" t="n">
        <v>93704</v>
      </c>
      <c r="L12" s="6" t="n">
        <v>92231</v>
      </c>
      <c r="M12" s="6" t="s">
        <v>142</v>
      </c>
      <c r="N12" s="6" t="n">
        <v>43</v>
      </c>
      <c r="O12" s="6" t="s">
        <v>58</v>
      </c>
      <c r="P12" s="6" t="n">
        <v>7</v>
      </c>
      <c r="Q12" s="6" t="n">
        <v>12.56</v>
      </c>
      <c r="R12" s="20" t="n">
        <f aca="false">(L12-K12)/K12</f>
        <v>-0.015719713139247</v>
      </c>
    </row>
    <row r="13" customFormat="false" ht="15" hidden="false" customHeight="false" outlineLevel="0" collapsed="false">
      <c r="A13" s="6" t="s">
        <v>165</v>
      </c>
      <c r="B13" s="6" t="n">
        <v>36</v>
      </c>
      <c r="C13" s="6" t="s">
        <v>159</v>
      </c>
      <c r="D13" s="6" t="s">
        <v>144</v>
      </c>
      <c r="E13" s="6" t="s">
        <v>89</v>
      </c>
      <c r="F13" s="6" t="s">
        <v>162</v>
      </c>
      <c r="G13" s="6" t="n">
        <v>10</v>
      </c>
      <c r="H13" s="6" t="s">
        <v>82</v>
      </c>
      <c r="I13" s="6" t="s">
        <v>80</v>
      </c>
      <c r="J13" s="6" t="s">
        <v>60</v>
      </c>
      <c r="K13" s="6" t="n">
        <v>78984</v>
      </c>
      <c r="L13" s="6" t="n">
        <v>109956</v>
      </c>
      <c r="M13" s="6" t="s">
        <v>142</v>
      </c>
      <c r="N13" s="6" t="n">
        <v>46</v>
      </c>
      <c r="O13" s="6" t="s">
        <v>58</v>
      </c>
      <c r="P13" s="6" t="n">
        <v>9</v>
      </c>
      <c r="Q13" s="6" t="n">
        <v>26.33</v>
      </c>
      <c r="R13" s="20" t="n">
        <f aca="false">(L13-K13)/K13</f>
        <v>0.392130051656032</v>
      </c>
    </row>
    <row r="14" customFormat="false" ht="15" hidden="false" customHeight="false" outlineLevel="0" collapsed="false">
      <c r="A14" s="6" t="s">
        <v>166</v>
      </c>
      <c r="B14" s="6" t="n">
        <v>32</v>
      </c>
      <c r="C14" s="6" t="s">
        <v>159</v>
      </c>
      <c r="D14" s="6" t="s">
        <v>135</v>
      </c>
      <c r="E14" s="6" t="s">
        <v>89</v>
      </c>
      <c r="F14" s="6" t="s">
        <v>162</v>
      </c>
      <c r="G14" s="6" t="n">
        <v>8</v>
      </c>
      <c r="H14" s="6" t="s">
        <v>82</v>
      </c>
      <c r="I14" s="6" t="s">
        <v>82</v>
      </c>
      <c r="J14" s="6" t="s">
        <v>58</v>
      </c>
      <c r="K14" s="6" t="n">
        <v>69504</v>
      </c>
      <c r="L14" s="6" t="n">
        <v>85267</v>
      </c>
      <c r="M14" s="6" t="s">
        <v>146</v>
      </c>
      <c r="N14" s="6" t="n">
        <v>39</v>
      </c>
      <c r="O14" s="6" t="s">
        <v>58</v>
      </c>
      <c r="P14" s="6" t="n">
        <v>4</v>
      </c>
      <c r="Q14" s="6" t="n">
        <v>27.41</v>
      </c>
      <c r="R14" s="20" t="n">
        <f aca="false">(L14-K14)/K14</f>
        <v>0.226792702578269</v>
      </c>
    </row>
    <row r="15" customFormat="false" ht="15" hidden="false" customHeight="false" outlineLevel="0" collapsed="false">
      <c r="A15" s="6" t="s">
        <v>167</v>
      </c>
      <c r="B15" s="6" t="n">
        <v>49</v>
      </c>
      <c r="C15" s="6" t="s">
        <v>134</v>
      </c>
      <c r="D15" s="6" t="s">
        <v>140</v>
      </c>
      <c r="E15" s="6" t="s">
        <v>92</v>
      </c>
      <c r="F15" s="6" t="s">
        <v>136</v>
      </c>
      <c r="G15" s="6" t="n">
        <v>27</v>
      </c>
      <c r="H15" s="6" t="s">
        <v>82</v>
      </c>
      <c r="I15" s="6" t="s">
        <v>80</v>
      </c>
      <c r="J15" s="6" t="s">
        <v>60</v>
      </c>
      <c r="K15" s="6" t="n">
        <v>60535</v>
      </c>
      <c r="L15" s="6" t="n">
        <v>64752</v>
      </c>
      <c r="M15" s="6" t="s">
        <v>142</v>
      </c>
      <c r="N15" s="6" t="n">
        <v>39</v>
      </c>
      <c r="O15" s="6" t="s">
        <v>60</v>
      </c>
      <c r="P15" s="6" t="n">
        <v>5</v>
      </c>
      <c r="Q15" s="6" t="n">
        <v>-14.28</v>
      </c>
      <c r="R15" s="20" t="n">
        <f aca="false">(L15-K15)/K15</f>
        <v>0.0696621789047658</v>
      </c>
    </row>
    <row r="16" customFormat="false" ht="15" hidden="false" customHeight="false" outlineLevel="0" collapsed="false">
      <c r="A16" s="6" t="s">
        <v>168</v>
      </c>
      <c r="B16" s="6" t="n">
        <v>43</v>
      </c>
      <c r="C16" s="6" t="s">
        <v>159</v>
      </c>
      <c r="D16" s="6" t="s">
        <v>144</v>
      </c>
      <c r="E16" s="6" t="s">
        <v>87</v>
      </c>
      <c r="F16" s="6" t="s">
        <v>160</v>
      </c>
      <c r="G16" s="6" t="n">
        <v>19</v>
      </c>
      <c r="H16" s="6" t="s">
        <v>81</v>
      </c>
      <c r="I16" s="6" t="s">
        <v>82</v>
      </c>
      <c r="J16" s="6" t="s">
        <v>60</v>
      </c>
      <c r="K16" s="6" t="n">
        <v>100592</v>
      </c>
      <c r="L16" s="6" t="n">
        <v>102088</v>
      </c>
      <c r="M16" s="6" t="s">
        <v>142</v>
      </c>
      <c r="N16" s="6" t="n">
        <v>37</v>
      </c>
      <c r="O16" s="6" t="s">
        <v>58</v>
      </c>
      <c r="P16" s="6" t="n">
        <v>3</v>
      </c>
      <c r="Q16" s="6" t="n">
        <v>38.3</v>
      </c>
      <c r="R16" s="20" t="n">
        <f aca="false">(L16-K16)/K16</f>
        <v>0.0148719580085892</v>
      </c>
    </row>
    <row r="17" customFormat="false" ht="15" hidden="false" customHeight="false" outlineLevel="0" collapsed="false">
      <c r="A17" s="6" t="s">
        <v>169</v>
      </c>
      <c r="B17" s="6" t="n">
        <v>26</v>
      </c>
      <c r="C17" s="6" t="s">
        <v>159</v>
      </c>
      <c r="D17" s="6" t="s">
        <v>135</v>
      </c>
      <c r="E17" s="6" t="s">
        <v>87</v>
      </c>
      <c r="F17" s="6" t="s">
        <v>155</v>
      </c>
      <c r="G17" s="6" t="n">
        <v>3</v>
      </c>
      <c r="H17" s="6" t="s">
        <v>80</v>
      </c>
      <c r="I17" s="6" t="s">
        <v>81</v>
      </c>
      <c r="J17" s="6" t="s">
        <v>60</v>
      </c>
      <c r="K17" s="6" t="n">
        <v>36910</v>
      </c>
      <c r="L17" s="6" t="n">
        <v>36482</v>
      </c>
      <c r="M17" s="6" t="s">
        <v>146</v>
      </c>
      <c r="N17" s="6" t="n">
        <v>49</v>
      </c>
      <c r="O17" s="6" t="s">
        <v>60</v>
      </c>
      <c r="P17" s="6" t="n">
        <v>9</v>
      </c>
      <c r="Q17" s="6" t="n">
        <v>-17.57</v>
      </c>
      <c r="R17" s="20" t="n">
        <f aca="false">(L17-K17)/K17</f>
        <v>-0.0115957735031157</v>
      </c>
    </row>
    <row r="18" customFormat="false" ht="15" hidden="false" customHeight="false" outlineLevel="0" collapsed="false">
      <c r="A18" s="6" t="s">
        <v>170</v>
      </c>
      <c r="B18" s="6" t="n">
        <v>47</v>
      </c>
      <c r="C18" s="6" t="s">
        <v>159</v>
      </c>
      <c r="D18" s="6" t="s">
        <v>148</v>
      </c>
      <c r="E18" s="6" t="s">
        <v>87</v>
      </c>
      <c r="F18" s="6" t="s">
        <v>149</v>
      </c>
      <c r="G18" s="6" t="n">
        <v>24</v>
      </c>
      <c r="H18" s="6" t="s">
        <v>82</v>
      </c>
      <c r="I18" s="6" t="s">
        <v>81</v>
      </c>
      <c r="J18" s="6" t="s">
        <v>60</v>
      </c>
      <c r="K18" s="6" t="n">
        <v>53419</v>
      </c>
      <c r="L18" s="6" t="n">
        <v>46193</v>
      </c>
      <c r="M18" s="6" t="s">
        <v>146</v>
      </c>
      <c r="N18" s="6" t="n">
        <v>41</v>
      </c>
      <c r="O18" s="6" t="s">
        <v>60</v>
      </c>
      <c r="P18" s="6" t="n">
        <v>3</v>
      </c>
      <c r="Q18" s="6" t="n">
        <v>-18.11</v>
      </c>
      <c r="R18" s="20" t="n">
        <f aca="false">(L18-K18)/K18</f>
        <v>-0.135270222205582</v>
      </c>
    </row>
    <row r="19" customFormat="false" ht="15" hidden="false" customHeight="false" outlineLevel="0" collapsed="false">
      <c r="A19" s="6" t="s">
        <v>171</v>
      </c>
      <c r="B19" s="6" t="n">
        <v>53</v>
      </c>
      <c r="C19" s="6" t="s">
        <v>159</v>
      </c>
      <c r="D19" s="6" t="s">
        <v>135</v>
      </c>
      <c r="E19" s="6" t="s">
        <v>87</v>
      </c>
      <c r="F19" s="6" t="s">
        <v>149</v>
      </c>
      <c r="G19" s="6" t="n">
        <v>28</v>
      </c>
      <c r="H19" s="6" t="s">
        <v>82</v>
      </c>
      <c r="I19" s="6" t="s">
        <v>82</v>
      </c>
      <c r="J19" s="6" t="s">
        <v>60</v>
      </c>
      <c r="K19" s="6" t="n">
        <v>48141</v>
      </c>
      <c r="L19" s="6" t="n">
        <v>42537</v>
      </c>
      <c r="M19" s="6" t="s">
        <v>137</v>
      </c>
      <c r="N19" s="6" t="n">
        <v>49</v>
      </c>
      <c r="O19" s="6" t="s">
        <v>58</v>
      </c>
      <c r="P19" s="6" t="n">
        <v>5</v>
      </c>
      <c r="Q19" s="6" t="n">
        <v>16.27</v>
      </c>
      <c r="R19" s="20" t="n">
        <f aca="false">(L19-K19)/K19</f>
        <v>-0.116408051349162</v>
      </c>
    </row>
    <row r="20" customFormat="false" ht="15" hidden="false" customHeight="false" outlineLevel="0" collapsed="false">
      <c r="A20" s="6" t="s">
        <v>172</v>
      </c>
      <c r="B20" s="6" t="n">
        <v>50</v>
      </c>
      <c r="C20" s="6" t="s">
        <v>139</v>
      </c>
      <c r="D20" s="6" t="s">
        <v>135</v>
      </c>
      <c r="E20" s="6" t="s">
        <v>87</v>
      </c>
      <c r="F20" s="6" t="s">
        <v>155</v>
      </c>
      <c r="G20" s="6" t="n">
        <v>25</v>
      </c>
      <c r="H20" s="6" t="s">
        <v>81</v>
      </c>
      <c r="I20" s="6" t="s">
        <v>82</v>
      </c>
      <c r="J20" s="6" t="s">
        <v>58</v>
      </c>
      <c r="K20" s="6" t="n">
        <v>85820</v>
      </c>
      <c r="L20" s="6" t="n">
        <v>79219</v>
      </c>
      <c r="M20" s="6" t="s">
        <v>142</v>
      </c>
      <c r="N20" s="6" t="n">
        <v>36</v>
      </c>
      <c r="O20" s="6" t="s">
        <v>60</v>
      </c>
      <c r="P20" s="6" t="n">
        <v>4</v>
      </c>
      <c r="Q20" s="6" t="n">
        <v>-2.61</v>
      </c>
      <c r="R20" s="20" t="n">
        <f aca="false">(L20-K20)/K20</f>
        <v>-0.0769168026101142</v>
      </c>
    </row>
    <row r="21" customFormat="false" ht="15" hidden="false" customHeight="false" outlineLevel="0" collapsed="false">
      <c r="A21" s="6" t="s">
        <v>173</v>
      </c>
      <c r="B21" s="6" t="n">
        <v>27</v>
      </c>
      <c r="C21" s="6" t="s">
        <v>134</v>
      </c>
      <c r="D21" s="6" t="s">
        <v>148</v>
      </c>
      <c r="E21" s="6" t="s">
        <v>89</v>
      </c>
      <c r="F21" s="6" t="s">
        <v>162</v>
      </c>
      <c r="G21" s="6" t="n">
        <v>2</v>
      </c>
      <c r="H21" s="6" t="s">
        <v>81</v>
      </c>
      <c r="I21" s="6" t="s">
        <v>80</v>
      </c>
      <c r="J21" s="6" t="s">
        <v>58</v>
      </c>
      <c r="K21" s="6" t="n">
        <v>99163</v>
      </c>
      <c r="L21" s="6" t="n">
        <v>101637</v>
      </c>
      <c r="M21" s="6" t="s">
        <v>142</v>
      </c>
      <c r="N21" s="6" t="n">
        <v>41</v>
      </c>
      <c r="O21" s="6" t="s">
        <v>58</v>
      </c>
      <c r="P21" s="6" t="n">
        <v>8</v>
      </c>
      <c r="Q21" s="6" t="n">
        <v>33</v>
      </c>
      <c r="R21" s="20" t="n">
        <f aca="false">(L21-K21)/K21</f>
        <v>0.0249488216371025</v>
      </c>
    </row>
    <row r="22" customFormat="false" ht="15" hidden="false" customHeight="false" outlineLevel="0" collapsed="false">
      <c r="A22" s="6" t="s">
        <v>174</v>
      </c>
      <c r="B22" s="6" t="n">
        <v>54</v>
      </c>
      <c r="C22" s="6" t="s">
        <v>159</v>
      </c>
      <c r="D22" s="6" t="s">
        <v>140</v>
      </c>
      <c r="E22" s="6" t="s">
        <v>91</v>
      </c>
      <c r="F22" s="6" t="s">
        <v>141</v>
      </c>
      <c r="G22" s="6" t="n">
        <v>32</v>
      </c>
      <c r="H22" s="6" t="s">
        <v>80</v>
      </c>
      <c r="I22" s="6" t="s">
        <v>81</v>
      </c>
      <c r="J22" s="6" t="s">
        <v>60</v>
      </c>
      <c r="K22" s="6" t="n">
        <v>96842</v>
      </c>
      <c r="L22" s="6" t="n">
        <v>98204</v>
      </c>
      <c r="M22" s="6" t="s">
        <v>146</v>
      </c>
      <c r="N22" s="6" t="n">
        <v>43</v>
      </c>
      <c r="O22" s="6" t="s">
        <v>58</v>
      </c>
      <c r="P22" s="6" t="n">
        <v>5</v>
      </c>
      <c r="Q22" s="6" t="n">
        <v>29.08</v>
      </c>
      <c r="R22" s="20" t="n">
        <f aca="false">(L22-K22)/K22</f>
        <v>0.0140641457218975</v>
      </c>
    </row>
    <row r="23" customFormat="false" ht="15" hidden="false" customHeight="false" outlineLevel="0" collapsed="false">
      <c r="A23" s="6" t="s">
        <v>175</v>
      </c>
      <c r="B23" s="6" t="n">
        <v>27</v>
      </c>
      <c r="C23" s="6" t="s">
        <v>139</v>
      </c>
      <c r="D23" s="6" t="s">
        <v>148</v>
      </c>
      <c r="E23" s="6" t="s">
        <v>89</v>
      </c>
      <c r="F23" s="6" t="s">
        <v>153</v>
      </c>
      <c r="G23" s="6" t="n">
        <v>3</v>
      </c>
      <c r="H23" s="6" t="s">
        <v>80</v>
      </c>
      <c r="I23" s="6" t="s">
        <v>81</v>
      </c>
      <c r="J23" s="6" t="s">
        <v>58</v>
      </c>
      <c r="K23" s="6" t="n">
        <v>33748</v>
      </c>
      <c r="L23" s="6" t="n">
        <v>35565</v>
      </c>
      <c r="M23" s="6" t="s">
        <v>146</v>
      </c>
      <c r="N23" s="6" t="n">
        <v>49</v>
      </c>
      <c r="O23" s="6" t="s">
        <v>58</v>
      </c>
      <c r="P23" s="6" t="n">
        <v>5</v>
      </c>
      <c r="Q23" s="6" t="n">
        <v>-3.84</v>
      </c>
      <c r="R23" s="20" t="n">
        <f aca="false">(L23-K23)/K23</f>
        <v>0.0538402275690411</v>
      </c>
    </row>
    <row r="24" customFormat="false" ht="15" hidden="false" customHeight="false" outlineLevel="0" collapsed="false">
      <c r="A24" s="6" t="s">
        <v>176</v>
      </c>
      <c r="B24" s="6" t="n">
        <v>53</v>
      </c>
      <c r="C24" s="6" t="s">
        <v>159</v>
      </c>
      <c r="D24" s="6" t="s">
        <v>144</v>
      </c>
      <c r="E24" s="6" t="s">
        <v>87</v>
      </c>
      <c r="F24" s="6" t="s">
        <v>149</v>
      </c>
      <c r="G24" s="6" t="n">
        <v>31</v>
      </c>
      <c r="H24" s="6" t="s">
        <v>80</v>
      </c>
      <c r="I24" s="6" t="s">
        <v>82</v>
      </c>
      <c r="J24" s="6" t="s">
        <v>58</v>
      </c>
      <c r="K24" s="6" t="n">
        <v>84384</v>
      </c>
      <c r="L24" s="6" t="n">
        <v>80986</v>
      </c>
      <c r="M24" s="6" t="s">
        <v>142</v>
      </c>
      <c r="N24" s="6" t="n">
        <v>46</v>
      </c>
      <c r="O24" s="6" t="s">
        <v>60</v>
      </c>
      <c r="P24" s="6" t="n">
        <v>8</v>
      </c>
      <c r="Q24" s="6" t="n">
        <v>-4.77</v>
      </c>
      <c r="R24" s="20" t="n">
        <f aca="false">(L24-K24)/K24</f>
        <v>-0.0402682973075465</v>
      </c>
    </row>
    <row r="25" customFormat="false" ht="15" hidden="false" customHeight="false" outlineLevel="0" collapsed="false">
      <c r="A25" s="6" t="s">
        <v>177</v>
      </c>
      <c r="B25" s="6" t="n">
        <v>23</v>
      </c>
      <c r="C25" s="6" t="s">
        <v>134</v>
      </c>
      <c r="D25" s="6" t="s">
        <v>148</v>
      </c>
      <c r="E25" s="6" t="s">
        <v>93</v>
      </c>
      <c r="F25" s="6" t="s">
        <v>164</v>
      </c>
      <c r="G25" s="6" t="n">
        <v>0</v>
      </c>
      <c r="H25" s="6" t="s">
        <v>82</v>
      </c>
      <c r="I25" s="6" t="s">
        <v>82</v>
      </c>
      <c r="J25" s="6" t="s">
        <v>58</v>
      </c>
      <c r="K25" s="6" t="n">
        <v>53664</v>
      </c>
      <c r="L25" s="6" t="n">
        <v>47699</v>
      </c>
      <c r="M25" s="6" t="s">
        <v>146</v>
      </c>
      <c r="N25" s="6" t="n">
        <v>51</v>
      </c>
      <c r="O25" s="6" t="s">
        <v>60</v>
      </c>
      <c r="P25" s="6" t="n">
        <v>4</v>
      </c>
      <c r="Q25" s="6" t="n">
        <v>39.86</v>
      </c>
      <c r="R25" s="20" t="n">
        <f aca="false">(L25-K25)/K25</f>
        <v>-0.111154591532499</v>
      </c>
    </row>
    <row r="26" customFormat="false" ht="15" hidden="false" customHeight="false" outlineLevel="0" collapsed="false">
      <c r="A26" s="6" t="s">
        <v>178</v>
      </c>
      <c r="B26" s="6" t="n">
        <v>23</v>
      </c>
      <c r="C26" s="6" t="s">
        <v>134</v>
      </c>
      <c r="D26" s="6" t="s">
        <v>140</v>
      </c>
      <c r="E26" s="6" t="s">
        <v>88</v>
      </c>
      <c r="F26" s="6" t="s">
        <v>179</v>
      </c>
      <c r="G26" s="6" t="n">
        <v>0</v>
      </c>
      <c r="H26" s="6" t="s">
        <v>81</v>
      </c>
      <c r="I26" s="6" t="s">
        <v>82</v>
      </c>
      <c r="J26" s="6" t="s">
        <v>58</v>
      </c>
      <c r="K26" s="6" t="n">
        <v>30854</v>
      </c>
      <c r="L26" s="6" t="n">
        <v>30347</v>
      </c>
      <c r="M26" s="6" t="s">
        <v>142</v>
      </c>
      <c r="N26" s="6" t="n">
        <v>53</v>
      </c>
      <c r="O26" s="6" t="s">
        <v>60</v>
      </c>
      <c r="P26" s="6" t="n">
        <v>8</v>
      </c>
      <c r="Q26" s="6" t="n">
        <v>34.5</v>
      </c>
      <c r="R26" s="20" t="n">
        <f aca="false">(L26-K26)/K26</f>
        <v>-0.0164322292085305</v>
      </c>
    </row>
    <row r="27" customFormat="false" ht="15" hidden="false" customHeight="false" outlineLevel="0" collapsed="false">
      <c r="A27" s="6" t="s">
        <v>180</v>
      </c>
      <c r="B27" s="6" t="n">
        <v>23</v>
      </c>
      <c r="C27" s="6" t="s">
        <v>134</v>
      </c>
      <c r="D27" s="6" t="s">
        <v>144</v>
      </c>
      <c r="E27" s="6" t="s">
        <v>93</v>
      </c>
      <c r="F27" s="6" t="s">
        <v>181</v>
      </c>
      <c r="G27" s="6" t="n">
        <v>0</v>
      </c>
      <c r="H27" s="6" t="s">
        <v>80</v>
      </c>
      <c r="I27" s="6" t="s">
        <v>82</v>
      </c>
      <c r="J27" s="6" t="s">
        <v>58</v>
      </c>
      <c r="K27" s="6" t="n">
        <v>80859</v>
      </c>
      <c r="L27" s="6" t="n">
        <v>82247</v>
      </c>
      <c r="M27" s="6" t="s">
        <v>142</v>
      </c>
      <c r="N27" s="6" t="n">
        <v>38</v>
      </c>
      <c r="O27" s="6" t="s">
        <v>60</v>
      </c>
      <c r="P27" s="6" t="n">
        <v>9</v>
      </c>
      <c r="Q27" s="6" t="n">
        <v>13.17</v>
      </c>
      <c r="R27" s="20" t="n">
        <f aca="false">(L27-K27)/K27</f>
        <v>0.0171656834737011</v>
      </c>
    </row>
    <row r="28" customFormat="false" ht="15" hidden="false" customHeight="false" outlineLevel="0" collapsed="false">
      <c r="A28" s="6" t="s">
        <v>182</v>
      </c>
      <c r="B28" s="6" t="n">
        <v>32</v>
      </c>
      <c r="C28" s="6" t="s">
        <v>139</v>
      </c>
      <c r="D28" s="6" t="s">
        <v>144</v>
      </c>
      <c r="E28" s="6" t="s">
        <v>87</v>
      </c>
      <c r="F28" s="6" t="s">
        <v>155</v>
      </c>
      <c r="G28" s="6" t="n">
        <v>8</v>
      </c>
      <c r="H28" s="6" t="s">
        <v>80</v>
      </c>
      <c r="I28" s="6" t="s">
        <v>82</v>
      </c>
      <c r="J28" s="6" t="s">
        <v>60</v>
      </c>
      <c r="K28" s="6" t="n">
        <v>42688</v>
      </c>
      <c r="L28" s="6" t="n">
        <v>45216</v>
      </c>
      <c r="M28" s="6" t="s">
        <v>142</v>
      </c>
      <c r="N28" s="6" t="n">
        <v>54</v>
      </c>
      <c r="O28" s="6" t="s">
        <v>60</v>
      </c>
      <c r="P28" s="6" t="n">
        <v>4</v>
      </c>
      <c r="Q28" s="6" t="n">
        <v>2.07</v>
      </c>
      <c r="R28" s="20" t="n">
        <f aca="false">(L28-K28)/K28</f>
        <v>0.0592203898050975</v>
      </c>
    </row>
    <row r="29" customFormat="false" ht="15" hidden="false" customHeight="false" outlineLevel="0" collapsed="false">
      <c r="A29" s="6" t="s">
        <v>183</v>
      </c>
      <c r="B29" s="6" t="n">
        <v>27</v>
      </c>
      <c r="C29" s="6" t="s">
        <v>139</v>
      </c>
      <c r="D29" s="6" t="s">
        <v>140</v>
      </c>
      <c r="E29" s="6" t="s">
        <v>87</v>
      </c>
      <c r="F29" s="6" t="s">
        <v>160</v>
      </c>
      <c r="G29" s="6" t="n">
        <v>3</v>
      </c>
      <c r="H29" s="6" t="s">
        <v>82</v>
      </c>
      <c r="I29" s="6" t="s">
        <v>81</v>
      </c>
      <c r="J29" s="6" t="s">
        <v>60</v>
      </c>
      <c r="K29" s="6" t="n">
        <v>110623</v>
      </c>
      <c r="L29" s="6" t="n">
        <v>141487</v>
      </c>
      <c r="M29" s="6" t="s">
        <v>146</v>
      </c>
      <c r="N29" s="6" t="n">
        <v>40</v>
      </c>
      <c r="O29" s="6" t="s">
        <v>60</v>
      </c>
      <c r="P29" s="6" t="n">
        <v>7</v>
      </c>
      <c r="Q29" s="6" t="n">
        <v>-10.96</v>
      </c>
      <c r="R29" s="20" t="n">
        <f aca="false">(L29-K29)/K29</f>
        <v>0.279001654267196</v>
      </c>
    </row>
    <row r="30" customFormat="false" ht="15" hidden="false" customHeight="false" outlineLevel="0" collapsed="false">
      <c r="A30" s="6" t="s">
        <v>184</v>
      </c>
      <c r="B30" s="6" t="n">
        <v>24</v>
      </c>
      <c r="C30" s="6" t="s">
        <v>159</v>
      </c>
      <c r="D30" s="6" t="s">
        <v>148</v>
      </c>
      <c r="E30" s="6" t="s">
        <v>90</v>
      </c>
      <c r="F30" s="6" t="s">
        <v>145</v>
      </c>
      <c r="G30" s="6" t="n">
        <v>0</v>
      </c>
      <c r="H30" s="6" t="s">
        <v>82</v>
      </c>
      <c r="I30" s="6" t="s">
        <v>81</v>
      </c>
      <c r="J30" s="6" t="s">
        <v>58</v>
      </c>
      <c r="K30" s="6" t="n">
        <v>32811</v>
      </c>
      <c r="L30" s="6" t="n">
        <v>39587</v>
      </c>
      <c r="M30" s="6" t="s">
        <v>146</v>
      </c>
      <c r="N30" s="6" t="n">
        <v>37</v>
      </c>
      <c r="O30" s="6" t="s">
        <v>58</v>
      </c>
      <c r="P30" s="6" t="n">
        <v>9</v>
      </c>
      <c r="Q30" s="6" t="n">
        <v>-19</v>
      </c>
      <c r="R30" s="20" t="n">
        <f aca="false">(L30-K30)/K30</f>
        <v>0.206516107403005</v>
      </c>
    </row>
    <row r="31" customFormat="false" ht="15" hidden="false" customHeight="false" outlineLevel="0" collapsed="false">
      <c r="A31" s="6" t="s">
        <v>185</v>
      </c>
      <c r="B31" s="6" t="n">
        <v>40</v>
      </c>
      <c r="C31" s="6" t="s">
        <v>159</v>
      </c>
      <c r="D31" s="6" t="s">
        <v>148</v>
      </c>
      <c r="E31" s="6" t="s">
        <v>87</v>
      </c>
      <c r="F31" s="6" t="s">
        <v>149</v>
      </c>
      <c r="G31" s="6" t="n">
        <v>15</v>
      </c>
      <c r="H31" s="6" t="s">
        <v>81</v>
      </c>
      <c r="I31" s="6" t="s">
        <v>82</v>
      </c>
      <c r="J31" s="6" t="s">
        <v>58</v>
      </c>
      <c r="K31" s="6" t="n">
        <v>32911</v>
      </c>
      <c r="L31" s="6" t="n">
        <v>30569</v>
      </c>
      <c r="M31" s="6" t="s">
        <v>142</v>
      </c>
      <c r="N31" s="6" t="n">
        <v>42</v>
      </c>
      <c r="O31" s="6" t="s">
        <v>60</v>
      </c>
      <c r="P31" s="6" t="n">
        <v>9</v>
      </c>
      <c r="Q31" s="6" t="n">
        <v>36.43</v>
      </c>
      <c r="R31" s="20" t="n">
        <f aca="false">(L31-K31)/K31</f>
        <v>-0.071161617696211</v>
      </c>
    </row>
    <row r="32" customFormat="false" ht="15" hidden="false" customHeight="false" outlineLevel="0" collapsed="false">
      <c r="A32" s="6" t="s">
        <v>186</v>
      </c>
      <c r="B32" s="6" t="n">
        <v>39</v>
      </c>
      <c r="C32" s="6" t="s">
        <v>134</v>
      </c>
      <c r="D32" s="6" t="s">
        <v>140</v>
      </c>
      <c r="E32" s="6" t="s">
        <v>92</v>
      </c>
      <c r="F32" s="6" t="s">
        <v>136</v>
      </c>
      <c r="G32" s="6" t="n">
        <v>17</v>
      </c>
      <c r="H32" s="6" t="s">
        <v>81</v>
      </c>
      <c r="I32" s="6" t="s">
        <v>80</v>
      </c>
      <c r="J32" s="6" t="s">
        <v>60</v>
      </c>
      <c r="K32" s="6" t="n">
        <v>31802</v>
      </c>
      <c r="L32" s="6" t="n">
        <v>31875</v>
      </c>
      <c r="M32" s="6" t="s">
        <v>142</v>
      </c>
      <c r="N32" s="6" t="n">
        <v>44</v>
      </c>
      <c r="O32" s="6" t="s">
        <v>60</v>
      </c>
      <c r="P32" s="6" t="n">
        <v>5</v>
      </c>
      <c r="Q32" s="6" t="n">
        <v>-13.19</v>
      </c>
      <c r="R32" s="20" t="n">
        <f aca="false">(L32-K32)/K32</f>
        <v>0.00229545311615622</v>
      </c>
    </row>
    <row r="33" customFormat="false" ht="15" hidden="false" customHeight="false" outlineLevel="0" collapsed="false">
      <c r="A33" s="6" t="s">
        <v>187</v>
      </c>
      <c r="B33" s="6" t="n">
        <v>28</v>
      </c>
      <c r="C33" s="6" t="s">
        <v>159</v>
      </c>
      <c r="D33" s="6" t="s">
        <v>135</v>
      </c>
      <c r="E33" s="6" t="s">
        <v>91</v>
      </c>
      <c r="F33" s="6" t="s">
        <v>141</v>
      </c>
      <c r="G33" s="6" t="n">
        <v>3</v>
      </c>
      <c r="H33" s="6" t="s">
        <v>80</v>
      </c>
      <c r="I33" s="6" t="s">
        <v>82</v>
      </c>
      <c r="J33" s="6" t="s">
        <v>60</v>
      </c>
      <c r="K33" s="6" t="n">
        <v>46371</v>
      </c>
      <c r="L33" s="6" t="n">
        <v>47736</v>
      </c>
      <c r="M33" s="6" t="s">
        <v>142</v>
      </c>
      <c r="N33" s="6" t="n">
        <v>50</v>
      </c>
      <c r="O33" s="6" t="s">
        <v>58</v>
      </c>
      <c r="P33" s="6" t="n">
        <v>8</v>
      </c>
      <c r="Q33" s="6" t="n">
        <v>-5.49</v>
      </c>
      <c r="R33" s="20" t="n">
        <f aca="false">(L33-K33)/K33</f>
        <v>0.0294365012615643</v>
      </c>
    </row>
    <row r="34" customFormat="false" ht="15" hidden="false" customHeight="false" outlineLevel="0" collapsed="false">
      <c r="A34" s="6" t="s">
        <v>188</v>
      </c>
      <c r="B34" s="6" t="n">
        <v>33</v>
      </c>
      <c r="C34" s="6" t="s">
        <v>134</v>
      </c>
      <c r="D34" s="6" t="s">
        <v>148</v>
      </c>
      <c r="E34" s="6" t="s">
        <v>91</v>
      </c>
      <c r="F34" s="6" t="s">
        <v>141</v>
      </c>
      <c r="G34" s="6" t="n">
        <v>7</v>
      </c>
      <c r="H34" s="6" t="s">
        <v>81</v>
      </c>
      <c r="I34" s="6" t="s">
        <v>82</v>
      </c>
      <c r="J34" s="6" t="s">
        <v>60</v>
      </c>
      <c r="K34" s="6" t="n">
        <v>59855</v>
      </c>
      <c r="L34" s="6" t="n">
        <v>65237</v>
      </c>
      <c r="M34" s="6" t="s">
        <v>142</v>
      </c>
      <c r="N34" s="6" t="n">
        <v>37</v>
      </c>
      <c r="O34" s="6" t="s">
        <v>60</v>
      </c>
      <c r="P34" s="6" t="n">
        <v>5</v>
      </c>
      <c r="Q34" s="6" t="n">
        <v>0.34</v>
      </c>
      <c r="R34" s="20" t="n">
        <f aca="false">(L34-K34)/K34</f>
        <v>0.0899173001420099</v>
      </c>
    </row>
    <row r="35" customFormat="false" ht="15" hidden="false" customHeight="false" outlineLevel="0" collapsed="false">
      <c r="A35" s="6" t="s">
        <v>189</v>
      </c>
      <c r="B35" s="6" t="n">
        <v>37</v>
      </c>
      <c r="C35" s="6" t="s">
        <v>134</v>
      </c>
      <c r="D35" s="6" t="s">
        <v>148</v>
      </c>
      <c r="E35" s="6" t="s">
        <v>89</v>
      </c>
      <c r="F35" s="6" t="s">
        <v>162</v>
      </c>
      <c r="G35" s="6" t="n">
        <v>13</v>
      </c>
      <c r="H35" s="6" t="s">
        <v>81</v>
      </c>
      <c r="I35" s="6" t="s">
        <v>80</v>
      </c>
      <c r="J35" s="6" t="s">
        <v>58</v>
      </c>
      <c r="K35" s="6" t="n">
        <v>34499</v>
      </c>
      <c r="L35" s="6" t="n">
        <v>40230</v>
      </c>
      <c r="M35" s="6" t="s">
        <v>142</v>
      </c>
      <c r="N35" s="6" t="n">
        <v>54</v>
      </c>
      <c r="O35" s="6" t="s">
        <v>58</v>
      </c>
      <c r="P35" s="6" t="n">
        <v>5</v>
      </c>
      <c r="Q35" s="6" t="n">
        <v>26.79</v>
      </c>
      <c r="R35" s="20" t="n">
        <f aca="false">(L35-K35)/K35</f>
        <v>0.166120757123395</v>
      </c>
    </row>
    <row r="36" customFormat="false" ht="15" hidden="false" customHeight="false" outlineLevel="0" collapsed="false">
      <c r="A36" s="6" t="s">
        <v>190</v>
      </c>
      <c r="B36" s="6" t="n">
        <v>29</v>
      </c>
      <c r="C36" s="6" t="s">
        <v>134</v>
      </c>
      <c r="D36" s="6" t="s">
        <v>140</v>
      </c>
      <c r="E36" s="6" t="s">
        <v>90</v>
      </c>
      <c r="F36" s="6" t="s">
        <v>145</v>
      </c>
      <c r="G36" s="6" t="n">
        <v>4</v>
      </c>
      <c r="H36" s="6" t="s">
        <v>80</v>
      </c>
      <c r="I36" s="6" t="s">
        <v>82</v>
      </c>
      <c r="J36" s="6" t="s">
        <v>58</v>
      </c>
      <c r="K36" s="6" t="n">
        <v>83351</v>
      </c>
      <c r="L36" s="6" t="n">
        <v>86765</v>
      </c>
      <c r="M36" s="6" t="s">
        <v>142</v>
      </c>
      <c r="N36" s="6" t="n">
        <v>37</v>
      </c>
      <c r="O36" s="6" t="s">
        <v>58</v>
      </c>
      <c r="P36" s="6" t="n">
        <v>3</v>
      </c>
      <c r="Q36" s="6" t="n">
        <v>-19.45</v>
      </c>
      <c r="R36" s="20" t="n">
        <f aca="false">(L36-K36)/K36</f>
        <v>0.0409593166248755</v>
      </c>
    </row>
    <row r="37" customFormat="false" ht="15" hidden="false" customHeight="false" outlineLevel="0" collapsed="false">
      <c r="A37" s="6" t="s">
        <v>191</v>
      </c>
      <c r="B37" s="6" t="n">
        <v>50</v>
      </c>
      <c r="C37" s="6" t="s">
        <v>134</v>
      </c>
      <c r="D37" s="6" t="s">
        <v>140</v>
      </c>
      <c r="E37" s="6" t="s">
        <v>92</v>
      </c>
      <c r="F37" s="6" t="s">
        <v>192</v>
      </c>
      <c r="G37" s="6" t="n">
        <v>27</v>
      </c>
      <c r="H37" s="6" t="s">
        <v>80</v>
      </c>
      <c r="I37" s="6" t="s">
        <v>81</v>
      </c>
      <c r="J37" s="6" t="s">
        <v>60</v>
      </c>
      <c r="K37" s="6" t="n">
        <v>76975</v>
      </c>
      <c r="L37" s="6" t="n">
        <v>76652</v>
      </c>
      <c r="M37" s="6" t="s">
        <v>146</v>
      </c>
      <c r="N37" s="6" t="n">
        <v>37</v>
      </c>
      <c r="O37" s="6" t="s">
        <v>58</v>
      </c>
      <c r="P37" s="6" t="n">
        <v>7</v>
      </c>
      <c r="Q37" s="6" t="n">
        <v>9.14</v>
      </c>
      <c r="R37" s="20" t="n">
        <f aca="false">(L37-K37)/K37</f>
        <v>-0.00419616758687886</v>
      </c>
    </row>
    <row r="38" customFormat="false" ht="15" hidden="false" customHeight="false" outlineLevel="0" collapsed="false">
      <c r="A38" s="6" t="s">
        <v>193</v>
      </c>
      <c r="B38" s="6" t="n">
        <v>57</v>
      </c>
      <c r="C38" s="6" t="s">
        <v>159</v>
      </c>
      <c r="D38" s="6" t="s">
        <v>148</v>
      </c>
      <c r="E38" s="6" t="s">
        <v>88</v>
      </c>
      <c r="F38" s="6" t="s">
        <v>157</v>
      </c>
      <c r="G38" s="6" t="n">
        <v>35</v>
      </c>
      <c r="H38" s="6" t="s">
        <v>80</v>
      </c>
      <c r="I38" s="6" t="s">
        <v>80</v>
      </c>
      <c r="J38" s="6" t="s">
        <v>60</v>
      </c>
      <c r="K38" s="6" t="n">
        <v>68467</v>
      </c>
      <c r="L38" s="6" t="n">
        <v>67480</v>
      </c>
      <c r="M38" s="6" t="s">
        <v>142</v>
      </c>
      <c r="N38" s="6" t="n">
        <v>54</v>
      </c>
      <c r="O38" s="6" t="s">
        <v>58</v>
      </c>
      <c r="P38" s="6" t="n">
        <v>9</v>
      </c>
      <c r="Q38" s="6" t="n">
        <v>-0.48</v>
      </c>
      <c r="R38" s="20" t="n">
        <f aca="false">(L38-K38)/K38</f>
        <v>-0.014415703915755</v>
      </c>
    </row>
    <row r="39" customFormat="false" ht="15" hidden="false" customHeight="false" outlineLevel="0" collapsed="false">
      <c r="A39" s="6" t="s">
        <v>194</v>
      </c>
      <c r="B39" s="6" t="n">
        <v>24</v>
      </c>
      <c r="C39" s="6" t="s">
        <v>139</v>
      </c>
      <c r="D39" s="6" t="s">
        <v>135</v>
      </c>
      <c r="E39" s="6" t="s">
        <v>88</v>
      </c>
      <c r="F39" s="6" t="s">
        <v>179</v>
      </c>
      <c r="G39" s="6" t="n">
        <v>2</v>
      </c>
      <c r="H39" s="6" t="s">
        <v>81</v>
      </c>
      <c r="I39" s="6" t="s">
        <v>80</v>
      </c>
      <c r="J39" s="6" t="s">
        <v>58</v>
      </c>
      <c r="K39" s="6" t="n">
        <v>100271</v>
      </c>
      <c r="L39" s="6" t="n">
        <v>107339</v>
      </c>
      <c r="M39" s="6" t="s">
        <v>142</v>
      </c>
      <c r="N39" s="6" t="n">
        <v>53</v>
      </c>
      <c r="O39" s="6" t="s">
        <v>60</v>
      </c>
      <c r="P39" s="6" t="n">
        <v>8</v>
      </c>
      <c r="Q39" s="6" t="n">
        <v>-14.38</v>
      </c>
      <c r="R39" s="20" t="n">
        <f aca="false">(L39-K39)/K39</f>
        <v>0.0704889748780804</v>
      </c>
    </row>
    <row r="40" customFormat="false" ht="15" hidden="false" customHeight="false" outlineLevel="0" collapsed="false">
      <c r="A40" s="6" t="s">
        <v>195</v>
      </c>
      <c r="B40" s="6" t="n">
        <v>43</v>
      </c>
      <c r="C40" s="6" t="s">
        <v>139</v>
      </c>
      <c r="D40" s="6" t="s">
        <v>140</v>
      </c>
      <c r="E40" s="6" t="s">
        <v>87</v>
      </c>
      <c r="F40" s="6" t="s">
        <v>149</v>
      </c>
      <c r="G40" s="6" t="n">
        <v>17</v>
      </c>
      <c r="H40" s="6" t="s">
        <v>82</v>
      </c>
      <c r="I40" s="6" t="s">
        <v>82</v>
      </c>
      <c r="J40" s="6" t="s">
        <v>58</v>
      </c>
      <c r="K40" s="6" t="n">
        <v>104290</v>
      </c>
      <c r="L40" s="6" t="n">
        <v>139250</v>
      </c>
      <c r="M40" s="6" t="s">
        <v>146</v>
      </c>
      <c r="N40" s="6" t="n">
        <v>36</v>
      </c>
      <c r="O40" s="6" t="s">
        <v>60</v>
      </c>
      <c r="P40" s="6" t="n">
        <v>7</v>
      </c>
      <c r="Q40" s="6" t="n">
        <v>17.87</v>
      </c>
      <c r="R40" s="20" t="n">
        <f aca="false">(L40-K40)/K40</f>
        <v>0.335219100584907</v>
      </c>
    </row>
    <row r="41" customFormat="false" ht="15" hidden="false" customHeight="false" outlineLevel="0" collapsed="false">
      <c r="A41" s="6" t="s">
        <v>196</v>
      </c>
      <c r="B41" s="6" t="n">
        <v>51</v>
      </c>
      <c r="C41" s="6" t="s">
        <v>139</v>
      </c>
      <c r="D41" s="6" t="s">
        <v>135</v>
      </c>
      <c r="E41" s="6" t="s">
        <v>93</v>
      </c>
      <c r="F41" s="6" t="s">
        <v>197</v>
      </c>
      <c r="G41" s="6" t="n">
        <v>29</v>
      </c>
      <c r="H41" s="6" t="s">
        <v>81</v>
      </c>
      <c r="I41" s="6" t="s">
        <v>82</v>
      </c>
      <c r="J41" s="6" t="s">
        <v>58</v>
      </c>
      <c r="K41" s="6" t="n">
        <v>69790</v>
      </c>
      <c r="L41" s="6" t="n">
        <v>73122</v>
      </c>
      <c r="M41" s="6" t="s">
        <v>142</v>
      </c>
      <c r="N41" s="6" t="n">
        <v>50</v>
      </c>
      <c r="O41" s="6" t="s">
        <v>58</v>
      </c>
      <c r="P41" s="6" t="n">
        <v>5</v>
      </c>
      <c r="Q41" s="6" t="n">
        <v>-8.29</v>
      </c>
      <c r="R41" s="20" t="n">
        <f aca="false">(L41-K41)/K41</f>
        <v>0.0477432296890672</v>
      </c>
    </row>
    <row r="42" customFormat="false" ht="15" hidden="false" customHeight="false" outlineLevel="0" collapsed="false">
      <c r="A42" s="6" t="s">
        <v>198</v>
      </c>
      <c r="B42" s="6" t="n">
        <v>25</v>
      </c>
      <c r="C42" s="6" t="s">
        <v>134</v>
      </c>
      <c r="D42" s="6" t="s">
        <v>144</v>
      </c>
      <c r="E42" s="6" t="s">
        <v>93</v>
      </c>
      <c r="F42" s="6" t="s">
        <v>181</v>
      </c>
      <c r="G42" s="6" t="n">
        <v>1</v>
      </c>
      <c r="H42" s="6" t="s">
        <v>82</v>
      </c>
      <c r="I42" s="6" t="s">
        <v>81</v>
      </c>
      <c r="J42" s="6" t="s">
        <v>60</v>
      </c>
      <c r="K42" s="6" t="n">
        <v>103744</v>
      </c>
      <c r="L42" s="6" t="n">
        <v>144902</v>
      </c>
      <c r="M42" s="6" t="s">
        <v>146</v>
      </c>
      <c r="N42" s="6" t="n">
        <v>48</v>
      </c>
      <c r="O42" s="6" t="s">
        <v>60</v>
      </c>
      <c r="P42" s="6" t="n">
        <v>7</v>
      </c>
      <c r="Q42" s="6" t="n">
        <v>8.2</v>
      </c>
      <c r="R42" s="20" t="n">
        <f aca="false">(L42-K42)/K42</f>
        <v>0.396726557680444</v>
      </c>
    </row>
    <row r="43" customFormat="false" ht="15" hidden="false" customHeight="false" outlineLevel="0" collapsed="false">
      <c r="A43" s="6" t="s">
        <v>199</v>
      </c>
      <c r="B43" s="6" t="n">
        <v>27</v>
      </c>
      <c r="C43" s="6" t="s">
        <v>139</v>
      </c>
      <c r="D43" s="6" t="s">
        <v>144</v>
      </c>
      <c r="E43" s="6" t="s">
        <v>93</v>
      </c>
      <c r="F43" s="6" t="s">
        <v>197</v>
      </c>
      <c r="G43" s="6" t="n">
        <v>3</v>
      </c>
      <c r="H43" s="6" t="s">
        <v>81</v>
      </c>
      <c r="I43" s="6" t="s">
        <v>81</v>
      </c>
      <c r="J43" s="6" t="s">
        <v>58</v>
      </c>
      <c r="K43" s="6" t="n">
        <v>62635</v>
      </c>
      <c r="L43" s="6" t="n">
        <v>56661</v>
      </c>
      <c r="M43" s="6" t="s">
        <v>146</v>
      </c>
      <c r="N43" s="6" t="n">
        <v>51</v>
      </c>
      <c r="O43" s="6" t="s">
        <v>58</v>
      </c>
      <c r="P43" s="6" t="n">
        <v>8</v>
      </c>
      <c r="Q43" s="6" t="n">
        <v>35.7</v>
      </c>
      <c r="R43" s="20" t="n">
        <f aca="false">(L43-K43)/K43</f>
        <v>-0.0953779835555201</v>
      </c>
    </row>
    <row r="44" customFormat="false" ht="15" hidden="false" customHeight="false" outlineLevel="0" collapsed="false">
      <c r="A44" s="6" t="s">
        <v>200</v>
      </c>
      <c r="B44" s="6" t="n">
        <v>52</v>
      </c>
      <c r="C44" s="6" t="s">
        <v>139</v>
      </c>
      <c r="D44" s="6" t="s">
        <v>140</v>
      </c>
      <c r="E44" s="6" t="s">
        <v>87</v>
      </c>
      <c r="F44" s="6" t="s">
        <v>160</v>
      </c>
      <c r="G44" s="6" t="n">
        <v>28</v>
      </c>
      <c r="H44" s="6" t="s">
        <v>82</v>
      </c>
      <c r="I44" s="6" t="s">
        <v>80</v>
      </c>
      <c r="J44" s="6" t="s">
        <v>58</v>
      </c>
      <c r="K44" s="6" t="n">
        <v>96235</v>
      </c>
      <c r="L44" s="6" t="n">
        <v>126241</v>
      </c>
      <c r="M44" s="6" t="s">
        <v>142</v>
      </c>
      <c r="N44" s="6" t="n">
        <v>35</v>
      </c>
      <c r="O44" s="6" t="s">
        <v>58</v>
      </c>
      <c r="P44" s="6" t="n">
        <v>5</v>
      </c>
      <c r="Q44" s="6" t="n">
        <v>-2.33</v>
      </c>
      <c r="R44" s="20" t="n">
        <f aca="false">(L44-K44)/K44</f>
        <v>0.311799241440225</v>
      </c>
    </row>
    <row r="45" customFormat="false" ht="15" hidden="false" customHeight="false" outlineLevel="0" collapsed="false">
      <c r="A45" s="6" t="s">
        <v>201</v>
      </c>
      <c r="B45" s="6" t="n">
        <v>39</v>
      </c>
      <c r="C45" s="6" t="s">
        <v>134</v>
      </c>
      <c r="D45" s="6" t="s">
        <v>144</v>
      </c>
      <c r="E45" s="6" t="s">
        <v>90</v>
      </c>
      <c r="F45" s="6" t="s">
        <v>202</v>
      </c>
      <c r="G45" s="6" t="n">
        <v>17</v>
      </c>
      <c r="H45" s="6" t="s">
        <v>82</v>
      </c>
      <c r="I45" s="6" t="s">
        <v>80</v>
      </c>
      <c r="J45" s="6" t="s">
        <v>60</v>
      </c>
      <c r="K45" s="6" t="n">
        <v>62745</v>
      </c>
      <c r="L45" s="6" t="n">
        <v>85439</v>
      </c>
      <c r="M45" s="6" t="s">
        <v>142</v>
      </c>
      <c r="N45" s="6" t="n">
        <v>42</v>
      </c>
      <c r="O45" s="6" t="s">
        <v>58</v>
      </c>
      <c r="P45" s="6" t="n">
        <v>8</v>
      </c>
      <c r="Q45" s="6" t="n">
        <v>21.76</v>
      </c>
      <c r="R45" s="20" t="n">
        <f aca="false">(L45-K45)/K45</f>
        <v>0.361686190134672</v>
      </c>
    </row>
    <row r="46" customFormat="false" ht="15" hidden="false" customHeight="false" outlineLevel="0" collapsed="false">
      <c r="A46" s="6" t="s">
        <v>203</v>
      </c>
      <c r="B46" s="6" t="n">
        <v>45</v>
      </c>
      <c r="C46" s="6" t="s">
        <v>159</v>
      </c>
      <c r="D46" s="6" t="s">
        <v>148</v>
      </c>
      <c r="E46" s="6" t="s">
        <v>90</v>
      </c>
      <c r="F46" s="6" t="s">
        <v>145</v>
      </c>
      <c r="G46" s="6" t="n">
        <v>22</v>
      </c>
      <c r="H46" s="6" t="s">
        <v>81</v>
      </c>
      <c r="I46" s="6" t="s">
        <v>81</v>
      </c>
      <c r="J46" s="6" t="s">
        <v>60</v>
      </c>
      <c r="K46" s="6" t="n">
        <v>102991</v>
      </c>
      <c r="L46" s="6" t="n">
        <v>113428</v>
      </c>
      <c r="M46" s="6" t="s">
        <v>146</v>
      </c>
      <c r="N46" s="6" t="n">
        <v>44</v>
      </c>
      <c r="O46" s="6" t="s">
        <v>58</v>
      </c>
      <c r="P46" s="6" t="n">
        <v>4</v>
      </c>
      <c r="Q46" s="6" t="n">
        <v>1.52</v>
      </c>
      <c r="R46" s="20" t="n">
        <f aca="false">(L46-K46)/K46</f>
        <v>0.101338951947258</v>
      </c>
    </row>
    <row r="47" customFormat="false" ht="15" hidden="false" customHeight="false" outlineLevel="0" collapsed="false">
      <c r="A47" s="6" t="s">
        <v>204</v>
      </c>
      <c r="B47" s="6" t="n">
        <v>47</v>
      </c>
      <c r="C47" s="6" t="s">
        <v>139</v>
      </c>
      <c r="D47" s="6" t="s">
        <v>135</v>
      </c>
      <c r="E47" s="6" t="s">
        <v>91</v>
      </c>
      <c r="F47" s="6" t="s">
        <v>141</v>
      </c>
      <c r="G47" s="6" t="n">
        <v>25</v>
      </c>
      <c r="H47" s="6" t="s">
        <v>82</v>
      </c>
      <c r="I47" s="6" t="s">
        <v>81</v>
      </c>
      <c r="J47" s="6" t="s">
        <v>58</v>
      </c>
      <c r="K47" s="6" t="n">
        <v>57751</v>
      </c>
      <c r="L47" s="6" t="n">
        <v>70352</v>
      </c>
      <c r="M47" s="6" t="s">
        <v>146</v>
      </c>
      <c r="N47" s="6" t="n">
        <v>50</v>
      </c>
      <c r="O47" s="6" t="s">
        <v>58</v>
      </c>
      <c r="P47" s="6" t="n">
        <v>9</v>
      </c>
      <c r="Q47" s="6" t="n">
        <v>22.15</v>
      </c>
      <c r="R47" s="20" t="n">
        <f aca="false">(L47-K47)/K47</f>
        <v>0.218195355924573</v>
      </c>
    </row>
    <row r="48" customFormat="false" ht="15" hidden="false" customHeight="false" outlineLevel="0" collapsed="false">
      <c r="A48" s="6" t="s">
        <v>205</v>
      </c>
      <c r="B48" s="6" t="n">
        <v>50</v>
      </c>
      <c r="C48" s="6" t="s">
        <v>159</v>
      </c>
      <c r="D48" s="6" t="s">
        <v>135</v>
      </c>
      <c r="E48" s="6" t="s">
        <v>91</v>
      </c>
      <c r="F48" s="6" t="s">
        <v>206</v>
      </c>
      <c r="G48" s="6" t="n">
        <v>27</v>
      </c>
      <c r="H48" s="6" t="s">
        <v>82</v>
      </c>
      <c r="I48" s="6" t="s">
        <v>81</v>
      </c>
      <c r="J48" s="6" t="s">
        <v>58</v>
      </c>
      <c r="K48" s="6" t="n">
        <v>49190</v>
      </c>
      <c r="L48" s="6" t="n">
        <v>51741</v>
      </c>
      <c r="M48" s="6" t="s">
        <v>146</v>
      </c>
      <c r="N48" s="6" t="n">
        <v>47</v>
      </c>
      <c r="O48" s="6" t="s">
        <v>60</v>
      </c>
      <c r="P48" s="6" t="n">
        <v>6</v>
      </c>
      <c r="Q48" s="6" t="n">
        <v>-4.63</v>
      </c>
      <c r="R48" s="20" t="n">
        <f aca="false">(L48-K48)/K48</f>
        <v>0.0518601341736125</v>
      </c>
    </row>
    <row r="49" customFormat="false" ht="15" hidden="false" customHeight="false" outlineLevel="0" collapsed="false">
      <c r="A49" s="6" t="s">
        <v>207</v>
      </c>
      <c r="B49" s="6" t="n">
        <v>28</v>
      </c>
      <c r="C49" s="6" t="s">
        <v>134</v>
      </c>
      <c r="D49" s="6" t="s">
        <v>144</v>
      </c>
      <c r="E49" s="6" t="s">
        <v>91</v>
      </c>
      <c r="F49" s="6" t="s">
        <v>208</v>
      </c>
      <c r="G49" s="6" t="n">
        <v>6</v>
      </c>
      <c r="H49" s="6" t="s">
        <v>80</v>
      </c>
      <c r="I49" s="6" t="s">
        <v>81</v>
      </c>
      <c r="J49" s="6" t="s">
        <v>60</v>
      </c>
      <c r="K49" s="6" t="n">
        <v>100316</v>
      </c>
      <c r="L49" s="6" t="n">
        <v>98223</v>
      </c>
      <c r="M49" s="6" t="s">
        <v>146</v>
      </c>
      <c r="N49" s="6" t="n">
        <v>48</v>
      </c>
      <c r="O49" s="6" t="s">
        <v>58</v>
      </c>
      <c r="P49" s="6" t="n">
        <v>8</v>
      </c>
      <c r="Q49" s="6" t="n">
        <v>-15.74</v>
      </c>
      <c r="R49" s="20" t="n">
        <f aca="false">(L49-K49)/K49</f>
        <v>-0.0208640695402528</v>
      </c>
    </row>
    <row r="50" customFormat="false" ht="15" hidden="false" customHeight="false" outlineLevel="0" collapsed="false">
      <c r="A50" s="6" t="s">
        <v>209</v>
      </c>
      <c r="B50" s="6" t="n">
        <v>33</v>
      </c>
      <c r="C50" s="6" t="s">
        <v>134</v>
      </c>
      <c r="D50" s="6" t="s">
        <v>148</v>
      </c>
      <c r="E50" s="6" t="s">
        <v>93</v>
      </c>
      <c r="F50" s="6" t="s">
        <v>164</v>
      </c>
      <c r="G50" s="6" t="n">
        <v>9</v>
      </c>
      <c r="H50" s="6" t="s">
        <v>80</v>
      </c>
      <c r="I50" s="6" t="s">
        <v>82</v>
      </c>
      <c r="J50" s="6" t="s">
        <v>60</v>
      </c>
      <c r="K50" s="6" t="n">
        <v>85766</v>
      </c>
      <c r="L50" s="6" t="n">
        <v>81832</v>
      </c>
      <c r="M50" s="6" t="s">
        <v>142</v>
      </c>
      <c r="N50" s="6" t="n">
        <v>53</v>
      </c>
      <c r="O50" s="6" t="s">
        <v>58</v>
      </c>
      <c r="P50" s="6" t="n">
        <v>3</v>
      </c>
      <c r="Q50" s="6" t="n">
        <v>14.73</v>
      </c>
      <c r="R50" s="20" t="n">
        <f aca="false">(L50-K50)/K50</f>
        <v>-0.0458689923746007</v>
      </c>
    </row>
    <row r="51" customFormat="false" ht="15" hidden="false" customHeight="false" outlineLevel="0" collapsed="false">
      <c r="A51" s="6" t="s">
        <v>210</v>
      </c>
      <c r="B51" s="6" t="n">
        <v>43</v>
      </c>
      <c r="C51" s="6" t="s">
        <v>159</v>
      </c>
      <c r="D51" s="6" t="s">
        <v>135</v>
      </c>
      <c r="E51" s="6" t="s">
        <v>89</v>
      </c>
      <c r="F51" s="6" t="s">
        <v>162</v>
      </c>
      <c r="G51" s="6" t="n">
        <v>20</v>
      </c>
      <c r="H51" s="6" t="s">
        <v>82</v>
      </c>
      <c r="I51" s="6" t="s">
        <v>80</v>
      </c>
      <c r="J51" s="6" t="s">
        <v>60</v>
      </c>
      <c r="K51" s="6" t="n">
        <v>86661</v>
      </c>
      <c r="L51" s="6" t="n">
        <v>82341</v>
      </c>
      <c r="M51" s="6" t="s">
        <v>142</v>
      </c>
      <c r="N51" s="6" t="n">
        <v>49</v>
      </c>
      <c r="O51" s="6" t="s">
        <v>58</v>
      </c>
      <c r="P51" s="6" t="n">
        <v>8</v>
      </c>
      <c r="Q51" s="6" t="n">
        <v>-17.67</v>
      </c>
      <c r="R51" s="20" t="n">
        <f aca="false">(L51-K51)/K51</f>
        <v>-0.0498494132308651</v>
      </c>
    </row>
    <row r="52" customFormat="false" ht="15" hidden="false" customHeight="false" outlineLevel="0" collapsed="false">
      <c r="A52" s="6" t="s">
        <v>211</v>
      </c>
      <c r="B52" s="6" t="n">
        <v>58</v>
      </c>
      <c r="C52" s="6" t="s">
        <v>139</v>
      </c>
      <c r="D52" s="6" t="s">
        <v>135</v>
      </c>
      <c r="E52" s="6" t="s">
        <v>89</v>
      </c>
      <c r="F52" s="6" t="s">
        <v>153</v>
      </c>
      <c r="G52" s="6" t="n">
        <v>36</v>
      </c>
      <c r="H52" s="6" t="s">
        <v>80</v>
      </c>
      <c r="I52" s="6" t="s">
        <v>80</v>
      </c>
      <c r="J52" s="6" t="s">
        <v>60</v>
      </c>
      <c r="K52" s="6" t="n">
        <v>110135</v>
      </c>
      <c r="L52" s="6" t="n">
        <v>117348</v>
      </c>
      <c r="M52" s="6" t="s">
        <v>142</v>
      </c>
      <c r="N52" s="6" t="n">
        <v>39</v>
      </c>
      <c r="O52" s="6" t="s">
        <v>58</v>
      </c>
      <c r="P52" s="6" t="n">
        <v>9</v>
      </c>
      <c r="Q52" s="6" t="n">
        <v>-7.05</v>
      </c>
      <c r="R52" s="20" t="n">
        <f aca="false">(L52-K52)/K52</f>
        <v>0.0654923502973623</v>
      </c>
    </row>
    <row r="53" customFormat="false" ht="15" hidden="false" customHeight="false" outlineLevel="0" collapsed="false">
      <c r="A53" s="6" t="s">
        <v>212</v>
      </c>
      <c r="B53" s="6" t="n">
        <v>25</v>
      </c>
      <c r="C53" s="6" t="s">
        <v>139</v>
      </c>
      <c r="D53" s="6" t="s">
        <v>148</v>
      </c>
      <c r="E53" s="6" t="s">
        <v>87</v>
      </c>
      <c r="F53" s="6" t="s">
        <v>160</v>
      </c>
      <c r="G53" s="6" t="n">
        <v>0</v>
      </c>
      <c r="H53" s="6" t="s">
        <v>80</v>
      </c>
      <c r="I53" s="6" t="s">
        <v>82</v>
      </c>
      <c r="J53" s="6" t="s">
        <v>58</v>
      </c>
      <c r="K53" s="6" t="n">
        <v>88335</v>
      </c>
      <c r="L53" s="6" t="n">
        <v>90958</v>
      </c>
      <c r="M53" s="6" t="s">
        <v>142</v>
      </c>
      <c r="N53" s="6" t="n">
        <v>42</v>
      </c>
      <c r="O53" s="6" t="s">
        <v>58</v>
      </c>
      <c r="P53" s="6" t="n">
        <v>6</v>
      </c>
      <c r="Q53" s="6" t="n">
        <v>12.44</v>
      </c>
      <c r="R53" s="20" t="n">
        <f aca="false">(L53-K53)/K53</f>
        <v>0.0296937793626535</v>
      </c>
    </row>
    <row r="54" customFormat="false" ht="15" hidden="false" customHeight="false" outlineLevel="0" collapsed="false">
      <c r="A54" s="6" t="s">
        <v>213</v>
      </c>
      <c r="B54" s="6" t="n">
        <v>37</v>
      </c>
      <c r="C54" s="6" t="s">
        <v>134</v>
      </c>
      <c r="D54" s="6" t="s">
        <v>135</v>
      </c>
      <c r="E54" s="6" t="s">
        <v>89</v>
      </c>
      <c r="F54" s="6" t="s">
        <v>153</v>
      </c>
      <c r="G54" s="6" t="n">
        <v>11</v>
      </c>
      <c r="H54" s="6" t="s">
        <v>80</v>
      </c>
      <c r="I54" s="6" t="s">
        <v>81</v>
      </c>
      <c r="J54" s="6" t="s">
        <v>60</v>
      </c>
      <c r="K54" s="6" t="n">
        <v>47019</v>
      </c>
      <c r="L54" s="6" t="n">
        <v>49707</v>
      </c>
      <c r="M54" s="6" t="s">
        <v>146</v>
      </c>
      <c r="N54" s="6" t="n">
        <v>53</v>
      </c>
      <c r="O54" s="6" t="s">
        <v>60</v>
      </c>
      <c r="P54" s="6" t="n">
        <v>6</v>
      </c>
      <c r="Q54" s="6" t="n">
        <v>-17.54</v>
      </c>
      <c r="R54" s="20" t="n">
        <f aca="false">(L54-K54)/K54</f>
        <v>0.0571683787405092</v>
      </c>
    </row>
    <row r="55" customFormat="false" ht="15" hidden="false" customHeight="false" outlineLevel="0" collapsed="false">
      <c r="A55" s="6" t="s">
        <v>214</v>
      </c>
      <c r="B55" s="6" t="n">
        <v>47</v>
      </c>
      <c r="C55" s="6" t="s">
        <v>139</v>
      </c>
      <c r="D55" s="6" t="s">
        <v>148</v>
      </c>
      <c r="E55" s="6" t="s">
        <v>89</v>
      </c>
      <c r="F55" s="6" t="s">
        <v>153</v>
      </c>
      <c r="G55" s="6" t="n">
        <v>21</v>
      </c>
      <c r="H55" s="6" t="s">
        <v>82</v>
      </c>
      <c r="I55" s="6" t="s">
        <v>82</v>
      </c>
      <c r="J55" s="6" t="s">
        <v>60</v>
      </c>
      <c r="K55" s="6" t="n">
        <v>62217</v>
      </c>
      <c r="L55" s="6" t="n">
        <v>85709</v>
      </c>
      <c r="M55" s="6" t="s">
        <v>146</v>
      </c>
      <c r="N55" s="6" t="n">
        <v>43</v>
      </c>
      <c r="O55" s="6" t="s">
        <v>60</v>
      </c>
      <c r="P55" s="6" t="n">
        <v>6</v>
      </c>
      <c r="Q55" s="6" t="n">
        <v>30.16</v>
      </c>
      <c r="R55" s="20" t="n">
        <f aca="false">(L55-K55)/K55</f>
        <v>0.37758168989183</v>
      </c>
    </row>
    <row r="56" customFormat="false" ht="15" hidden="false" customHeight="false" outlineLevel="0" collapsed="false">
      <c r="A56" s="6" t="s">
        <v>215</v>
      </c>
      <c r="B56" s="6" t="n">
        <v>22</v>
      </c>
      <c r="C56" s="6" t="s">
        <v>159</v>
      </c>
      <c r="D56" s="6" t="s">
        <v>135</v>
      </c>
      <c r="E56" s="6" t="s">
        <v>92</v>
      </c>
      <c r="F56" s="6" t="s">
        <v>192</v>
      </c>
      <c r="G56" s="6" t="n">
        <v>0</v>
      </c>
      <c r="H56" s="6" t="s">
        <v>81</v>
      </c>
      <c r="I56" s="6" t="s">
        <v>80</v>
      </c>
      <c r="J56" s="6" t="s">
        <v>58</v>
      </c>
      <c r="K56" s="6" t="n">
        <v>46896</v>
      </c>
      <c r="L56" s="6" t="n">
        <v>48429</v>
      </c>
      <c r="M56" s="6" t="s">
        <v>142</v>
      </c>
      <c r="N56" s="6" t="n">
        <v>50</v>
      </c>
      <c r="O56" s="6" t="s">
        <v>60</v>
      </c>
      <c r="P56" s="6" t="n">
        <v>3</v>
      </c>
      <c r="Q56" s="6" t="n">
        <v>-5.61</v>
      </c>
      <c r="R56" s="20" t="n">
        <f aca="false">(L56-K56)/K56</f>
        <v>0.0326893551688843</v>
      </c>
    </row>
    <row r="57" customFormat="false" ht="15" hidden="false" customHeight="false" outlineLevel="0" collapsed="false">
      <c r="A57" s="6" t="s">
        <v>216</v>
      </c>
      <c r="B57" s="6" t="n">
        <v>22</v>
      </c>
      <c r="C57" s="6" t="s">
        <v>134</v>
      </c>
      <c r="D57" s="6" t="s">
        <v>144</v>
      </c>
      <c r="E57" s="6" t="s">
        <v>91</v>
      </c>
      <c r="F57" s="6" t="s">
        <v>141</v>
      </c>
      <c r="G57" s="6" t="n">
        <v>0</v>
      </c>
      <c r="H57" s="6" t="s">
        <v>81</v>
      </c>
      <c r="I57" s="6" t="s">
        <v>81</v>
      </c>
      <c r="J57" s="6" t="s">
        <v>60</v>
      </c>
      <c r="K57" s="6" t="n">
        <v>83222</v>
      </c>
      <c r="L57" s="6" t="n">
        <v>91305</v>
      </c>
      <c r="M57" s="6" t="s">
        <v>146</v>
      </c>
      <c r="N57" s="6" t="n">
        <v>37</v>
      </c>
      <c r="O57" s="6" t="s">
        <v>60</v>
      </c>
      <c r="P57" s="6" t="n">
        <v>6</v>
      </c>
      <c r="Q57" s="6" t="n">
        <v>6.14</v>
      </c>
      <c r="R57" s="20" t="n">
        <f aca="false">(L57-K57)/K57</f>
        <v>0.0971257600153806</v>
      </c>
    </row>
    <row r="58" customFormat="false" ht="15" hidden="false" customHeight="false" outlineLevel="0" collapsed="false">
      <c r="A58" s="6" t="s">
        <v>217</v>
      </c>
      <c r="B58" s="6" t="n">
        <v>47</v>
      </c>
      <c r="C58" s="6" t="s">
        <v>139</v>
      </c>
      <c r="D58" s="6" t="s">
        <v>148</v>
      </c>
      <c r="E58" s="6" t="s">
        <v>92</v>
      </c>
      <c r="F58" s="6" t="s">
        <v>136</v>
      </c>
      <c r="G58" s="6" t="n">
        <v>23</v>
      </c>
      <c r="H58" s="6" t="s">
        <v>81</v>
      </c>
      <c r="I58" s="6" t="s">
        <v>80</v>
      </c>
      <c r="J58" s="6" t="s">
        <v>58</v>
      </c>
      <c r="K58" s="6" t="n">
        <v>43284</v>
      </c>
      <c r="L58" s="6" t="n">
        <v>40515</v>
      </c>
      <c r="M58" s="6" t="s">
        <v>142</v>
      </c>
      <c r="N58" s="6" t="n">
        <v>39</v>
      </c>
      <c r="O58" s="6" t="s">
        <v>60</v>
      </c>
      <c r="P58" s="6" t="n">
        <v>9</v>
      </c>
      <c r="Q58" s="6" t="n">
        <v>0.51</v>
      </c>
      <c r="R58" s="20" t="n">
        <f aca="false">(L58-K58)/K58</f>
        <v>-0.0639728306071528</v>
      </c>
    </row>
    <row r="59" customFormat="false" ht="15" hidden="false" customHeight="false" outlineLevel="0" collapsed="false">
      <c r="A59" s="6" t="s">
        <v>218</v>
      </c>
      <c r="B59" s="6" t="n">
        <v>51</v>
      </c>
      <c r="C59" s="6" t="s">
        <v>139</v>
      </c>
      <c r="D59" s="6" t="s">
        <v>135</v>
      </c>
      <c r="E59" s="6" t="s">
        <v>93</v>
      </c>
      <c r="F59" s="6" t="s">
        <v>164</v>
      </c>
      <c r="G59" s="6" t="n">
        <v>26</v>
      </c>
      <c r="H59" s="6" t="s">
        <v>82</v>
      </c>
      <c r="I59" s="6" t="s">
        <v>80</v>
      </c>
      <c r="J59" s="6" t="s">
        <v>58</v>
      </c>
      <c r="K59" s="6" t="n">
        <v>59124</v>
      </c>
      <c r="L59" s="6" t="n">
        <v>64120</v>
      </c>
      <c r="M59" s="6" t="s">
        <v>142</v>
      </c>
      <c r="N59" s="6" t="n">
        <v>50</v>
      </c>
      <c r="O59" s="6" t="s">
        <v>58</v>
      </c>
      <c r="P59" s="6" t="n">
        <v>7</v>
      </c>
      <c r="Q59" s="6" t="n">
        <v>-14.13</v>
      </c>
      <c r="R59" s="20" t="n">
        <f aca="false">(L59-K59)/K59</f>
        <v>0.0845003720993167</v>
      </c>
    </row>
    <row r="60" customFormat="false" ht="15" hidden="false" customHeight="false" outlineLevel="0" collapsed="false">
      <c r="A60" s="6" t="s">
        <v>219</v>
      </c>
      <c r="B60" s="6" t="n">
        <v>57</v>
      </c>
      <c r="C60" s="6" t="s">
        <v>159</v>
      </c>
      <c r="D60" s="6" t="s">
        <v>148</v>
      </c>
      <c r="E60" s="6" t="s">
        <v>87</v>
      </c>
      <c r="F60" s="6" t="s">
        <v>149</v>
      </c>
      <c r="G60" s="6" t="n">
        <v>35</v>
      </c>
      <c r="H60" s="6" t="s">
        <v>82</v>
      </c>
      <c r="I60" s="6" t="s">
        <v>81</v>
      </c>
      <c r="J60" s="6" t="s">
        <v>58</v>
      </c>
      <c r="K60" s="6" t="n">
        <v>86573</v>
      </c>
      <c r="L60" s="6" t="n">
        <v>91794</v>
      </c>
      <c r="M60" s="6" t="s">
        <v>146</v>
      </c>
      <c r="N60" s="6" t="n">
        <v>44</v>
      </c>
      <c r="O60" s="6" t="s">
        <v>58</v>
      </c>
      <c r="P60" s="6" t="n">
        <v>8</v>
      </c>
      <c r="Q60" s="6" t="n">
        <v>3.91</v>
      </c>
      <c r="R60" s="20" t="n">
        <f aca="false">(L60-K60)/K60</f>
        <v>0.0603074861677428</v>
      </c>
    </row>
    <row r="61" customFormat="false" ht="15" hidden="false" customHeight="false" outlineLevel="0" collapsed="false">
      <c r="A61" s="6" t="s">
        <v>220</v>
      </c>
      <c r="B61" s="6" t="n">
        <v>26</v>
      </c>
      <c r="C61" s="6" t="s">
        <v>134</v>
      </c>
      <c r="D61" s="6" t="s">
        <v>140</v>
      </c>
      <c r="E61" s="6" t="s">
        <v>87</v>
      </c>
      <c r="F61" s="6" t="s">
        <v>155</v>
      </c>
      <c r="G61" s="6" t="n">
        <v>1</v>
      </c>
      <c r="H61" s="6" t="s">
        <v>80</v>
      </c>
      <c r="I61" s="6" t="s">
        <v>81</v>
      </c>
      <c r="J61" s="6" t="s">
        <v>58</v>
      </c>
      <c r="K61" s="6" t="n">
        <v>98385</v>
      </c>
      <c r="L61" s="6" t="n">
        <v>97315</v>
      </c>
      <c r="M61" s="6" t="s">
        <v>146</v>
      </c>
      <c r="N61" s="6" t="n">
        <v>53</v>
      </c>
      <c r="O61" s="6" t="s">
        <v>58</v>
      </c>
      <c r="P61" s="6" t="n">
        <v>4</v>
      </c>
      <c r="Q61" s="6" t="n">
        <v>-19.08</v>
      </c>
      <c r="R61" s="20" t="n">
        <f aca="false">(L61-K61)/K61</f>
        <v>-0.0108756416120344</v>
      </c>
    </row>
    <row r="62" customFormat="false" ht="15" hidden="false" customHeight="false" outlineLevel="0" collapsed="false">
      <c r="A62" s="6" t="s">
        <v>221</v>
      </c>
      <c r="B62" s="6" t="n">
        <v>53</v>
      </c>
      <c r="C62" s="6" t="s">
        <v>139</v>
      </c>
      <c r="D62" s="6" t="s">
        <v>140</v>
      </c>
      <c r="E62" s="6" t="s">
        <v>92</v>
      </c>
      <c r="F62" s="6" t="s">
        <v>222</v>
      </c>
      <c r="G62" s="6" t="n">
        <v>31</v>
      </c>
      <c r="H62" s="6" t="s">
        <v>80</v>
      </c>
      <c r="I62" s="6" t="s">
        <v>82</v>
      </c>
      <c r="J62" s="6" t="s">
        <v>58</v>
      </c>
      <c r="K62" s="6" t="n">
        <v>71975</v>
      </c>
      <c r="L62" s="6" t="n">
        <v>75487</v>
      </c>
      <c r="M62" s="6" t="s">
        <v>142</v>
      </c>
      <c r="N62" s="6" t="n">
        <v>50</v>
      </c>
      <c r="O62" s="6" t="s">
        <v>58</v>
      </c>
      <c r="P62" s="6" t="n">
        <v>9</v>
      </c>
      <c r="Q62" s="6" t="n">
        <v>-10.22</v>
      </c>
      <c r="R62" s="20" t="n">
        <f aca="false">(L62-K62)/K62</f>
        <v>0.048794720389024</v>
      </c>
    </row>
    <row r="63" customFormat="false" ht="15" hidden="false" customHeight="false" outlineLevel="0" collapsed="false">
      <c r="A63" s="6" t="s">
        <v>223</v>
      </c>
      <c r="B63" s="6" t="n">
        <v>23</v>
      </c>
      <c r="C63" s="6" t="s">
        <v>139</v>
      </c>
      <c r="D63" s="6" t="s">
        <v>135</v>
      </c>
      <c r="E63" s="6" t="s">
        <v>92</v>
      </c>
      <c r="F63" s="6" t="s">
        <v>136</v>
      </c>
      <c r="G63" s="6" t="n">
        <v>1</v>
      </c>
      <c r="H63" s="6" t="s">
        <v>81</v>
      </c>
      <c r="I63" s="6" t="s">
        <v>82</v>
      </c>
      <c r="J63" s="6" t="s">
        <v>58</v>
      </c>
      <c r="K63" s="6" t="n">
        <v>79115</v>
      </c>
      <c r="L63" s="6" t="n">
        <v>85106</v>
      </c>
      <c r="M63" s="6" t="s">
        <v>142</v>
      </c>
      <c r="N63" s="6" t="n">
        <v>46</v>
      </c>
      <c r="O63" s="6" t="s">
        <v>58</v>
      </c>
      <c r="P63" s="6" t="n">
        <v>4</v>
      </c>
      <c r="Q63" s="6" t="n">
        <v>36.41</v>
      </c>
      <c r="R63" s="20" t="n">
        <f aca="false">(L63-K63)/K63</f>
        <v>0.0757252101371421</v>
      </c>
    </row>
    <row r="64" customFormat="false" ht="15" hidden="false" customHeight="false" outlineLevel="0" collapsed="false">
      <c r="A64" s="6" t="s">
        <v>224</v>
      </c>
      <c r="B64" s="6" t="n">
        <v>56</v>
      </c>
      <c r="C64" s="6" t="s">
        <v>139</v>
      </c>
      <c r="D64" s="6" t="s">
        <v>140</v>
      </c>
      <c r="E64" s="6" t="s">
        <v>92</v>
      </c>
      <c r="F64" s="6" t="s">
        <v>222</v>
      </c>
      <c r="G64" s="6" t="n">
        <v>31</v>
      </c>
      <c r="H64" s="6" t="s">
        <v>80</v>
      </c>
      <c r="I64" s="6" t="s">
        <v>81</v>
      </c>
      <c r="J64" s="6" t="s">
        <v>58</v>
      </c>
      <c r="K64" s="6" t="n">
        <v>34000</v>
      </c>
      <c r="L64" s="6" t="n">
        <v>36437</v>
      </c>
      <c r="M64" s="6" t="s">
        <v>146</v>
      </c>
      <c r="N64" s="6" t="n">
        <v>46</v>
      </c>
      <c r="O64" s="6" t="s">
        <v>58</v>
      </c>
      <c r="P64" s="6" t="n">
        <v>5</v>
      </c>
      <c r="Q64" s="6" t="n">
        <v>29.24</v>
      </c>
      <c r="R64" s="20" t="n">
        <f aca="false">(L64-K64)/K64</f>
        <v>0.0716764705882353</v>
      </c>
    </row>
    <row r="65" customFormat="false" ht="15" hidden="false" customHeight="false" outlineLevel="0" collapsed="false">
      <c r="A65" s="6" t="s">
        <v>225</v>
      </c>
      <c r="B65" s="6" t="n">
        <v>22</v>
      </c>
      <c r="C65" s="6" t="s">
        <v>139</v>
      </c>
      <c r="D65" s="6" t="s">
        <v>144</v>
      </c>
      <c r="E65" s="6" t="s">
        <v>87</v>
      </c>
      <c r="F65" s="6" t="s">
        <v>155</v>
      </c>
      <c r="G65" s="6" t="n">
        <v>0</v>
      </c>
      <c r="H65" s="6" t="s">
        <v>80</v>
      </c>
      <c r="I65" s="6" t="s">
        <v>82</v>
      </c>
      <c r="J65" s="6" t="s">
        <v>60</v>
      </c>
      <c r="K65" s="6" t="n">
        <v>99449</v>
      </c>
      <c r="L65" s="6" t="n">
        <v>97559</v>
      </c>
      <c r="M65" s="6" t="s">
        <v>142</v>
      </c>
      <c r="N65" s="6" t="n">
        <v>46</v>
      </c>
      <c r="O65" s="6" t="s">
        <v>58</v>
      </c>
      <c r="P65" s="6" t="n">
        <v>9</v>
      </c>
      <c r="Q65" s="6" t="n">
        <v>-3.56</v>
      </c>
      <c r="R65" s="20" t="n">
        <f aca="false">(L65-K65)/K65</f>
        <v>-0.0190047159850778</v>
      </c>
    </row>
    <row r="66" customFormat="false" ht="15" hidden="false" customHeight="false" outlineLevel="0" collapsed="false">
      <c r="A66" s="6" t="s">
        <v>226</v>
      </c>
      <c r="B66" s="6" t="n">
        <v>23</v>
      </c>
      <c r="C66" s="6" t="s">
        <v>139</v>
      </c>
      <c r="D66" s="6" t="s">
        <v>135</v>
      </c>
      <c r="E66" s="6" t="s">
        <v>88</v>
      </c>
      <c r="F66" s="6" t="s">
        <v>179</v>
      </c>
      <c r="G66" s="6" t="n">
        <v>0</v>
      </c>
      <c r="H66" s="6" t="s">
        <v>82</v>
      </c>
      <c r="I66" s="6" t="s">
        <v>80</v>
      </c>
      <c r="J66" s="6" t="s">
        <v>58</v>
      </c>
      <c r="K66" s="6" t="n">
        <v>57350</v>
      </c>
      <c r="L66" s="6" t="n">
        <v>48329</v>
      </c>
      <c r="M66" s="6" t="s">
        <v>142</v>
      </c>
      <c r="N66" s="6" t="n">
        <v>44</v>
      </c>
      <c r="O66" s="6" t="s">
        <v>60</v>
      </c>
      <c r="P66" s="6" t="n">
        <v>4</v>
      </c>
      <c r="Q66" s="6" t="n">
        <v>-0.86</v>
      </c>
      <c r="R66" s="20" t="n">
        <f aca="false">(L66-K66)/K66</f>
        <v>-0.157297297297297</v>
      </c>
    </row>
    <row r="67" customFormat="false" ht="15" hidden="false" customHeight="false" outlineLevel="0" collapsed="false">
      <c r="A67" s="6" t="s">
        <v>227</v>
      </c>
      <c r="B67" s="6" t="n">
        <v>55</v>
      </c>
      <c r="C67" s="6" t="s">
        <v>134</v>
      </c>
      <c r="D67" s="6" t="s">
        <v>144</v>
      </c>
      <c r="E67" s="6" t="s">
        <v>88</v>
      </c>
      <c r="F67" s="6" t="s">
        <v>157</v>
      </c>
      <c r="G67" s="6" t="n">
        <v>31</v>
      </c>
      <c r="H67" s="6" t="s">
        <v>81</v>
      </c>
      <c r="I67" s="6" t="s">
        <v>81</v>
      </c>
      <c r="J67" s="6" t="s">
        <v>58</v>
      </c>
      <c r="K67" s="6" t="n">
        <v>50358</v>
      </c>
      <c r="L67" s="6" t="n">
        <v>47107</v>
      </c>
      <c r="M67" s="6" t="s">
        <v>146</v>
      </c>
      <c r="N67" s="6" t="n">
        <v>47</v>
      </c>
      <c r="O67" s="6" t="s">
        <v>60</v>
      </c>
      <c r="P67" s="6" t="n">
        <v>5</v>
      </c>
      <c r="Q67" s="6" t="n">
        <v>21.8</v>
      </c>
      <c r="R67" s="20" t="n">
        <f aca="false">(L67-K67)/K67</f>
        <v>-0.0645577663926288</v>
      </c>
    </row>
    <row r="68" customFormat="false" ht="15" hidden="false" customHeight="false" outlineLevel="0" collapsed="false">
      <c r="A68" s="6" t="s">
        <v>228</v>
      </c>
      <c r="B68" s="6" t="n">
        <v>50</v>
      </c>
      <c r="C68" s="6" t="s">
        <v>139</v>
      </c>
      <c r="D68" s="6" t="s">
        <v>140</v>
      </c>
      <c r="E68" s="6" t="s">
        <v>92</v>
      </c>
      <c r="F68" s="6" t="s">
        <v>222</v>
      </c>
      <c r="G68" s="6" t="n">
        <v>25</v>
      </c>
      <c r="H68" s="6" t="s">
        <v>80</v>
      </c>
      <c r="I68" s="6" t="s">
        <v>82</v>
      </c>
      <c r="J68" s="6" t="s">
        <v>58</v>
      </c>
      <c r="K68" s="6" t="n">
        <v>63496</v>
      </c>
      <c r="L68" s="6" t="n">
        <v>67973</v>
      </c>
      <c r="M68" s="6" t="s">
        <v>142</v>
      </c>
      <c r="N68" s="6" t="n">
        <v>44</v>
      </c>
      <c r="O68" s="6" t="s">
        <v>58</v>
      </c>
      <c r="P68" s="6" t="n">
        <v>7</v>
      </c>
      <c r="Q68" s="6" t="n">
        <v>-3.08</v>
      </c>
      <c r="R68" s="20" t="n">
        <f aca="false">(L68-K68)/K68</f>
        <v>0.0705083784805342</v>
      </c>
    </row>
    <row r="69" customFormat="false" ht="15" hidden="false" customHeight="false" outlineLevel="0" collapsed="false">
      <c r="A69" s="6" t="s">
        <v>229</v>
      </c>
      <c r="B69" s="6" t="n">
        <v>30</v>
      </c>
      <c r="C69" s="6" t="s">
        <v>159</v>
      </c>
      <c r="D69" s="6" t="s">
        <v>140</v>
      </c>
      <c r="E69" s="6" t="s">
        <v>91</v>
      </c>
      <c r="F69" s="6" t="s">
        <v>208</v>
      </c>
      <c r="G69" s="6" t="n">
        <v>6</v>
      </c>
      <c r="H69" s="6" t="s">
        <v>81</v>
      </c>
      <c r="I69" s="6" t="s">
        <v>82</v>
      </c>
      <c r="J69" s="6" t="s">
        <v>60</v>
      </c>
      <c r="K69" s="6" t="n">
        <v>113042</v>
      </c>
      <c r="L69" s="6" t="n">
        <v>115730</v>
      </c>
      <c r="M69" s="6" t="s">
        <v>142</v>
      </c>
      <c r="N69" s="6" t="n">
        <v>41</v>
      </c>
      <c r="O69" s="6" t="s">
        <v>58</v>
      </c>
      <c r="P69" s="6" t="n">
        <v>9</v>
      </c>
      <c r="Q69" s="6" t="n">
        <v>2.32</v>
      </c>
      <c r="R69" s="20" t="n">
        <f aca="false">(L69-K69)/K69</f>
        <v>0.0237787724916403</v>
      </c>
    </row>
    <row r="70" customFormat="false" ht="15" hidden="false" customHeight="false" outlineLevel="0" collapsed="false">
      <c r="A70" s="6" t="s">
        <v>230</v>
      </c>
      <c r="B70" s="6" t="n">
        <v>53</v>
      </c>
      <c r="C70" s="6" t="s">
        <v>159</v>
      </c>
      <c r="D70" s="6" t="s">
        <v>140</v>
      </c>
      <c r="E70" s="6" t="s">
        <v>87</v>
      </c>
      <c r="F70" s="6" t="s">
        <v>160</v>
      </c>
      <c r="G70" s="6" t="n">
        <v>27</v>
      </c>
      <c r="H70" s="6" t="s">
        <v>81</v>
      </c>
      <c r="I70" s="6" t="s">
        <v>81</v>
      </c>
      <c r="J70" s="6" t="s">
        <v>60</v>
      </c>
      <c r="K70" s="6" t="n">
        <v>74811</v>
      </c>
      <c r="L70" s="6" t="n">
        <v>76957</v>
      </c>
      <c r="M70" s="6" t="s">
        <v>146</v>
      </c>
      <c r="N70" s="6" t="n">
        <v>37</v>
      </c>
      <c r="O70" s="6" t="s">
        <v>60</v>
      </c>
      <c r="P70" s="6" t="n">
        <v>3</v>
      </c>
      <c r="Q70" s="6" t="n">
        <v>25.05</v>
      </c>
      <c r="R70" s="20" t="n">
        <f aca="false">(L70-K70)/K70</f>
        <v>0.0286856210985016</v>
      </c>
    </row>
    <row r="71" customFormat="false" ht="15" hidden="false" customHeight="false" outlineLevel="0" collapsed="false">
      <c r="A71" s="6" t="s">
        <v>231</v>
      </c>
      <c r="B71" s="6" t="n">
        <v>51</v>
      </c>
      <c r="C71" s="6" t="s">
        <v>139</v>
      </c>
      <c r="D71" s="6" t="s">
        <v>144</v>
      </c>
      <c r="E71" s="6" t="s">
        <v>93</v>
      </c>
      <c r="F71" s="6" t="s">
        <v>197</v>
      </c>
      <c r="G71" s="6" t="n">
        <v>29</v>
      </c>
      <c r="H71" s="6" t="s">
        <v>81</v>
      </c>
      <c r="I71" s="6" t="s">
        <v>81</v>
      </c>
      <c r="J71" s="6" t="s">
        <v>60</v>
      </c>
      <c r="K71" s="6" t="n">
        <v>44397</v>
      </c>
      <c r="L71" s="6" t="n">
        <v>46571</v>
      </c>
      <c r="M71" s="6" t="s">
        <v>146</v>
      </c>
      <c r="N71" s="6" t="n">
        <v>47</v>
      </c>
      <c r="O71" s="6" t="s">
        <v>60</v>
      </c>
      <c r="P71" s="6" t="n">
        <v>5</v>
      </c>
      <c r="Q71" s="6" t="n">
        <v>3.38</v>
      </c>
      <c r="R71" s="20" t="n">
        <f aca="false">(L71-K71)/K71</f>
        <v>0.0489672725634615</v>
      </c>
    </row>
    <row r="72" customFormat="false" ht="15" hidden="false" customHeight="false" outlineLevel="0" collapsed="false">
      <c r="A72" s="6" t="s">
        <v>232</v>
      </c>
      <c r="B72" s="6" t="n">
        <v>40</v>
      </c>
      <c r="C72" s="6" t="s">
        <v>134</v>
      </c>
      <c r="D72" s="6" t="s">
        <v>148</v>
      </c>
      <c r="E72" s="6" t="s">
        <v>90</v>
      </c>
      <c r="F72" s="6" t="s">
        <v>202</v>
      </c>
      <c r="G72" s="6" t="n">
        <v>18</v>
      </c>
      <c r="H72" s="6" t="s">
        <v>82</v>
      </c>
      <c r="I72" s="6" t="s">
        <v>80</v>
      </c>
      <c r="J72" s="6" t="s">
        <v>58</v>
      </c>
      <c r="K72" s="6" t="n">
        <v>109459</v>
      </c>
      <c r="L72" s="6" t="n">
        <v>88278</v>
      </c>
      <c r="M72" s="6" t="s">
        <v>142</v>
      </c>
      <c r="N72" s="6" t="n">
        <v>46</v>
      </c>
      <c r="O72" s="6" t="s">
        <v>60</v>
      </c>
      <c r="P72" s="6" t="n">
        <v>3</v>
      </c>
      <c r="Q72" s="6" t="n">
        <v>34.32</v>
      </c>
      <c r="R72" s="20" t="n">
        <f aca="false">(L72-K72)/K72</f>
        <v>-0.193506244347198</v>
      </c>
    </row>
    <row r="73" customFormat="false" ht="15" hidden="false" customHeight="false" outlineLevel="0" collapsed="false">
      <c r="A73" s="6" t="s">
        <v>233</v>
      </c>
      <c r="B73" s="6" t="n">
        <v>28</v>
      </c>
      <c r="C73" s="6" t="s">
        <v>139</v>
      </c>
      <c r="D73" s="6" t="s">
        <v>135</v>
      </c>
      <c r="E73" s="6" t="s">
        <v>88</v>
      </c>
      <c r="F73" s="6" t="s">
        <v>234</v>
      </c>
      <c r="G73" s="6" t="n">
        <v>3</v>
      </c>
      <c r="H73" s="6" t="s">
        <v>81</v>
      </c>
      <c r="I73" s="6" t="s">
        <v>80</v>
      </c>
      <c r="J73" s="6" t="s">
        <v>58</v>
      </c>
      <c r="K73" s="6" t="n">
        <v>112637</v>
      </c>
      <c r="L73" s="6" t="n">
        <v>124242</v>
      </c>
      <c r="M73" s="6" t="s">
        <v>142</v>
      </c>
      <c r="N73" s="6" t="n">
        <v>49</v>
      </c>
      <c r="O73" s="6" t="s">
        <v>60</v>
      </c>
      <c r="P73" s="6" t="n">
        <v>7</v>
      </c>
      <c r="Q73" s="6" t="n">
        <v>8.95</v>
      </c>
      <c r="R73" s="20" t="n">
        <f aca="false">(L73-K73)/K73</f>
        <v>0.103030087804185</v>
      </c>
    </row>
    <row r="74" customFormat="false" ht="15" hidden="false" customHeight="false" outlineLevel="0" collapsed="false">
      <c r="A74" s="6" t="s">
        <v>235</v>
      </c>
      <c r="B74" s="6" t="n">
        <v>26</v>
      </c>
      <c r="C74" s="6" t="s">
        <v>134</v>
      </c>
      <c r="D74" s="6" t="s">
        <v>140</v>
      </c>
      <c r="E74" s="6" t="s">
        <v>90</v>
      </c>
      <c r="F74" s="6" t="s">
        <v>236</v>
      </c>
      <c r="G74" s="6" t="n">
        <v>2</v>
      </c>
      <c r="H74" s="6" t="s">
        <v>80</v>
      </c>
      <c r="I74" s="6" t="s">
        <v>80</v>
      </c>
      <c r="J74" s="6" t="s">
        <v>58</v>
      </c>
      <c r="K74" s="6" t="n">
        <v>119112</v>
      </c>
      <c r="L74" s="6" t="n">
        <v>123049</v>
      </c>
      <c r="M74" s="6" t="s">
        <v>142</v>
      </c>
      <c r="N74" s="6" t="n">
        <v>50</v>
      </c>
      <c r="O74" s="6" t="s">
        <v>60</v>
      </c>
      <c r="P74" s="6" t="n">
        <v>3</v>
      </c>
      <c r="Q74" s="6" t="n">
        <v>-7.24</v>
      </c>
      <c r="R74" s="20" t="n">
        <f aca="false">(L74-K74)/K74</f>
        <v>0.0330529249781718</v>
      </c>
    </row>
    <row r="75" customFormat="false" ht="15" hidden="false" customHeight="false" outlineLevel="0" collapsed="false">
      <c r="A75" s="6" t="s">
        <v>237</v>
      </c>
      <c r="B75" s="6" t="n">
        <v>35</v>
      </c>
      <c r="C75" s="6" t="s">
        <v>159</v>
      </c>
      <c r="D75" s="6" t="s">
        <v>144</v>
      </c>
      <c r="E75" s="6" t="s">
        <v>87</v>
      </c>
      <c r="F75" s="6" t="s">
        <v>149</v>
      </c>
      <c r="G75" s="6" t="n">
        <v>12</v>
      </c>
      <c r="H75" s="6" t="s">
        <v>80</v>
      </c>
      <c r="I75" s="6" t="s">
        <v>80</v>
      </c>
      <c r="J75" s="6" t="s">
        <v>58</v>
      </c>
      <c r="K75" s="6" t="n">
        <v>39348</v>
      </c>
      <c r="L75" s="6" t="n">
        <v>41730</v>
      </c>
      <c r="M75" s="6" t="s">
        <v>142</v>
      </c>
      <c r="N75" s="6" t="n">
        <v>45</v>
      </c>
      <c r="O75" s="6" t="s">
        <v>58</v>
      </c>
      <c r="P75" s="6" t="n">
        <v>4</v>
      </c>
      <c r="Q75" s="6" t="n">
        <v>12.75</v>
      </c>
      <c r="R75" s="20" t="n">
        <f aca="false">(L75-K75)/K75</f>
        <v>0.0605367490088442</v>
      </c>
    </row>
    <row r="76" customFormat="false" ht="15" hidden="false" customHeight="false" outlineLevel="0" collapsed="false">
      <c r="A76" s="6" t="s">
        <v>238</v>
      </c>
      <c r="B76" s="6" t="n">
        <v>33</v>
      </c>
      <c r="C76" s="6" t="s">
        <v>159</v>
      </c>
      <c r="D76" s="6" t="s">
        <v>148</v>
      </c>
      <c r="E76" s="6" t="s">
        <v>93</v>
      </c>
      <c r="F76" s="6" t="s">
        <v>197</v>
      </c>
      <c r="G76" s="6" t="n">
        <v>11</v>
      </c>
      <c r="H76" s="6" t="s">
        <v>81</v>
      </c>
      <c r="I76" s="6" t="s">
        <v>81</v>
      </c>
      <c r="J76" s="6" t="s">
        <v>58</v>
      </c>
      <c r="K76" s="6" t="n">
        <v>53625</v>
      </c>
      <c r="L76" s="6" t="n">
        <v>61727</v>
      </c>
      <c r="M76" s="6" t="s">
        <v>146</v>
      </c>
      <c r="N76" s="6" t="n">
        <v>40</v>
      </c>
      <c r="O76" s="6" t="s">
        <v>60</v>
      </c>
      <c r="P76" s="6" t="n">
        <v>9</v>
      </c>
      <c r="Q76" s="6" t="n">
        <v>32.01</v>
      </c>
      <c r="R76" s="20" t="n">
        <f aca="false">(L76-K76)/K76</f>
        <v>0.151086247086247</v>
      </c>
    </row>
    <row r="77" customFormat="false" ht="15" hidden="false" customHeight="false" outlineLevel="0" collapsed="false">
      <c r="A77" s="6" t="s">
        <v>239</v>
      </c>
      <c r="B77" s="6" t="n">
        <v>34</v>
      </c>
      <c r="C77" s="6" t="s">
        <v>159</v>
      </c>
      <c r="D77" s="6" t="s">
        <v>140</v>
      </c>
      <c r="E77" s="6" t="s">
        <v>90</v>
      </c>
      <c r="F77" s="6" t="s">
        <v>236</v>
      </c>
      <c r="G77" s="6" t="n">
        <v>11</v>
      </c>
      <c r="H77" s="6" t="s">
        <v>80</v>
      </c>
      <c r="I77" s="6" t="s">
        <v>80</v>
      </c>
      <c r="J77" s="6" t="s">
        <v>60</v>
      </c>
      <c r="K77" s="6" t="n">
        <v>92856</v>
      </c>
      <c r="L77" s="6" t="n">
        <v>99660</v>
      </c>
      <c r="M77" s="6" t="s">
        <v>142</v>
      </c>
      <c r="N77" s="6" t="n">
        <v>39</v>
      </c>
      <c r="O77" s="6" t="s">
        <v>58</v>
      </c>
      <c r="P77" s="6" t="n">
        <v>7</v>
      </c>
      <c r="Q77" s="6" t="n">
        <v>22.37</v>
      </c>
      <c r="R77" s="20" t="n">
        <f aca="false">(L77-K77)/K77</f>
        <v>0.0732747479968984</v>
      </c>
    </row>
    <row r="78" customFormat="false" ht="15" hidden="false" customHeight="false" outlineLevel="0" collapsed="false">
      <c r="A78" s="6" t="s">
        <v>240</v>
      </c>
      <c r="B78" s="6" t="n">
        <v>58</v>
      </c>
      <c r="C78" s="6" t="s">
        <v>139</v>
      </c>
      <c r="D78" s="6" t="s">
        <v>135</v>
      </c>
      <c r="E78" s="6" t="s">
        <v>91</v>
      </c>
      <c r="F78" s="6" t="s">
        <v>208</v>
      </c>
      <c r="G78" s="6" t="n">
        <v>34</v>
      </c>
      <c r="H78" s="6" t="s">
        <v>82</v>
      </c>
      <c r="I78" s="6" t="s">
        <v>82</v>
      </c>
      <c r="J78" s="6" t="s">
        <v>60</v>
      </c>
      <c r="K78" s="6" t="n">
        <v>58295</v>
      </c>
      <c r="L78" s="6" t="n">
        <v>59726</v>
      </c>
      <c r="M78" s="6" t="s">
        <v>137</v>
      </c>
      <c r="N78" s="6" t="n">
        <v>54</v>
      </c>
      <c r="O78" s="6" t="s">
        <v>58</v>
      </c>
      <c r="P78" s="6" t="n">
        <v>3</v>
      </c>
      <c r="Q78" s="6" t="n">
        <v>2.24</v>
      </c>
      <c r="R78" s="20" t="n">
        <f aca="false">(L78-K78)/K78</f>
        <v>0.0245475598250279</v>
      </c>
    </row>
    <row r="79" customFormat="false" ht="15" hidden="false" customHeight="false" outlineLevel="0" collapsed="false">
      <c r="A79" s="6" t="s">
        <v>241</v>
      </c>
      <c r="B79" s="6" t="n">
        <v>28</v>
      </c>
      <c r="C79" s="6" t="s">
        <v>134</v>
      </c>
      <c r="D79" s="6" t="s">
        <v>148</v>
      </c>
      <c r="E79" s="6" t="s">
        <v>91</v>
      </c>
      <c r="F79" s="6" t="s">
        <v>208</v>
      </c>
      <c r="G79" s="6" t="n">
        <v>6</v>
      </c>
      <c r="H79" s="6" t="s">
        <v>81</v>
      </c>
      <c r="I79" s="6" t="s">
        <v>82</v>
      </c>
      <c r="J79" s="6" t="s">
        <v>60</v>
      </c>
      <c r="K79" s="6" t="n">
        <v>31324</v>
      </c>
      <c r="L79" s="6" t="n">
        <v>35271</v>
      </c>
      <c r="M79" s="6" t="s">
        <v>142</v>
      </c>
      <c r="N79" s="6" t="n">
        <v>53</v>
      </c>
      <c r="O79" s="6" t="s">
        <v>60</v>
      </c>
      <c r="P79" s="6" t="n">
        <v>7</v>
      </c>
      <c r="Q79" s="6" t="n">
        <v>2.58</v>
      </c>
      <c r="R79" s="20" t="n">
        <f aca="false">(L79-K79)/K79</f>
        <v>0.12600561869493</v>
      </c>
    </row>
    <row r="80" customFormat="false" ht="15" hidden="false" customHeight="false" outlineLevel="0" collapsed="false">
      <c r="A80" s="6" t="s">
        <v>242</v>
      </c>
      <c r="B80" s="6" t="n">
        <v>48</v>
      </c>
      <c r="C80" s="6" t="s">
        <v>134</v>
      </c>
      <c r="D80" s="6" t="s">
        <v>140</v>
      </c>
      <c r="E80" s="6" t="s">
        <v>92</v>
      </c>
      <c r="F80" s="6" t="s">
        <v>222</v>
      </c>
      <c r="G80" s="6" t="n">
        <v>25</v>
      </c>
      <c r="H80" s="6" t="s">
        <v>80</v>
      </c>
      <c r="I80" s="6" t="s">
        <v>81</v>
      </c>
      <c r="J80" s="6" t="s">
        <v>60</v>
      </c>
      <c r="K80" s="6" t="n">
        <v>85129</v>
      </c>
      <c r="L80" s="6" t="n">
        <v>85089</v>
      </c>
      <c r="M80" s="6" t="s">
        <v>146</v>
      </c>
      <c r="N80" s="6" t="n">
        <v>47</v>
      </c>
      <c r="O80" s="6" t="s">
        <v>60</v>
      </c>
      <c r="P80" s="6" t="n">
        <v>7</v>
      </c>
      <c r="Q80" s="6" t="n">
        <v>6.07</v>
      </c>
      <c r="R80" s="20" t="n">
        <f aca="false">(L80-K80)/K80</f>
        <v>-0.000469875130684021</v>
      </c>
    </row>
    <row r="81" customFormat="false" ht="15" hidden="false" customHeight="false" outlineLevel="0" collapsed="false">
      <c r="A81" s="6" t="s">
        <v>243</v>
      </c>
      <c r="B81" s="6" t="n">
        <v>49</v>
      </c>
      <c r="C81" s="6" t="s">
        <v>139</v>
      </c>
      <c r="D81" s="6" t="s">
        <v>148</v>
      </c>
      <c r="E81" s="6" t="s">
        <v>87</v>
      </c>
      <c r="F81" s="6" t="s">
        <v>160</v>
      </c>
      <c r="G81" s="6" t="n">
        <v>26</v>
      </c>
      <c r="H81" s="6" t="s">
        <v>82</v>
      </c>
      <c r="I81" s="6" t="s">
        <v>80</v>
      </c>
      <c r="J81" s="6" t="s">
        <v>58</v>
      </c>
      <c r="K81" s="6" t="n">
        <v>60355</v>
      </c>
      <c r="L81" s="6" t="n">
        <v>52586</v>
      </c>
      <c r="M81" s="6" t="s">
        <v>142</v>
      </c>
      <c r="N81" s="6" t="n">
        <v>43</v>
      </c>
      <c r="O81" s="6" t="s">
        <v>58</v>
      </c>
      <c r="P81" s="6" t="n">
        <v>9</v>
      </c>
      <c r="Q81" s="6" t="n">
        <v>-12.95</v>
      </c>
      <c r="R81" s="20" t="n">
        <f aca="false">(L81-K81)/K81</f>
        <v>-0.128721729765554</v>
      </c>
    </row>
    <row r="82" customFormat="false" ht="15" hidden="false" customHeight="false" outlineLevel="0" collapsed="false">
      <c r="A82" s="6" t="s">
        <v>244</v>
      </c>
      <c r="B82" s="6" t="n">
        <v>22</v>
      </c>
      <c r="C82" s="6" t="s">
        <v>139</v>
      </c>
      <c r="D82" s="6" t="s">
        <v>135</v>
      </c>
      <c r="E82" s="6" t="s">
        <v>92</v>
      </c>
      <c r="F82" s="6" t="s">
        <v>222</v>
      </c>
      <c r="G82" s="6" t="n">
        <v>0</v>
      </c>
      <c r="H82" s="6" t="s">
        <v>81</v>
      </c>
      <c r="I82" s="6" t="s">
        <v>82</v>
      </c>
      <c r="J82" s="6" t="s">
        <v>60</v>
      </c>
      <c r="K82" s="6" t="n">
        <v>110219</v>
      </c>
      <c r="L82" s="6" t="n">
        <v>131012</v>
      </c>
      <c r="M82" s="6" t="s">
        <v>142</v>
      </c>
      <c r="N82" s="6" t="n">
        <v>51</v>
      </c>
      <c r="O82" s="6" t="s">
        <v>60</v>
      </c>
      <c r="P82" s="6" t="n">
        <v>3</v>
      </c>
      <c r="Q82" s="6" t="n">
        <v>2.49</v>
      </c>
      <c r="R82" s="20" t="n">
        <f aca="false">(L82-K82)/K82</f>
        <v>0.188651684373838</v>
      </c>
    </row>
    <row r="83" customFormat="false" ht="15" hidden="false" customHeight="false" outlineLevel="0" collapsed="false">
      <c r="A83" s="6" t="s">
        <v>245</v>
      </c>
      <c r="B83" s="6" t="n">
        <v>54</v>
      </c>
      <c r="C83" s="6" t="s">
        <v>159</v>
      </c>
      <c r="D83" s="6" t="s">
        <v>148</v>
      </c>
      <c r="E83" s="6" t="s">
        <v>92</v>
      </c>
      <c r="F83" s="6" t="s">
        <v>136</v>
      </c>
      <c r="G83" s="6" t="n">
        <v>28</v>
      </c>
      <c r="H83" s="6" t="s">
        <v>82</v>
      </c>
      <c r="I83" s="6" t="s">
        <v>80</v>
      </c>
      <c r="J83" s="6" t="s">
        <v>60</v>
      </c>
      <c r="K83" s="6" t="n">
        <v>97641</v>
      </c>
      <c r="L83" s="6" t="n">
        <v>78824</v>
      </c>
      <c r="M83" s="6" t="s">
        <v>142</v>
      </c>
      <c r="N83" s="6" t="n">
        <v>49</v>
      </c>
      <c r="O83" s="6" t="s">
        <v>58</v>
      </c>
      <c r="P83" s="6" t="n">
        <v>7</v>
      </c>
      <c r="Q83" s="6" t="n">
        <v>38.19</v>
      </c>
      <c r="R83" s="20" t="n">
        <f aca="false">(L83-K83)/K83</f>
        <v>-0.192716174557819</v>
      </c>
    </row>
    <row r="84" customFormat="false" ht="15" hidden="false" customHeight="false" outlineLevel="0" collapsed="false">
      <c r="A84" s="6" t="s">
        <v>246</v>
      </c>
      <c r="B84" s="6" t="n">
        <v>37</v>
      </c>
      <c r="C84" s="6" t="s">
        <v>139</v>
      </c>
      <c r="D84" s="6" t="s">
        <v>140</v>
      </c>
      <c r="E84" s="6" t="s">
        <v>91</v>
      </c>
      <c r="F84" s="6" t="s">
        <v>208</v>
      </c>
      <c r="G84" s="6" t="n">
        <v>11</v>
      </c>
      <c r="H84" s="6" t="s">
        <v>80</v>
      </c>
      <c r="I84" s="6" t="s">
        <v>82</v>
      </c>
      <c r="J84" s="6" t="s">
        <v>60</v>
      </c>
      <c r="K84" s="6" t="n">
        <v>91642</v>
      </c>
      <c r="L84" s="6" t="n">
        <v>99694</v>
      </c>
      <c r="M84" s="6" t="s">
        <v>142</v>
      </c>
      <c r="N84" s="6" t="n">
        <v>53</v>
      </c>
      <c r="O84" s="6" t="s">
        <v>58</v>
      </c>
      <c r="P84" s="6" t="n">
        <v>6</v>
      </c>
      <c r="Q84" s="6" t="n">
        <v>-4.82</v>
      </c>
      <c r="R84" s="20" t="n">
        <f aca="false">(L84-K84)/K84</f>
        <v>0.0878636433076537</v>
      </c>
    </row>
    <row r="85" customFormat="false" ht="15" hidden="false" customHeight="false" outlineLevel="0" collapsed="false">
      <c r="A85" s="6" t="s">
        <v>247</v>
      </c>
      <c r="B85" s="6" t="n">
        <v>39</v>
      </c>
      <c r="C85" s="6" t="s">
        <v>159</v>
      </c>
      <c r="D85" s="6" t="s">
        <v>135</v>
      </c>
      <c r="E85" s="6" t="s">
        <v>90</v>
      </c>
      <c r="F85" s="6" t="s">
        <v>236</v>
      </c>
      <c r="G85" s="6" t="n">
        <v>17</v>
      </c>
      <c r="H85" s="6" t="s">
        <v>80</v>
      </c>
      <c r="I85" s="6" t="s">
        <v>82</v>
      </c>
      <c r="J85" s="6" t="s">
        <v>58</v>
      </c>
      <c r="K85" s="6" t="n">
        <v>82528</v>
      </c>
      <c r="L85" s="6" t="n">
        <v>87014</v>
      </c>
      <c r="M85" s="6" t="s">
        <v>142</v>
      </c>
      <c r="N85" s="6" t="n">
        <v>37</v>
      </c>
      <c r="O85" s="6" t="s">
        <v>60</v>
      </c>
      <c r="P85" s="6" t="n">
        <v>9</v>
      </c>
      <c r="Q85" s="6" t="n">
        <v>7.27</v>
      </c>
      <c r="R85" s="20" t="n">
        <f aca="false">(L85-K85)/K85</f>
        <v>0.0543573090345095</v>
      </c>
    </row>
    <row r="86" customFormat="false" ht="15" hidden="false" customHeight="false" outlineLevel="0" collapsed="false">
      <c r="A86" s="6" t="s">
        <v>248</v>
      </c>
      <c r="B86" s="6" t="n">
        <v>32</v>
      </c>
      <c r="C86" s="6" t="s">
        <v>139</v>
      </c>
      <c r="D86" s="6" t="s">
        <v>140</v>
      </c>
      <c r="E86" s="6" t="s">
        <v>89</v>
      </c>
      <c r="F86" s="6" t="s">
        <v>162</v>
      </c>
      <c r="G86" s="6" t="n">
        <v>7</v>
      </c>
      <c r="H86" s="6" t="s">
        <v>81</v>
      </c>
      <c r="I86" s="6" t="s">
        <v>82</v>
      </c>
      <c r="J86" s="6" t="s">
        <v>58</v>
      </c>
      <c r="K86" s="6" t="n">
        <v>40975</v>
      </c>
      <c r="L86" s="6" t="n">
        <v>37588</v>
      </c>
      <c r="M86" s="6" t="s">
        <v>142</v>
      </c>
      <c r="N86" s="6" t="n">
        <v>42</v>
      </c>
      <c r="O86" s="6" t="s">
        <v>58</v>
      </c>
      <c r="P86" s="6" t="n">
        <v>4</v>
      </c>
      <c r="Q86" s="6" t="n">
        <v>3.67</v>
      </c>
      <c r="R86" s="20" t="n">
        <f aca="false">(L86-K86)/K86</f>
        <v>-0.082660158633313</v>
      </c>
    </row>
    <row r="87" customFormat="false" ht="15" hidden="false" customHeight="false" outlineLevel="0" collapsed="false">
      <c r="A87" s="6" t="s">
        <v>249</v>
      </c>
      <c r="B87" s="6" t="n">
        <v>49</v>
      </c>
      <c r="C87" s="6" t="s">
        <v>134</v>
      </c>
      <c r="D87" s="6" t="s">
        <v>135</v>
      </c>
      <c r="E87" s="6" t="s">
        <v>92</v>
      </c>
      <c r="F87" s="6" t="s">
        <v>192</v>
      </c>
      <c r="G87" s="6" t="n">
        <v>24</v>
      </c>
      <c r="H87" s="6" t="s">
        <v>80</v>
      </c>
      <c r="I87" s="6" t="s">
        <v>82</v>
      </c>
      <c r="J87" s="6" t="s">
        <v>58</v>
      </c>
      <c r="K87" s="6" t="n">
        <v>91529</v>
      </c>
      <c r="L87" s="6" t="n">
        <v>92283</v>
      </c>
      <c r="M87" s="6" t="s">
        <v>142</v>
      </c>
      <c r="N87" s="6" t="n">
        <v>39</v>
      </c>
      <c r="O87" s="6" t="s">
        <v>60</v>
      </c>
      <c r="P87" s="6" t="n">
        <v>3</v>
      </c>
      <c r="Q87" s="6" t="n">
        <v>-6.24</v>
      </c>
      <c r="R87" s="20" t="n">
        <f aca="false">(L87-K87)/K87</f>
        <v>0.00823782626271455</v>
      </c>
    </row>
    <row r="88" customFormat="false" ht="15" hidden="false" customHeight="false" outlineLevel="0" collapsed="false">
      <c r="A88" s="6" t="s">
        <v>250</v>
      </c>
      <c r="B88" s="6" t="n">
        <v>57</v>
      </c>
      <c r="C88" s="6" t="s">
        <v>139</v>
      </c>
      <c r="D88" s="6" t="s">
        <v>148</v>
      </c>
      <c r="E88" s="6" t="s">
        <v>93</v>
      </c>
      <c r="F88" s="6" t="s">
        <v>164</v>
      </c>
      <c r="G88" s="6" t="n">
        <v>33</v>
      </c>
      <c r="H88" s="6" t="s">
        <v>82</v>
      </c>
      <c r="I88" s="6" t="s">
        <v>80</v>
      </c>
      <c r="J88" s="6" t="s">
        <v>60</v>
      </c>
      <c r="K88" s="6" t="n">
        <v>77605</v>
      </c>
      <c r="L88" s="6" t="n">
        <v>63588</v>
      </c>
      <c r="M88" s="6" t="s">
        <v>142</v>
      </c>
      <c r="N88" s="6" t="n">
        <v>54</v>
      </c>
      <c r="O88" s="6" t="s">
        <v>60</v>
      </c>
      <c r="P88" s="6" t="n">
        <v>7</v>
      </c>
      <c r="Q88" s="6" t="n">
        <v>-3.21</v>
      </c>
      <c r="R88" s="20" t="n">
        <f aca="false">(L88-K88)/K88</f>
        <v>-0.180619805424908</v>
      </c>
    </row>
    <row r="89" customFormat="false" ht="15" hidden="false" customHeight="false" outlineLevel="0" collapsed="false">
      <c r="A89" s="6" t="s">
        <v>251</v>
      </c>
      <c r="B89" s="6" t="n">
        <v>49</v>
      </c>
      <c r="C89" s="6" t="s">
        <v>139</v>
      </c>
      <c r="D89" s="6" t="s">
        <v>140</v>
      </c>
      <c r="E89" s="6" t="s">
        <v>93</v>
      </c>
      <c r="F89" s="6" t="s">
        <v>181</v>
      </c>
      <c r="G89" s="6" t="n">
        <v>23</v>
      </c>
      <c r="H89" s="6" t="s">
        <v>81</v>
      </c>
      <c r="I89" s="6" t="s">
        <v>80</v>
      </c>
      <c r="J89" s="6" t="s">
        <v>58</v>
      </c>
      <c r="K89" s="6" t="n">
        <v>57532</v>
      </c>
      <c r="L89" s="6" t="n">
        <v>67501</v>
      </c>
      <c r="M89" s="6" t="s">
        <v>142</v>
      </c>
      <c r="N89" s="6" t="n">
        <v>52</v>
      </c>
      <c r="O89" s="6" t="s">
        <v>58</v>
      </c>
      <c r="P89" s="6" t="n">
        <v>5</v>
      </c>
      <c r="Q89" s="6" t="n">
        <v>29.35</v>
      </c>
      <c r="R89" s="20" t="n">
        <f aca="false">(L89-K89)/K89</f>
        <v>0.173277480358757</v>
      </c>
    </row>
    <row r="90" customFormat="false" ht="15" hidden="false" customHeight="false" outlineLevel="0" collapsed="false">
      <c r="A90" s="6" t="s">
        <v>252</v>
      </c>
      <c r="B90" s="6" t="n">
        <v>26</v>
      </c>
      <c r="C90" s="6" t="s">
        <v>134</v>
      </c>
      <c r="D90" s="6" t="s">
        <v>135</v>
      </c>
      <c r="E90" s="6" t="s">
        <v>89</v>
      </c>
      <c r="F90" s="6" t="s">
        <v>162</v>
      </c>
      <c r="G90" s="6" t="n">
        <v>4</v>
      </c>
      <c r="H90" s="6" t="s">
        <v>80</v>
      </c>
      <c r="I90" s="6" t="s">
        <v>81</v>
      </c>
      <c r="J90" s="6" t="s">
        <v>60</v>
      </c>
      <c r="K90" s="6" t="n">
        <v>95545</v>
      </c>
      <c r="L90" s="6" t="n">
        <v>104135</v>
      </c>
      <c r="M90" s="6" t="s">
        <v>146</v>
      </c>
      <c r="N90" s="6" t="n">
        <v>47</v>
      </c>
      <c r="O90" s="6" t="s">
        <v>60</v>
      </c>
      <c r="P90" s="6" t="n">
        <v>7</v>
      </c>
      <c r="Q90" s="6" t="n">
        <v>31.96</v>
      </c>
      <c r="R90" s="20" t="n">
        <f aca="false">(L90-K90)/K90</f>
        <v>0.0899052802344445</v>
      </c>
    </row>
    <row r="91" customFormat="false" ht="15" hidden="false" customHeight="false" outlineLevel="0" collapsed="false">
      <c r="A91" s="6" t="s">
        <v>253</v>
      </c>
      <c r="B91" s="6" t="n">
        <v>54</v>
      </c>
      <c r="C91" s="6" t="s">
        <v>139</v>
      </c>
      <c r="D91" s="6" t="s">
        <v>144</v>
      </c>
      <c r="E91" s="6" t="s">
        <v>90</v>
      </c>
      <c r="F91" s="6" t="s">
        <v>202</v>
      </c>
      <c r="G91" s="6" t="n">
        <v>32</v>
      </c>
      <c r="H91" s="6" t="s">
        <v>81</v>
      </c>
      <c r="I91" s="6" t="s">
        <v>80</v>
      </c>
      <c r="J91" s="6" t="s">
        <v>58</v>
      </c>
      <c r="K91" s="6" t="n">
        <v>38415</v>
      </c>
      <c r="L91" s="6" t="n">
        <v>45928</v>
      </c>
      <c r="M91" s="6" t="s">
        <v>142</v>
      </c>
      <c r="N91" s="6" t="n">
        <v>51</v>
      </c>
      <c r="O91" s="6" t="s">
        <v>58</v>
      </c>
      <c r="P91" s="6" t="n">
        <v>7</v>
      </c>
      <c r="Q91" s="6" t="n">
        <v>2.6</v>
      </c>
      <c r="R91" s="20" t="n">
        <f aca="false">(L91-K91)/K91</f>
        <v>0.195574645320838</v>
      </c>
    </row>
    <row r="92" customFormat="false" ht="15" hidden="false" customHeight="false" outlineLevel="0" collapsed="false">
      <c r="A92" s="6" t="s">
        <v>254</v>
      </c>
      <c r="B92" s="6" t="n">
        <v>54</v>
      </c>
      <c r="C92" s="6" t="s">
        <v>159</v>
      </c>
      <c r="D92" s="6" t="s">
        <v>135</v>
      </c>
      <c r="E92" s="6" t="s">
        <v>92</v>
      </c>
      <c r="F92" s="6" t="s">
        <v>136</v>
      </c>
      <c r="G92" s="6" t="n">
        <v>31</v>
      </c>
      <c r="H92" s="6" t="s">
        <v>81</v>
      </c>
      <c r="I92" s="6" t="s">
        <v>82</v>
      </c>
      <c r="J92" s="6" t="s">
        <v>60</v>
      </c>
      <c r="K92" s="6" t="n">
        <v>105880</v>
      </c>
      <c r="L92" s="6" t="n">
        <v>108468</v>
      </c>
      <c r="M92" s="6" t="s">
        <v>142</v>
      </c>
      <c r="N92" s="6" t="n">
        <v>50</v>
      </c>
      <c r="O92" s="6" t="s">
        <v>58</v>
      </c>
      <c r="P92" s="6" t="n">
        <v>9</v>
      </c>
      <c r="Q92" s="6" t="n">
        <v>-3.6</v>
      </c>
      <c r="R92" s="20" t="n">
        <f aca="false">(L92-K92)/K92</f>
        <v>0.0244427653947866</v>
      </c>
    </row>
    <row r="93" customFormat="false" ht="15" hidden="false" customHeight="false" outlineLevel="0" collapsed="false">
      <c r="A93" s="6" t="s">
        <v>255</v>
      </c>
      <c r="B93" s="6" t="n">
        <v>27</v>
      </c>
      <c r="C93" s="6" t="s">
        <v>159</v>
      </c>
      <c r="D93" s="6" t="s">
        <v>148</v>
      </c>
      <c r="E93" s="6" t="s">
        <v>90</v>
      </c>
      <c r="F93" s="6" t="s">
        <v>236</v>
      </c>
      <c r="G93" s="6" t="n">
        <v>2</v>
      </c>
      <c r="H93" s="6" t="s">
        <v>82</v>
      </c>
      <c r="I93" s="6" t="s">
        <v>80</v>
      </c>
      <c r="J93" s="6" t="s">
        <v>58</v>
      </c>
      <c r="K93" s="6" t="n">
        <v>48384</v>
      </c>
      <c r="L93" s="6" t="n">
        <v>54219</v>
      </c>
      <c r="M93" s="6" t="s">
        <v>142</v>
      </c>
      <c r="N93" s="6" t="n">
        <v>37</v>
      </c>
      <c r="O93" s="6" t="s">
        <v>58</v>
      </c>
      <c r="P93" s="6" t="n">
        <v>7</v>
      </c>
      <c r="Q93" s="6" t="n">
        <v>24.99</v>
      </c>
      <c r="R93" s="20" t="n">
        <f aca="false">(L93-K93)/K93</f>
        <v>0.120597718253968</v>
      </c>
    </row>
    <row r="94" customFormat="false" ht="15" hidden="false" customHeight="false" outlineLevel="0" collapsed="false">
      <c r="A94" s="6" t="s">
        <v>256</v>
      </c>
      <c r="B94" s="6" t="n">
        <v>44</v>
      </c>
      <c r="C94" s="6" t="s">
        <v>159</v>
      </c>
      <c r="D94" s="6" t="s">
        <v>140</v>
      </c>
      <c r="E94" s="6" t="s">
        <v>87</v>
      </c>
      <c r="F94" s="6" t="s">
        <v>149</v>
      </c>
      <c r="G94" s="6" t="n">
        <v>18</v>
      </c>
      <c r="H94" s="6" t="s">
        <v>82</v>
      </c>
      <c r="I94" s="6" t="s">
        <v>82</v>
      </c>
      <c r="J94" s="6" t="s">
        <v>60</v>
      </c>
      <c r="K94" s="6" t="n">
        <v>99172</v>
      </c>
      <c r="L94" s="6" t="n">
        <v>135554</v>
      </c>
      <c r="M94" s="6" t="s">
        <v>146</v>
      </c>
      <c r="N94" s="6" t="n">
        <v>51</v>
      </c>
      <c r="O94" s="6" t="s">
        <v>60</v>
      </c>
      <c r="P94" s="6" t="n">
        <v>7</v>
      </c>
      <c r="Q94" s="6" t="n">
        <v>30.98</v>
      </c>
      <c r="R94" s="20" t="n">
        <f aca="false">(L94-K94)/K94</f>
        <v>0.366857580768765</v>
      </c>
    </row>
    <row r="95" customFormat="false" ht="15" hidden="false" customHeight="false" outlineLevel="0" collapsed="false">
      <c r="A95" s="6" t="s">
        <v>257</v>
      </c>
      <c r="B95" s="6" t="n">
        <v>35</v>
      </c>
      <c r="C95" s="6" t="s">
        <v>134</v>
      </c>
      <c r="D95" s="6" t="s">
        <v>148</v>
      </c>
      <c r="E95" s="6" t="s">
        <v>93</v>
      </c>
      <c r="F95" s="6" t="s">
        <v>181</v>
      </c>
      <c r="G95" s="6" t="n">
        <v>13</v>
      </c>
      <c r="H95" s="6" t="s">
        <v>81</v>
      </c>
      <c r="I95" s="6" t="s">
        <v>82</v>
      </c>
      <c r="J95" s="6" t="s">
        <v>58</v>
      </c>
      <c r="K95" s="6" t="n">
        <v>68765</v>
      </c>
      <c r="L95" s="6" t="n">
        <v>67075</v>
      </c>
      <c r="M95" s="6" t="s">
        <v>142</v>
      </c>
      <c r="N95" s="6" t="n">
        <v>38</v>
      </c>
      <c r="O95" s="6" t="s">
        <v>60</v>
      </c>
      <c r="P95" s="6" t="n">
        <v>8</v>
      </c>
      <c r="Q95" s="6" t="n">
        <v>-3.52</v>
      </c>
      <c r="R95" s="20" t="n">
        <f aca="false">(L95-K95)/K95</f>
        <v>-0.0245764560459536</v>
      </c>
    </row>
    <row r="96" customFormat="false" ht="15" hidden="false" customHeight="false" outlineLevel="0" collapsed="false">
      <c r="A96" s="6" t="s">
        <v>258</v>
      </c>
      <c r="B96" s="6" t="n">
        <v>22</v>
      </c>
      <c r="C96" s="6" t="s">
        <v>159</v>
      </c>
      <c r="D96" s="6" t="s">
        <v>135</v>
      </c>
      <c r="E96" s="6" t="s">
        <v>87</v>
      </c>
      <c r="F96" s="6" t="s">
        <v>155</v>
      </c>
      <c r="G96" s="6" t="n">
        <v>0</v>
      </c>
      <c r="H96" s="6" t="s">
        <v>80</v>
      </c>
      <c r="I96" s="6" t="s">
        <v>81</v>
      </c>
      <c r="J96" s="6" t="s">
        <v>60</v>
      </c>
      <c r="K96" s="6" t="n">
        <v>75543</v>
      </c>
      <c r="L96" s="6" t="n">
        <v>78770</v>
      </c>
      <c r="M96" s="6" t="s">
        <v>146</v>
      </c>
      <c r="N96" s="6" t="n">
        <v>42</v>
      </c>
      <c r="O96" s="6" t="s">
        <v>58</v>
      </c>
      <c r="P96" s="6" t="n">
        <v>9</v>
      </c>
      <c r="Q96" s="6" t="n">
        <v>1.49</v>
      </c>
      <c r="R96" s="20" t="n">
        <f aca="false">(L96-K96)/K96</f>
        <v>0.0427173927432059</v>
      </c>
    </row>
    <row r="97" customFormat="false" ht="15" hidden="false" customHeight="false" outlineLevel="0" collapsed="false">
      <c r="A97" s="6" t="s">
        <v>259</v>
      </c>
      <c r="B97" s="6" t="n">
        <v>47</v>
      </c>
      <c r="C97" s="6" t="s">
        <v>134</v>
      </c>
      <c r="D97" s="6" t="s">
        <v>148</v>
      </c>
      <c r="E97" s="6" t="s">
        <v>92</v>
      </c>
      <c r="F97" s="6" t="s">
        <v>192</v>
      </c>
      <c r="G97" s="6" t="n">
        <v>24</v>
      </c>
      <c r="H97" s="6" t="s">
        <v>80</v>
      </c>
      <c r="I97" s="6" t="s">
        <v>81</v>
      </c>
      <c r="J97" s="6" t="s">
        <v>60</v>
      </c>
      <c r="K97" s="6" t="n">
        <v>88017</v>
      </c>
      <c r="L97" s="6" t="n">
        <v>89903</v>
      </c>
      <c r="M97" s="6" t="s">
        <v>146</v>
      </c>
      <c r="N97" s="6" t="n">
        <v>52</v>
      </c>
      <c r="O97" s="6" t="s">
        <v>58</v>
      </c>
      <c r="P97" s="6" t="n">
        <v>6</v>
      </c>
      <c r="Q97" s="6" t="n">
        <v>29.88</v>
      </c>
      <c r="R97" s="20" t="n">
        <f aca="false">(L97-K97)/K97</f>
        <v>0.021427678743879</v>
      </c>
    </row>
    <row r="98" customFormat="false" ht="15" hidden="false" customHeight="false" outlineLevel="0" collapsed="false">
      <c r="A98" s="6" t="s">
        <v>260</v>
      </c>
      <c r="B98" s="6" t="n">
        <v>22</v>
      </c>
      <c r="C98" s="6" t="s">
        <v>139</v>
      </c>
      <c r="D98" s="6" t="s">
        <v>148</v>
      </c>
      <c r="E98" s="6" t="s">
        <v>88</v>
      </c>
      <c r="F98" s="6" t="s">
        <v>179</v>
      </c>
      <c r="G98" s="6" t="n">
        <v>0</v>
      </c>
      <c r="H98" s="6" t="s">
        <v>81</v>
      </c>
      <c r="I98" s="6" t="s">
        <v>81</v>
      </c>
      <c r="J98" s="6" t="s">
        <v>58</v>
      </c>
      <c r="K98" s="6" t="n">
        <v>54285</v>
      </c>
      <c r="L98" s="6" t="n">
        <v>61751</v>
      </c>
      <c r="M98" s="6" t="s">
        <v>146</v>
      </c>
      <c r="N98" s="6" t="n">
        <v>49</v>
      </c>
      <c r="O98" s="6" t="s">
        <v>60</v>
      </c>
      <c r="P98" s="6" t="n">
        <v>9</v>
      </c>
      <c r="Q98" s="6" t="n">
        <v>15.4</v>
      </c>
      <c r="R98" s="20" t="n">
        <f aca="false">(L98-K98)/K98</f>
        <v>0.137533388597218</v>
      </c>
    </row>
    <row r="99" customFormat="false" ht="15" hidden="false" customHeight="false" outlineLevel="0" collapsed="false">
      <c r="A99" s="6" t="s">
        <v>261</v>
      </c>
      <c r="B99" s="6" t="n">
        <v>36</v>
      </c>
      <c r="C99" s="6" t="s">
        <v>139</v>
      </c>
      <c r="D99" s="6" t="s">
        <v>140</v>
      </c>
      <c r="E99" s="6" t="s">
        <v>89</v>
      </c>
      <c r="F99" s="6" t="s">
        <v>151</v>
      </c>
      <c r="G99" s="6" t="n">
        <v>10</v>
      </c>
      <c r="H99" s="6" t="s">
        <v>82</v>
      </c>
      <c r="I99" s="6" t="s">
        <v>80</v>
      </c>
      <c r="J99" s="6" t="s">
        <v>58</v>
      </c>
      <c r="K99" s="6" t="n">
        <v>69764</v>
      </c>
      <c r="L99" s="6" t="n">
        <v>82573</v>
      </c>
      <c r="M99" s="6" t="s">
        <v>142</v>
      </c>
      <c r="N99" s="6" t="n">
        <v>41</v>
      </c>
      <c r="O99" s="6" t="s">
        <v>58</v>
      </c>
      <c r="P99" s="6" t="n">
        <v>8</v>
      </c>
      <c r="Q99" s="6" t="n">
        <v>28.3</v>
      </c>
      <c r="R99" s="20" t="n">
        <f aca="false">(L99-K99)/K99</f>
        <v>0.183604724499742</v>
      </c>
    </row>
    <row r="100" customFormat="false" ht="15" hidden="false" customHeight="false" outlineLevel="0" collapsed="false">
      <c r="A100" s="6" t="s">
        <v>262</v>
      </c>
      <c r="B100" s="6" t="n">
        <v>55</v>
      </c>
      <c r="C100" s="6" t="s">
        <v>134</v>
      </c>
      <c r="D100" s="6" t="s">
        <v>144</v>
      </c>
      <c r="E100" s="6" t="s">
        <v>93</v>
      </c>
      <c r="F100" s="6" t="s">
        <v>164</v>
      </c>
      <c r="G100" s="6" t="n">
        <v>32</v>
      </c>
      <c r="H100" s="6" t="s">
        <v>80</v>
      </c>
      <c r="I100" s="6" t="s">
        <v>80</v>
      </c>
      <c r="J100" s="6" t="s">
        <v>58</v>
      </c>
      <c r="K100" s="6" t="n">
        <v>85393</v>
      </c>
      <c r="L100" s="6" t="n">
        <v>89278</v>
      </c>
      <c r="M100" s="6" t="s">
        <v>142</v>
      </c>
      <c r="N100" s="6" t="n">
        <v>53</v>
      </c>
      <c r="O100" s="6" t="s">
        <v>60</v>
      </c>
      <c r="P100" s="6" t="n">
        <v>9</v>
      </c>
      <c r="Q100" s="6" t="n">
        <v>13.29</v>
      </c>
      <c r="R100" s="20" t="n">
        <f aca="false">(L100-K100)/K100</f>
        <v>0.0454955324206902</v>
      </c>
    </row>
    <row r="101" customFormat="false" ht="15" hidden="false" customHeight="false" outlineLevel="0" collapsed="false">
      <c r="A101" s="6" t="s">
        <v>263</v>
      </c>
      <c r="B101" s="6" t="n">
        <v>55</v>
      </c>
      <c r="C101" s="6" t="s">
        <v>139</v>
      </c>
      <c r="D101" s="6" t="s">
        <v>140</v>
      </c>
      <c r="E101" s="6" t="s">
        <v>87</v>
      </c>
      <c r="F101" s="6" t="s">
        <v>149</v>
      </c>
      <c r="G101" s="6" t="n">
        <v>30</v>
      </c>
      <c r="H101" s="6" t="s">
        <v>82</v>
      </c>
      <c r="I101" s="6" t="s">
        <v>80</v>
      </c>
      <c r="J101" s="6" t="s">
        <v>60</v>
      </c>
      <c r="K101" s="6" t="n">
        <v>83413</v>
      </c>
      <c r="L101" s="6" t="n">
        <v>89297</v>
      </c>
      <c r="M101" s="6" t="s">
        <v>142</v>
      </c>
      <c r="N101" s="6" t="n">
        <v>44</v>
      </c>
      <c r="O101" s="6" t="s">
        <v>58</v>
      </c>
      <c r="P101" s="6" t="n">
        <v>5</v>
      </c>
      <c r="Q101" s="6" t="n">
        <v>34.63</v>
      </c>
      <c r="R101" s="20" t="n">
        <f aca="false">(L101-K101)/K101</f>
        <v>0.0705405632215602</v>
      </c>
    </row>
    <row r="102" customFormat="false" ht="15" hidden="false" customHeight="false" outlineLevel="0" collapsed="false">
      <c r="A102" s="6" t="s">
        <v>264</v>
      </c>
      <c r="B102" s="6" t="n">
        <v>38</v>
      </c>
      <c r="C102" s="6" t="s">
        <v>134</v>
      </c>
      <c r="D102" s="6" t="s">
        <v>144</v>
      </c>
      <c r="E102" s="6" t="s">
        <v>93</v>
      </c>
      <c r="F102" s="6" t="s">
        <v>164</v>
      </c>
      <c r="G102" s="6" t="n">
        <v>12</v>
      </c>
      <c r="H102" s="6" t="s">
        <v>82</v>
      </c>
      <c r="I102" s="6" t="s">
        <v>81</v>
      </c>
      <c r="J102" s="6" t="s">
        <v>58</v>
      </c>
      <c r="K102" s="6" t="n">
        <v>69811</v>
      </c>
      <c r="L102" s="6" t="n">
        <v>75089</v>
      </c>
      <c r="M102" s="6" t="s">
        <v>146</v>
      </c>
      <c r="N102" s="6" t="n">
        <v>51</v>
      </c>
      <c r="O102" s="6" t="s">
        <v>58</v>
      </c>
      <c r="P102" s="6" t="n">
        <v>6</v>
      </c>
      <c r="Q102" s="6" t="n">
        <v>30.53</v>
      </c>
      <c r="R102" s="20" t="n">
        <f aca="false">(L102-K102)/K102</f>
        <v>0.0756041311541161</v>
      </c>
    </row>
    <row r="103" customFormat="false" ht="15" hidden="false" customHeight="false" outlineLevel="0" collapsed="false">
      <c r="A103" s="6" t="s">
        <v>265</v>
      </c>
      <c r="B103" s="6" t="n">
        <v>41</v>
      </c>
      <c r="C103" s="6" t="s">
        <v>159</v>
      </c>
      <c r="D103" s="6" t="s">
        <v>144</v>
      </c>
      <c r="E103" s="6" t="s">
        <v>89</v>
      </c>
      <c r="F103" s="6" t="s">
        <v>162</v>
      </c>
      <c r="G103" s="6" t="n">
        <v>15</v>
      </c>
      <c r="H103" s="6" t="s">
        <v>82</v>
      </c>
      <c r="I103" s="6" t="s">
        <v>82</v>
      </c>
      <c r="J103" s="6" t="s">
        <v>58</v>
      </c>
      <c r="K103" s="6" t="n">
        <v>103477</v>
      </c>
      <c r="L103" s="6" t="n">
        <v>113366</v>
      </c>
      <c r="M103" s="6" t="s">
        <v>146</v>
      </c>
      <c r="N103" s="6" t="n">
        <v>45</v>
      </c>
      <c r="O103" s="6" t="s">
        <v>60</v>
      </c>
      <c r="P103" s="6" t="n">
        <v>5</v>
      </c>
      <c r="Q103" s="6" t="n">
        <v>-0.27</v>
      </c>
      <c r="R103" s="20" t="n">
        <f aca="false">(L103-K103)/K103</f>
        <v>0.0955671308599979</v>
      </c>
    </row>
    <row r="104" customFormat="false" ht="15" hidden="false" customHeight="false" outlineLevel="0" collapsed="false">
      <c r="A104" s="6" t="s">
        <v>266</v>
      </c>
      <c r="B104" s="6" t="n">
        <v>32</v>
      </c>
      <c r="C104" s="6" t="s">
        <v>159</v>
      </c>
      <c r="D104" s="6" t="s">
        <v>135</v>
      </c>
      <c r="E104" s="6" t="s">
        <v>91</v>
      </c>
      <c r="F104" s="6" t="s">
        <v>206</v>
      </c>
      <c r="G104" s="6" t="n">
        <v>8</v>
      </c>
      <c r="H104" s="6" t="s">
        <v>81</v>
      </c>
      <c r="I104" s="6" t="s">
        <v>82</v>
      </c>
      <c r="J104" s="6" t="s">
        <v>60</v>
      </c>
      <c r="K104" s="6" t="n">
        <v>36254</v>
      </c>
      <c r="L104" s="6" t="n">
        <v>34030</v>
      </c>
      <c r="M104" s="6" t="s">
        <v>142</v>
      </c>
      <c r="N104" s="6" t="n">
        <v>45</v>
      </c>
      <c r="O104" s="6" t="s">
        <v>60</v>
      </c>
      <c r="P104" s="6" t="n">
        <v>8</v>
      </c>
      <c r="Q104" s="6" t="n">
        <v>-12.32</v>
      </c>
      <c r="R104" s="20" t="n">
        <f aca="false">(L104-K104)/K104</f>
        <v>-0.0613449550394439</v>
      </c>
    </row>
    <row r="105" customFormat="false" ht="15" hidden="false" customHeight="false" outlineLevel="0" collapsed="false">
      <c r="A105" s="6" t="s">
        <v>267</v>
      </c>
      <c r="B105" s="6" t="n">
        <v>37</v>
      </c>
      <c r="C105" s="6" t="s">
        <v>139</v>
      </c>
      <c r="D105" s="6" t="s">
        <v>140</v>
      </c>
      <c r="E105" s="6" t="s">
        <v>91</v>
      </c>
      <c r="F105" s="6" t="s">
        <v>208</v>
      </c>
      <c r="G105" s="6" t="n">
        <v>12</v>
      </c>
      <c r="H105" s="6" t="s">
        <v>80</v>
      </c>
      <c r="I105" s="6" t="s">
        <v>81</v>
      </c>
      <c r="J105" s="6" t="s">
        <v>58</v>
      </c>
      <c r="K105" s="6" t="n">
        <v>71240</v>
      </c>
      <c r="L105" s="6" t="n">
        <v>77261</v>
      </c>
      <c r="M105" s="6" t="s">
        <v>146</v>
      </c>
      <c r="N105" s="6" t="n">
        <v>52</v>
      </c>
      <c r="O105" s="6" t="s">
        <v>60</v>
      </c>
      <c r="P105" s="6" t="n">
        <v>7</v>
      </c>
      <c r="Q105" s="6" t="n">
        <v>8.44</v>
      </c>
      <c r="R105" s="20" t="n">
        <f aca="false">(L105-K105)/K105</f>
        <v>0.0845171252105559</v>
      </c>
    </row>
    <row r="106" customFormat="false" ht="15" hidden="false" customHeight="false" outlineLevel="0" collapsed="false">
      <c r="A106" s="6" t="s">
        <v>268</v>
      </c>
      <c r="B106" s="6" t="n">
        <v>40</v>
      </c>
      <c r="C106" s="6" t="s">
        <v>139</v>
      </c>
      <c r="D106" s="6" t="s">
        <v>144</v>
      </c>
      <c r="E106" s="6" t="s">
        <v>93</v>
      </c>
      <c r="F106" s="6" t="s">
        <v>197</v>
      </c>
      <c r="G106" s="6" t="n">
        <v>14</v>
      </c>
      <c r="H106" s="6" t="s">
        <v>80</v>
      </c>
      <c r="I106" s="6" t="s">
        <v>81</v>
      </c>
      <c r="J106" s="6" t="s">
        <v>58</v>
      </c>
      <c r="K106" s="6" t="n">
        <v>117044</v>
      </c>
      <c r="L106" s="6" t="n">
        <v>117250</v>
      </c>
      <c r="M106" s="6" t="s">
        <v>146</v>
      </c>
      <c r="N106" s="6" t="n">
        <v>40</v>
      </c>
      <c r="O106" s="6" t="s">
        <v>58</v>
      </c>
      <c r="P106" s="6" t="n">
        <v>3</v>
      </c>
      <c r="Q106" s="6" t="n">
        <v>0.86</v>
      </c>
      <c r="R106" s="20" t="n">
        <f aca="false">(L106-K106)/K106</f>
        <v>0.00176002187211647</v>
      </c>
    </row>
    <row r="107" customFormat="false" ht="15" hidden="false" customHeight="false" outlineLevel="0" collapsed="false">
      <c r="A107" s="6" t="s">
        <v>269</v>
      </c>
      <c r="B107" s="6" t="n">
        <v>26</v>
      </c>
      <c r="C107" s="6" t="s">
        <v>159</v>
      </c>
      <c r="D107" s="6" t="s">
        <v>144</v>
      </c>
      <c r="E107" s="6" t="s">
        <v>88</v>
      </c>
      <c r="F107" s="6" t="s">
        <v>179</v>
      </c>
      <c r="G107" s="6" t="n">
        <v>4</v>
      </c>
      <c r="H107" s="6" t="s">
        <v>82</v>
      </c>
      <c r="I107" s="6" t="s">
        <v>82</v>
      </c>
      <c r="J107" s="6" t="s">
        <v>60</v>
      </c>
      <c r="K107" s="6" t="n">
        <v>46907</v>
      </c>
      <c r="L107" s="6" t="n">
        <v>43332</v>
      </c>
      <c r="M107" s="6" t="s">
        <v>137</v>
      </c>
      <c r="N107" s="6" t="n">
        <v>48</v>
      </c>
      <c r="O107" s="6" t="s">
        <v>58</v>
      </c>
      <c r="P107" s="6" t="n">
        <v>4</v>
      </c>
      <c r="Q107" s="6" t="n">
        <v>1.86</v>
      </c>
      <c r="R107" s="20" t="n">
        <f aca="false">(L107-K107)/K107</f>
        <v>-0.076214637474151</v>
      </c>
    </row>
    <row r="108" customFormat="false" ht="15" hidden="false" customHeight="false" outlineLevel="0" collapsed="false">
      <c r="A108" s="6" t="s">
        <v>270</v>
      </c>
      <c r="B108" s="6" t="n">
        <v>48</v>
      </c>
      <c r="C108" s="6" t="s">
        <v>139</v>
      </c>
      <c r="D108" s="6" t="s">
        <v>148</v>
      </c>
      <c r="E108" s="6" t="s">
        <v>93</v>
      </c>
      <c r="F108" s="6" t="s">
        <v>197</v>
      </c>
      <c r="G108" s="6" t="n">
        <v>26</v>
      </c>
      <c r="H108" s="6" t="s">
        <v>80</v>
      </c>
      <c r="I108" s="6" t="s">
        <v>80</v>
      </c>
      <c r="J108" s="6" t="s">
        <v>58</v>
      </c>
      <c r="K108" s="6" t="n">
        <v>53321</v>
      </c>
      <c r="L108" s="6" t="n">
        <v>57048</v>
      </c>
      <c r="M108" s="6" t="s">
        <v>142</v>
      </c>
      <c r="N108" s="6" t="n">
        <v>49</v>
      </c>
      <c r="O108" s="6" t="s">
        <v>60</v>
      </c>
      <c r="P108" s="6" t="n">
        <v>8</v>
      </c>
      <c r="Q108" s="6" t="n">
        <v>17.67</v>
      </c>
      <c r="R108" s="20" t="n">
        <f aca="false">(L108-K108)/K108</f>
        <v>0.0698974137769359</v>
      </c>
    </row>
    <row r="109" customFormat="false" ht="15" hidden="false" customHeight="false" outlineLevel="0" collapsed="false">
      <c r="A109" s="6" t="s">
        <v>271</v>
      </c>
      <c r="B109" s="6" t="n">
        <v>38</v>
      </c>
      <c r="C109" s="6" t="s">
        <v>134</v>
      </c>
      <c r="D109" s="6" t="s">
        <v>148</v>
      </c>
      <c r="E109" s="6" t="s">
        <v>93</v>
      </c>
      <c r="F109" s="6" t="s">
        <v>197</v>
      </c>
      <c r="G109" s="6" t="n">
        <v>15</v>
      </c>
      <c r="H109" s="6" t="s">
        <v>81</v>
      </c>
      <c r="I109" s="6" t="s">
        <v>80</v>
      </c>
      <c r="J109" s="6" t="s">
        <v>58</v>
      </c>
      <c r="K109" s="6" t="n">
        <v>94291</v>
      </c>
      <c r="L109" s="6" t="n">
        <v>107667</v>
      </c>
      <c r="M109" s="6" t="s">
        <v>142</v>
      </c>
      <c r="N109" s="6" t="n">
        <v>54</v>
      </c>
      <c r="O109" s="6" t="s">
        <v>58</v>
      </c>
      <c r="P109" s="6" t="n">
        <v>9</v>
      </c>
      <c r="Q109" s="6" t="n">
        <v>24.9</v>
      </c>
      <c r="R109" s="20" t="n">
        <f aca="false">(L109-K109)/K109</f>
        <v>0.141858713981186</v>
      </c>
    </row>
    <row r="110" customFormat="false" ht="15" hidden="false" customHeight="false" outlineLevel="0" collapsed="false">
      <c r="A110" s="6" t="s">
        <v>272</v>
      </c>
      <c r="B110" s="6" t="n">
        <v>43</v>
      </c>
      <c r="C110" s="6" t="s">
        <v>134</v>
      </c>
      <c r="D110" s="6" t="s">
        <v>140</v>
      </c>
      <c r="E110" s="6" t="s">
        <v>92</v>
      </c>
      <c r="F110" s="6" t="s">
        <v>192</v>
      </c>
      <c r="G110" s="6" t="n">
        <v>20</v>
      </c>
      <c r="H110" s="6" t="s">
        <v>81</v>
      </c>
      <c r="I110" s="6" t="s">
        <v>82</v>
      </c>
      <c r="J110" s="6" t="s">
        <v>60</v>
      </c>
      <c r="K110" s="6" t="n">
        <v>58699</v>
      </c>
      <c r="L110" s="6" t="n">
        <v>59325</v>
      </c>
      <c r="M110" s="6" t="s">
        <v>142</v>
      </c>
      <c r="N110" s="6" t="n">
        <v>47</v>
      </c>
      <c r="O110" s="6" t="s">
        <v>58</v>
      </c>
      <c r="P110" s="6" t="n">
        <v>4</v>
      </c>
      <c r="Q110" s="6" t="n">
        <v>7.75</v>
      </c>
      <c r="R110" s="20" t="n">
        <f aca="false">(L110-K110)/K110</f>
        <v>0.010664576909317</v>
      </c>
    </row>
    <row r="111" customFormat="false" ht="15" hidden="false" customHeight="false" outlineLevel="0" collapsed="false">
      <c r="A111" s="6" t="s">
        <v>273</v>
      </c>
      <c r="B111" s="6" t="n">
        <v>35</v>
      </c>
      <c r="C111" s="6" t="s">
        <v>139</v>
      </c>
      <c r="D111" s="6" t="s">
        <v>135</v>
      </c>
      <c r="E111" s="6" t="s">
        <v>91</v>
      </c>
      <c r="F111" s="6" t="s">
        <v>208</v>
      </c>
      <c r="G111" s="6" t="n">
        <v>11</v>
      </c>
      <c r="H111" s="6" t="s">
        <v>81</v>
      </c>
      <c r="I111" s="6" t="s">
        <v>81</v>
      </c>
      <c r="J111" s="6" t="s">
        <v>58</v>
      </c>
      <c r="K111" s="6" t="n">
        <v>35126</v>
      </c>
      <c r="L111" s="6" t="n">
        <v>38854</v>
      </c>
      <c r="M111" s="6" t="s">
        <v>146</v>
      </c>
      <c r="N111" s="6" t="n">
        <v>45</v>
      </c>
      <c r="O111" s="6" t="s">
        <v>60</v>
      </c>
      <c r="P111" s="6" t="n">
        <v>9</v>
      </c>
      <c r="Q111" s="6" t="n">
        <v>30.67</v>
      </c>
      <c r="R111" s="20" t="n">
        <f aca="false">(L111-K111)/K111</f>
        <v>0.106132209759153</v>
      </c>
    </row>
    <row r="112" customFormat="false" ht="15" hidden="false" customHeight="false" outlineLevel="0" collapsed="false">
      <c r="A112" s="6" t="s">
        <v>274</v>
      </c>
      <c r="B112" s="6" t="n">
        <v>39</v>
      </c>
      <c r="C112" s="6" t="s">
        <v>139</v>
      </c>
      <c r="D112" s="6" t="s">
        <v>135</v>
      </c>
      <c r="E112" s="6" t="s">
        <v>92</v>
      </c>
      <c r="F112" s="6" t="s">
        <v>192</v>
      </c>
      <c r="G112" s="6" t="n">
        <v>16</v>
      </c>
      <c r="H112" s="6" t="s">
        <v>82</v>
      </c>
      <c r="I112" s="6" t="s">
        <v>81</v>
      </c>
      <c r="J112" s="6" t="s">
        <v>58</v>
      </c>
      <c r="K112" s="6" t="n">
        <v>118869</v>
      </c>
      <c r="L112" s="6" t="n">
        <v>133082</v>
      </c>
      <c r="M112" s="6" t="s">
        <v>146</v>
      </c>
      <c r="N112" s="6" t="n">
        <v>39</v>
      </c>
      <c r="O112" s="6" t="s">
        <v>58</v>
      </c>
      <c r="P112" s="6" t="n">
        <v>6</v>
      </c>
      <c r="Q112" s="6" t="n">
        <v>-5.45</v>
      </c>
      <c r="R112" s="20" t="n">
        <f aca="false">(L112-K112)/K112</f>
        <v>0.119568600728533</v>
      </c>
    </row>
    <row r="113" customFormat="false" ht="15" hidden="false" customHeight="false" outlineLevel="0" collapsed="false">
      <c r="A113" s="6" t="s">
        <v>275</v>
      </c>
      <c r="B113" s="6" t="n">
        <v>31</v>
      </c>
      <c r="C113" s="6" t="s">
        <v>139</v>
      </c>
      <c r="D113" s="6" t="s">
        <v>148</v>
      </c>
      <c r="E113" s="6" t="s">
        <v>91</v>
      </c>
      <c r="F113" s="6" t="s">
        <v>206</v>
      </c>
      <c r="G113" s="6" t="n">
        <v>9</v>
      </c>
      <c r="H113" s="6" t="s">
        <v>80</v>
      </c>
      <c r="I113" s="6" t="s">
        <v>80</v>
      </c>
      <c r="J113" s="6" t="s">
        <v>58</v>
      </c>
      <c r="K113" s="6" t="n">
        <v>80448</v>
      </c>
      <c r="L113" s="6" t="n">
        <v>78977</v>
      </c>
      <c r="M113" s="6" t="s">
        <v>142</v>
      </c>
      <c r="N113" s="6" t="n">
        <v>46</v>
      </c>
      <c r="O113" s="6" t="s">
        <v>58</v>
      </c>
      <c r="P113" s="6" t="n">
        <v>3</v>
      </c>
      <c r="Q113" s="6" t="n">
        <v>-0.35</v>
      </c>
      <c r="R113" s="20" t="n">
        <f aca="false">(L113-K113)/K113</f>
        <v>-0.0182851034208433</v>
      </c>
    </row>
    <row r="114" customFormat="false" ht="15" hidden="false" customHeight="false" outlineLevel="0" collapsed="false">
      <c r="A114" s="6" t="s">
        <v>276</v>
      </c>
      <c r="B114" s="6" t="n">
        <v>38</v>
      </c>
      <c r="C114" s="6" t="s">
        <v>159</v>
      </c>
      <c r="D114" s="6" t="s">
        <v>135</v>
      </c>
      <c r="E114" s="6" t="s">
        <v>90</v>
      </c>
      <c r="F114" s="6" t="s">
        <v>236</v>
      </c>
      <c r="G114" s="6" t="n">
        <v>12</v>
      </c>
      <c r="H114" s="6" t="s">
        <v>80</v>
      </c>
      <c r="I114" s="6" t="s">
        <v>81</v>
      </c>
      <c r="J114" s="6" t="s">
        <v>58</v>
      </c>
      <c r="K114" s="6" t="n">
        <v>36168</v>
      </c>
      <c r="L114" s="6" t="n">
        <v>38043</v>
      </c>
      <c r="M114" s="6" t="s">
        <v>146</v>
      </c>
      <c r="N114" s="6" t="n">
        <v>47</v>
      </c>
      <c r="O114" s="6" t="s">
        <v>58</v>
      </c>
      <c r="P114" s="6" t="n">
        <v>4</v>
      </c>
      <c r="Q114" s="6" t="n">
        <v>27.35</v>
      </c>
      <c r="R114" s="20" t="n">
        <f aca="false">(L114-K114)/K114</f>
        <v>0.0518414067684141</v>
      </c>
    </row>
    <row r="115" customFormat="false" ht="15" hidden="false" customHeight="false" outlineLevel="0" collapsed="false">
      <c r="A115" s="6" t="s">
        <v>277</v>
      </c>
      <c r="B115" s="6" t="n">
        <v>57</v>
      </c>
      <c r="C115" s="6" t="s">
        <v>159</v>
      </c>
      <c r="D115" s="6" t="s">
        <v>140</v>
      </c>
      <c r="E115" s="6" t="s">
        <v>87</v>
      </c>
      <c r="F115" s="6" t="s">
        <v>160</v>
      </c>
      <c r="G115" s="6" t="n">
        <v>34</v>
      </c>
      <c r="H115" s="6" t="s">
        <v>80</v>
      </c>
      <c r="I115" s="6" t="s">
        <v>81</v>
      </c>
      <c r="J115" s="6" t="s">
        <v>58</v>
      </c>
      <c r="K115" s="6" t="n">
        <v>42910</v>
      </c>
      <c r="L115" s="6" t="n">
        <v>45562</v>
      </c>
      <c r="M115" s="6" t="s">
        <v>146</v>
      </c>
      <c r="N115" s="6" t="n">
        <v>53</v>
      </c>
      <c r="O115" s="6" t="s">
        <v>58</v>
      </c>
      <c r="P115" s="6" t="n">
        <v>4</v>
      </c>
      <c r="Q115" s="6" t="n">
        <v>5.9</v>
      </c>
      <c r="R115" s="20" t="n">
        <f aca="false">(L115-K115)/K115</f>
        <v>0.0618037753437427</v>
      </c>
    </row>
    <row r="116" customFormat="false" ht="15" hidden="false" customHeight="false" outlineLevel="0" collapsed="false">
      <c r="A116" s="6" t="s">
        <v>278</v>
      </c>
      <c r="B116" s="6" t="n">
        <v>58</v>
      </c>
      <c r="C116" s="6" t="s">
        <v>139</v>
      </c>
      <c r="D116" s="6" t="s">
        <v>144</v>
      </c>
      <c r="E116" s="6" t="s">
        <v>90</v>
      </c>
      <c r="F116" s="6" t="s">
        <v>236</v>
      </c>
      <c r="G116" s="6" t="n">
        <v>33</v>
      </c>
      <c r="H116" s="6" t="s">
        <v>80</v>
      </c>
      <c r="I116" s="6" t="s">
        <v>81</v>
      </c>
      <c r="J116" s="6" t="s">
        <v>60</v>
      </c>
      <c r="K116" s="6" t="n">
        <v>84553</v>
      </c>
      <c r="L116" s="6" t="n">
        <v>88030</v>
      </c>
      <c r="M116" s="6" t="s">
        <v>146</v>
      </c>
      <c r="N116" s="6" t="n">
        <v>47</v>
      </c>
      <c r="O116" s="6" t="s">
        <v>60</v>
      </c>
      <c r="P116" s="6" t="n">
        <v>8</v>
      </c>
      <c r="Q116" s="6" t="n">
        <v>-5.34</v>
      </c>
      <c r="R116" s="20" t="n">
        <f aca="false">(L116-K116)/K116</f>
        <v>0.0411221364114816</v>
      </c>
    </row>
    <row r="117" customFormat="false" ht="15" hidden="false" customHeight="false" outlineLevel="0" collapsed="false">
      <c r="A117" s="6" t="s">
        <v>279</v>
      </c>
      <c r="B117" s="6" t="n">
        <v>58</v>
      </c>
      <c r="C117" s="6" t="s">
        <v>159</v>
      </c>
      <c r="D117" s="6" t="s">
        <v>144</v>
      </c>
      <c r="E117" s="6" t="s">
        <v>90</v>
      </c>
      <c r="F117" s="6" t="s">
        <v>236</v>
      </c>
      <c r="G117" s="6" t="n">
        <v>36</v>
      </c>
      <c r="H117" s="6" t="s">
        <v>81</v>
      </c>
      <c r="I117" s="6" t="s">
        <v>81</v>
      </c>
      <c r="J117" s="6" t="s">
        <v>60</v>
      </c>
      <c r="K117" s="6" t="n">
        <v>88656</v>
      </c>
      <c r="L117" s="6" t="n">
        <v>79990</v>
      </c>
      <c r="M117" s="6" t="s">
        <v>146</v>
      </c>
      <c r="N117" s="6" t="n">
        <v>40</v>
      </c>
      <c r="O117" s="6" t="s">
        <v>60</v>
      </c>
      <c r="P117" s="6" t="n">
        <v>9</v>
      </c>
      <c r="Q117" s="6" t="n">
        <v>-6.48</v>
      </c>
      <c r="R117" s="20" t="n">
        <f aca="false">(L117-K117)/K117</f>
        <v>-0.097748601335499</v>
      </c>
    </row>
    <row r="118" customFormat="false" ht="15" hidden="false" customHeight="false" outlineLevel="0" collapsed="false">
      <c r="A118" s="6" t="s">
        <v>280</v>
      </c>
      <c r="B118" s="6" t="n">
        <v>25</v>
      </c>
      <c r="C118" s="6" t="s">
        <v>139</v>
      </c>
      <c r="D118" s="6" t="s">
        <v>140</v>
      </c>
      <c r="E118" s="6" t="s">
        <v>87</v>
      </c>
      <c r="F118" s="6" t="s">
        <v>155</v>
      </c>
      <c r="G118" s="6" t="n">
        <v>1</v>
      </c>
      <c r="H118" s="6" t="s">
        <v>81</v>
      </c>
      <c r="I118" s="6" t="s">
        <v>82</v>
      </c>
      <c r="J118" s="6" t="s">
        <v>58</v>
      </c>
      <c r="K118" s="6" t="n">
        <v>106125</v>
      </c>
      <c r="L118" s="6" t="n">
        <v>101032</v>
      </c>
      <c r="M118" s="6" t="s">
        <v>142</v>
      </c>
      <c r="N118" s="6" t="n">
        <v>37</v>
      </c>
      <c r="O118" s="6" t="s">
        <v>58</v>
      </c>
      <c r="P118" s="6" t="n">
        <v>5</v>
      </c>
      <c r="Q118" s="6" t="n">
        <v>33.81</v>
      </c>
      <c r="R118" s="20" t="n">
        <f aca="false">(L118-K118)/K118</f>
        <v>-0.0479905771495878</v>
      </c>
    </row>
    <row r="119" customFormat="false" ht="15" hidden="false" customHeight="false" outlineLevel="0" collapsed="false">
      <c r="A119" s="6" t="s">
        <v>281</v>
      </c>
      <c r="B119" s="6" t="n">
        <v>52</v>
      </c>
      <c r="C119" s="6" t="s">
        <v>159</v>
      </c>
      <c r="D119" s="6" t="s">
        <v>144</v>
      </c>
      <c r="E119" s="6" t="s">
        <v>90</v>
      </c>
      <c r="F119" s="6" t="s">
        <v>236</v>
      </c>
      <c r="G119" s="6" t="n">
        <v>26</v>
      </c>
      <c r="H119" s="6" t="s">
        <v>82</v>
      </c>
      <c r="I119" s="6" t="s">
        <v>82</v>
      </c>
      <c r="J119" s="6" t="s">
        <v>58</v>
      </c>
      <c r="K119" s="6" t="n">
        <v>106323</v>
      </c>
      <c r="L119" s="6" t="n">
        <v>148677</v>
      </c>
      <c r="M119" s="6" t="s">
        <v>137</v>
      </c>
      <c r="N119" s="6" t="n">
        <v>54</v>
      </c>
      <c r="O119" s="6" t="s">
        <v>58</v>
      </c>
      <c r="P119" s="6" t="n">
        <v>6</v>
      </c>
      <c r="Q119" s="6" t="n">
        <v>33.8</v>
      </c>
      <c r="R119" s="20" t="n">
        <f aca="false">(L119-K119)/K119</f>
        <v>0.398352190965266</v>
      </c>
    </row>
    <row r="120" customFormat="false" ht="15" hidden="false" customHeight="false" outlineLevel="0" collapsed="false">
      <c r="A120" s="6" t="s">
        <v>282</v>
      </c>
      <c r="B120" s="6" t="n">
        <v>32</v>
      </c>
      <c r="C120" s="6" t="s">
        <v>139</v>
      </c>
      <c r="D120" s="6" t="s">
        <v>140</v>
      </c>
      <c r="E120" s="6" t="s">
        <v>92</v>
      </c>
      <c r="F120" s="6" t="s">
        <v>136</v>
      </c>
      <c r="G120" s="6" t="n">
        <v>7</v>
      </c>
      <c r="H120" s="6" t="s">
        <v>82</v>
      </c>
      <c r="I120" s="6" t="s">
        <v>81</v>
      </c>
      <c r="J120" s="6" t="s">
        <v>60</v>
      </c>
      <c r="K120" s="6" t="n">
        <v>117886</v>
      </c>
      <c r="L120" s="6" t="n">
        <v>152101</v>
      </c>
      <c r="M120" s="6" t="s">
        <v>146</v>
      </c>
      <c r="N120" s="6" t="n">
        <v>40</v>
      </c>
      <c r="O120" s="6" t="s">
        <v>60</v>
      </c>
      <c r="P120" s="6" t="n">
        <v>5</v>
      </c>
      <c r="Q120" s="6" t="n">
        <v>-4.53</v>
      </c>
      <c r="R120" s="20" t="n">
        <f aca="false">(L120-K120)/K120</f>
        <v>0.29023802656804</v>
      </c>
    </row>
    <row r="121" customFormat="false" ht="15" hidden="false" customHeight="false" outlineLevel="0" collapsed="false">
      <c r="A121" s="6" t="s">
        <v>283</v>
      </c>
      <c r="B121" s="6" t="n">
        <v>23</v>
      </c>
      <c r="C121" s="6" t="s">
        <v>139</v>
      </c>
      <c r="D121" s="6" t="s">
        <v>148</v>
      </c>
      <c r="E121" s="6" t="s">
        <v>88</v>
      </c>
      <c r="F121" s="6" t="s">
        <v>234</v>
      </c>
      <c r="G121" s="6" t="n">
        <v>0</v>
      </c>
      <c r="H121" s="6" t="s">
        <v>82</v>
      </c>
      <c r="I121" s="6" t="s">
        <v>81</v>
      </c>
      <c r="J121" s="6" t="s">
        <v>60</v>
      </c>
      <c r="K121" s="6" t="n">
        <v>109239</v>
      </c>
      <c r="L121" s="6" t="n">
        <v>118630</v>
      </c>
      <c r="M121" s="6" t="s">
        <v>146</v>
      </c>
      <c r="N121" s="6" t="n">
        <v>39</v>
      </c>
      <c r="O121" s="6" t="s">
        <v>58</v>
      </c>
      <c r="P121" s="6" t="n">
        <v>8</v>
      </c>
      <c r="Q121" s="6" t="n">
        <v>30.31</v>
      </c>
      <c r="R121" s="20" t="n">
        <f aca="false">(L121-K121)/K121</f>
        <v>0.0859674658318</v>
      </c>
    </row>
    <row r="122" customFormat="false" ht="15" hidden="false" customHeight="false" outlineLevel="0" collapsed="false">
      <c r="A122" s="6" t="s">
        <v>284</v>
      </c>
      <c r="B122" s="6" t="n">
        <v>47</v>
      </c>
      <c r="C122" s="6" t="s">
        <v>159</v>
      </c>
      <c r="D122" s="6" t="s">
        <v>144</v>
      </c>
      <c r="E122" s="6" t="s">
        <v>88</v>
      </c>
      <c r="F122" s="6" t="s">
        <v>179</v>
      </c>
      <c r="G122" s="6" t="n">
        <v>22</v>
      </c>
      <c r="H122" s="6" t="s">
        <v>80</v>
      </c>
      <c r="I122" s="6" t="s">
        <v>81</v>
      </c>
      <c r="J122" s="6" t="s">
        <v>60</v>
      </c>
      <c r="K122" s="6" t="n">
        <v>88067</v>
      </c>
      <c r="L122" s="6" t="n">
        <v>90369</v>
      </c>
      <c r="M122" s="6" t="s">
        <v>146</v>
      </c>
      <c r="N122" s="6" t="n">
        <v>49</v>
      </c>
      <c r="O122" s="6" t="s">
        <v>60</v>
      </c>
      <c r="P122" s="6" t="n">
        <v>3</v>
      </c>
      <c r="Q122" s="6" t="n">
        <v>-5.46</v>
      </c>
      <c r="R122" s="20" t="n">
        <f aca="false">(L122-K122)/K122</f>
        <v>0.0261391894807363</v>
      </c>
    </row>
    <row r="123" customFormat="false" ht="15" hidden="false" customHeight="false" outlineLevel="0" collapsed="false">
      <c r="A123" s="6" t="s">
        <v>285</v>
      </c>
      <c r="B123" s="6" t="n">
        <v>47</v>
      </c>
      <c r="C123" s="6" t="s">
        <v>134</v>
      </c>
      <c r="D123" s="6" t="s">
        <v>144</v>
      </c>
      <c r="E123" s="6" t="s">
        <v>89</v>
      </c>
      <c r="F123" s="6" t="s">
        <v>162</v>
      </c>
      <c r="G123" s="6" t="n">
        <v>21</v>
      </c>
      <c r="H123" s="6" t="s">
        <v>82</v>
      </c>
      <c r="I123" s="6" t="s">
        <v>80</v>
      </c>
      <c r="J123" s="6" t="s">
        <v>60</v>
      </c>
      <c r="K123" s="6" t="n">
        <v>31917</v>
      </c>
      <c r="L123" s="6" t="n">
        <v>28489</v>
      </c>
      <c r="M123" s="6" t="s">
        <v>142</v>
      </c>
      <c r="N123" s="6" t="n">
        <v>45</v>
      </c>
      <c r="O123" s="6" t="s">
        <v>58</v>
      </c>
      <c r="P123" s="6" t="n">
        <v>5</v>
      </c>
      <c r="Q123" s="6" t="n">
        <v>8.87</v>
      </c>
      <c r="R123" s="20" t="n">
        <f aca="false">(L123-K123)/K123</f>
        <v>-0.107403578030517</v>
      </c>
    </row>
    <row r="124" customFormat="false" ht="15" hidden="false" customHeight="false" outlineLevel="0" collapsed="false">
      <c r="A124" s="6" t="s">
        <v>286</v>
      </c>
      <c r="B124" s="6" t="n">
        <v>54</v>
      </c>
      <c r="C124" s="6" t="s">
        <v>159</v>
      </c>
      <c r="D124" s="6" t="s">
        <v>148</v>
      </c>
      <c r="E124" s="6" t="s">
        <v>91</v>
      </c>
      <c r="F124" s="6" t="s">
        <v>141</v>
      </c>
      <c r="G124" s="6" t="n">
        <v>31</v>
      </c>
      <c r="H124" s="6" t="s">
        <v>82</v>
      </c>
      <c r="I124" s="6" t="s">
        <v>80</v>
      </c>
      <c r="J124" s="6" t="s">
        <v>58</v>
      </c>
      <c r="K124" s="6" t="n">
        <v>89383</v>
      </c>
      <c r="L124" s="6" t="n">
        <v>78715</v>
      </c>
      <c r="M124" s="6" t="s">
        <v>142</v>
      </c>
      <c r="N124" s="6" t="n">
        <v>46</v>
      </c>
      <c r="O124" s="6" t="s">
        <v>58</v>
      </c>
      <c r="P124" s="6" t="n">
        <v>4</v>
      </c>
      <c r="Q124" s="6" t="n">
        <v>-16.2</v>
      </c>
      <c r="R124" s="20" t="n">
        <f aca="false">(L124-K124)/K124</f>
        <v>-0.119351554546167</v>
      </c>
    </row>
    <row r="125" customFormat="false" ht="15" hidden="false" customHeight="false" outlineLevel="0" collapsed="false">
      <c r="A125" s="6" t="s">
        <v>287</v>
      </c>
      <c r="B125" s="6" t="n">
        <v>34</v>
      </c>
      <c r="C125" s="6" t="s">
        <v>134</v>
      </c>
      <c r="D125" s="6" t="s">
        <v>140</v>
      </c>
      <c r="E125" s="6" t="s">
        <v>92</v>
      </c>
      <c r="F125" s="6" t="s">
        <v>192</v>
      </c>
      <c r="G125" s="6" t="n">
        <v>11</v>
      </c>
      <c r="H125" s="6" t="s">
        <v>80</v>
      </c>
      <c r="I125" s="6" t="s">
        <v>81</v>
      </c>
      <c r="J125" s="6" t="s">
        <v>60</v>
      </c>
      <c r="K125" s="6" t="n">
        <v>64387</v>
      </c>
      <c r="L125" s="6" t="n">
        <v>63626</v>
      </c>
      <c r="M125" s="6" t="s">
        <v>146</v>
      </c>
      <c r="N125" s="6" t="n">
        <v>51</v>
      </c>
      <c r="O125" s="6" t="s">
        <v>60</v>
      </c>
      <c r="P125" s="6" t="n">
        <v>3</v>
      </c>
      <c r="Q125" s="6" t="n">
        <v>20.89</v>
      </c>
      <c r="R125" s="20" t="n">
        <f aca="false">(L125-K125)/K125</f>
        <v>-0.0118191560408157</v>
      </c>
    </row>
    <row r="126" customFormat="false" ht="15" hidden="false" customHeight="false" outlineLevel="0" collapsed="false">
      <c r="A126" s="6" t="s">
        <v>288</v>
      </c>
      <c r="B126" s="6" t="n">
        <v>32</v>
      </c>
      <c r="C126" s="6" t="s">
        <v>159</v>
      </c>
      <c r="D126" s="6" t="s">
        <v>140</v>
      </c>
      <c r="E126" s="6" t="s">
        <v>88</v>
      </c>
      <c r="F126" s="6" t="s">
        <v>234</v>
      </c>
      <c r="G126" s="6" t="n">
        <v>8</v>
      </c>
      <c r="H126" s="6" t="s">
        <v>80</v>
      </c>
      <c r="I126" s="6" t="s">
        <v>81</v>
      </c>
      <c r="J126" s="6" t="s">
        <v>60</v>
      </c>
      <c r="K126" s="6" t="n">
        <v>72078</v>
      </c>
      <c r="L126" s="6" t="n">
        <v>78523</v>
      </c>
      <c r="M126" s="6" t="s">
        <v>146</v>
      </c>
      <c r="N126" s="6" t="n">
        <v>46</v>
      </c>
      <c r="O126" s="6" t="s">
        <v>58</v>
      </c>
      <c r="P126" s="6" t="n">
        <v>4</v>
      </c>
      <c r="Q126" s="6" t="n">
        <v>29.84</v>
      </c>
      <c r="R126" s="20" t="n">
        <f aca="false">(L126-K126)/K126</f>
        <v>0.089417020450068</v>
      </c>
    </row>
    <row r="127" customFormat="false" ht="15" hidden="false" customHeight="false" outlineLevel="0" collapsed="false">
      <c r="A127" s="6" t="s">
        <v>289</v>
      </c>
      <c r="B127" s="6" t="n">
        <v>35</v>
      </c>
      <c r="C127" s="6" t="s">
        <v>139</v>
      </c>
      <c r="D127" s="6" t="s">
        <v>148</v>
      </c>
      <c r="E127" s="6" t="s">
        <v>88</v>
      </c>
      <c r="F127" s="6" t="s">
        <v>157</v>
      </c>
      <c r="G127" s="6" t="n">
        <v>9</v>
      </c>
      <c r="H127" s="6" t="s">
        <v>80</v>
      </c>
      <c r="I127" s="6" t="s">
        <v>81</v>
      </c>
      <c r="J127" s="6" t="s">
        <v>60</v>
      </c>
      <c r="K127" s="6" t="n">
        <v>38567</v>
      </c>
      <c r="L127" s="6" t="n">
        <v>42371</v>
      </c>
      <c r="M127" s="6" t="s">
        <v>146</v>
      </c>
      <c r="N127" s="6" t="n">
        <v>37</v>
      </c>
      <c r="O127" s="6" t="s">
        <v>60</v>
      </c>
      <c r="P127" s="6" t="n">
        <v>5</v>
      </c>
      <c r="Q127" s="6" t="n">
        <v>-7.7</v>
      </c>
      <c r="R127" s="20" t="n">
        <f aca="false">(L127-K127)/K127</f>
        <v>0.0986335468146343</v>
      </c>
    </row>
    <row r="128" customFormat="false" ht="15" hidden="false" customHeight="false" outlineLevel="0" collapsed="false">
      <c r="A128" s="6" t="s">
        <v>290</v>
      </c>
      <c r="B128" s="6" t="n">
        <v>22</v>
      </c>
      <c r="C128" s="6" t="s">
        <v>139</v>
      </c>
      <c r="D128" s="6" t="s">
        <v>135</v>
      </c>
      <c r="E128" s="6" t="s">
        <v>91</v>
      </c>
      <c r="F128" s="6" t="s">
        <v>206</v>
      </c>
      <c r="G128" s="6" t="n">
        <v>0</v>
      </c>
      <c r="H128" s="6" t="s">
        <v>80</v>
      </c>
      <c r="I128" s="6" t="s">
        <v>81</v>
      </c>
      <c r="J128" s="6" t="s">
        <v>60</v>
      </c>
      <c r="K128" s="6" t="n">
        <v>35951</v>
      </c>
      <c r="L128" s="6" t="n">
        <v>38367</v>
      </c>
      <c r="M128" s="6" t="s">
        <v>146</v>
      </c>
      <c r="N128" s="6" t="n">
        <v>39</v>
      </c>
      <c r="O128" s="6" t="s">
        <v>58</v>
      </c>
      <c r="P128" s="6" t="n">
        <v>8</v>
      </c>
      <c r="Q128" s="6" t="n">
        <v>29.68</v>
      </c>
      <c r="R128" s="20" t="n">
        <f aca="false">(L128-K128)/K128</f>
        <v>0.0672025812912019</v>
      </c>
    </row>
    <row r="129" customFormat="false" ht="15" hidden="false" customHeight="false" outlineLevel="0" collapsed="false">
      <c r="A129" s="6" t="s">
        <v>291</v>
      </c>
      <c r="B129" s="6" t="n">
        <v>51</v>
      </c>
      <c r="C129" s="6" t="s">
        <v>134</v>
      </c>
      <c r="D129" s="6" t="s">
        <v>140</v>
      </c>
      <c r="E129" s="6" t="s">
        <v>88</v>
      </c>
      <c r="F129" s="6" t="s">
        <v>234</v>
      </c>
      <c r="G129" s="6" t="n">
        <v>27</v>
      </c>
      <c r="H129" s="6" t="s">
        <v>80</v>
      </c>
      <c r="I129" s="6" t="s">
        <v>80</v>
      </c>
      <c r="J129" s="6" t="s">
        <v>60</v>
      </c>
      <c r="K129" s="6" t="n">
        <v>116740</v>
      </c>
      <c r="L129" s="6" t="n">
        <v>114167</v>
      </c>
      <c r="M129" s="6" t="s">
        <v>142</v>
      </c>
      <c r="N129" s="6" t="n">
        <v>48</v>
      </c>
      <c r="O129" s="6" t="s">
        <v>58</v>
      </c>
      <c r="P129" s="6" t="n">
        <v>4</v>
      </c>
      <c r="Q129" s="6" t="n">
        <v>-5.86</v>
      </c>
      <c r="R129" s="20" t="n">
        <f aca="false">(L129-K129)/K129</f>
        <v>-0.0220404317286277</v>
      </c>
    </row>
    <row r="130" customFormat="false" ht="15" hidden="false" customHeight="false" outlineLevel="0" collapsed="false">
      <c r="A130" s="6" t="s">
        <v>292</v>
      </c>
      <c r="B130" s="6" t="n">
        <v>25</v>
      </c>
      <c r="C130" s="6" t="s">
        <v>139</v>
      </c>
      <c r="D130" s="6" t="s">
        <v>148</v>
      </c>
      <c r="E130" s="6" t="s">
        <v>90</v>
      </c>
      <c r="F130" s="6" t="s">
        <v>202</v>
      </c>
      <c r="G130" s="6" t="n">
        <v>3</v>
      </c>
      <c r="H130" s="6" t="s">
        <v>82</v>
      </c>
      <c r="I130" s="6" t="s">
        <v>81</v>
      </c>
      <c r="J130" s="6" t="s">
        <v>58</v>
      </c>
      <c r="K130" s="6" t="n">
        <v>44060</v>
      </c>
      <c r="L130" s="6" t="n">
        <v>50800</v>
      </c>
      <c r="M130" s="6" t="s">
        <v>146</v>
      </c>
      <c r="N130" s="6" t="n">
        <v>42</v>
      </c>
      <c r="O130" s="6" t="s">
        <v>58</v>
      </c>
      <c r="P130" s="6" t="n">
        <v>9</v>
      </c>
      <c r="Q130" s="6" t="n">
        <v>20.98</v>
      </c>
      <c r="R130" s="20" t="n">
        <f aca="false">(L130-K130)/K130</f>
        <v>0.152973218338629</v>
      </c>
    </row>
    <row r="131" customFormat="false" ht="15" hidden="false" customHeight="false" outlineLevel="0" collapsed="false">
      <c r="A131" s="6" t="s">
        <v>293</v>
      </c>
      <c r="B131" s="6" t="n">
        <v>35</v>
      </c>
      <c r="C131" s="6" t="s">
        <v>134</v>
      </c>
      <c r="D131" s="6" t="s">
        <v>140</v>
      </c>
      <c r="E131" s="6" t="s">
        <v>88</v>
      </c>
      <c r="F131" s="6" t="s">
        <v>179</v>
      </c>
      <c r="G131" s="6" t="n">
        <v>11</v>
      </c>
      <c r="H131" s="6" t="s">
        <v>82</v>
      </c>
      <c r="I131" s="6" t="s">
        <v>80</v>
      </c>
      <c r="J131" s="6" t="s">
        <v>58</v>
      </c>
      <c r="K131" s="6" t="n">
        <v>103340</v>
      </c>
      <c r="L131" s="6" t="n">
        <v>101358</v>
      </c>
      <c r="M131" s="6" t="s">
        <v>142</v>
      </c>
      <c r="N131" s="6" t="n">
        <v>49</v>
      </c>
      <c r="O131" s="6" t="s">
        <v>58</v>
      </c>
      <c r="P131" s="6" t="n">
        <v>3</v>
      </c>
      <c r="Q131" s="6" t="n">
        <v>24.86</v>
      </c>
      <c r="R131" s="20" t="n">
        <f aca="false">(L131-K131)/K131</f>
        <v>-0.0191794077801432</v>
      </c>
    </row>
    <row r="132" customFormat="false" ht="15" hidden="false" customHeight="false" outlineLevel="0" collapsed="false">
      <c r="A132" s="6" t="s">
        <v>294</v>
      </c>
      <c r="B132" s="6" t="n">
        <v>46</v>
      </c>
      <c r="C132" s="6" t="s">
        <v>134</v>
      </c>
      <c r="D132" s="6" t="s">
        <v>148</v>
      </c>
      <c r="E132" s="6" t="s">
        <v>88</v>
      </c>
      <c r="F132" s="6" t="s">
        <v>234</v>
      </c>
      <c r="G132" s="6" t="n">
        <v>24</v>
      </c>
      <c r="H132" s="6" t="s">
        <v>80</v>
      </c>
      <c r="I132" s="6" t="s">
        <v>81</v>
      </c>
      <c r="J132" s="6" t="s">
        <v>60</v>
      </c>
      <c r="K132" s="6" t="n">
        <v>64016</v>
      </c>
      <c r="L132" s="6" t="n">
        <v>64574</v>
      </c>
      <c r="M132" s="6" t="s">
        <v>146</v>
      </c>
      <c r="N132" s="6" t="n">
        <v>42</v>
      </c>
      <c r="O132" s="6" t="s">
        <v>60</v>
      </c>
      <c r="P132" s="6" t="n">
        <v>5</v>
      </c>
      <c r="Q132" s="6" t="n">
        <v>11.91</v>
      </c>
      <c r="R132" s="20" t="n">
        <f aca="false">(L132-K132)/K132</f>
        <v>0.00871657085728568</v>
      </c>
    </row>
    <row r="133" customFormat="false" ht="15" hidden="false" customHeight="false" outlineLevel="0" collapsed="false">
      <c r="A133" s="6" t="s">
        <v>295</v>
      </c>
      <c r="B133" s="6" t="n">
        <v>27</v>
      </c>
      <c r="C133" s="6" t="s">
        <v>139</v>
      </c>
      <c r="D133" s="6" t="s">
        <v>135</v>
      </c>
      <c r="E133" s="6" t="s">
        <v>93</v>
      </c>
      <c r="F133" s="6" t="s">
        <v>197</v>
      </c>
      <c r="G133" s="6" t="n">
        <v>3</v>
      </c>
      <c r="H133" s="6" t="s">
        <v>80</v>
      </c>
      <c r="I133" s="6" t="s">
        <v>82</v>
      </c>
      <c r="J133" s="6" t="s">
        <v>60</v>
      </c>
      <c r="K133" s="6" t="n">
        <v>113122</v>
      </c>
      <c r="L133" s="6" t="n">
        <v>113148</v>
      </c>
      <c r="M133" s="6" t="s">
        <v>142</v>
      </c>
      <c r="N133" s="6" t="n">
        <v>49</v>
      </c>
      <c r="O133" s="6" t="s">
        <v>58</v>
      </c>
      <c r="P133" s="6" t="n">
        <v>9</v>
      </c>
      <c r="Q133" s="6" t="n">
        <v>-11.64</v>
      </c>
      <c r="R133" s="20" t="n">
        <f aca="false">(L133-K133)/K133</f>
        <v>0.000229840349357331</v>
      </c>
    </row>
    <row r="134" customFormat="false" ht="15" hidden="false" customHeight="false" outlineLevel="0" collapsed="false">
      <c r="A134" s="6" t="s">
        <v>296</v>
      </c>
      <c r="B134" s="6" t="n">
        <v>50</v>
      </c>
      <c r="C134" s="6" t="s">
        <v>139</v>
      </c>
      <c r="D134" s="6" t="s">
        <v>135</v>
      </c>
      <c r="E134" s="6" t="s">
        <v>88</v>
      </c>
      <c r="F134" s="6" t="s">
        <v>234</v>
      </c>
      <c r="G134" s="6" t="n">
        <v>28</v>
      </c>
      <c r="H134" s="6" t="s">
        <v>81</v>
      </c>
      <c r="I134" s="6" t="s">
        <v>81</v>
      </c>
      <c r="J134" s="6" t="s">
        <v>60</v>
      </c>
      <c r="K134" s="6" t="n">
        <v>89379</v>
      </c>
      <c r="L134" s="6" t="n">
        <v>100322</v>
      </c>
      <c r="M134" s="6" t="s">
        <v>146</v>
      </c>
      <c r="N134" s="6" t="n">
        <v>40</v>
      </c>
      <c r="O134" s="6" t="s">
        <v>58</v>
      </c>
      <c r="P134" s="6" t="n">
        <v>3</v>
      </c>
      <c r="Q134" s="6" t="n">
        <v>14.39</v>
      </c>
      <c r="R134" s="20" t="n">
        <f aca="false">(L134-K134)/K134</f>
        <v>0.122433681289788</v>
      </c>
    </row>
    <row r="135" customFormat="false" ht="15" hidden="false" customHeight="false" outlineLevel="0" collapsed="false">
      <c r="A135" s="6" t="s">
        <v>297</v>
      </c>
      <c r="B135" s="6" t="n">
        <v>54</v>
      </c>
      <c r="C135" s="6" t="s">
        <v>134</v>
      </c>
      <c r="D135" s="6" t="s">
        <v>144</v>
      </c>
      <c r="E135" s="6" t="s">
        <v>91</v>
      </c>
      <c r="F135" s="6" t="s">
        <v>141</v>
      </c>
      <c r="G135" s="6" t="n">
        <v>28</v>
      </c>
      <c r="H135" s="6" t="s">
        <v>80</v>
      </c>
      <c r="I135" s="6" t="s">
        <v>80</v>
      </c>
      <c r="J135" s="6" t="s">
        <v>60</v>
      </c>
      <c r="K135" s="6" t="n">
        <v>94484</v>
      </c>
      <c r="L135" s="6" t="n">
        <v>100794</v>
      </c>
      <c r="M135" s="6" t="s">
        <v>142</v>
      </c>
      <c r="N135" s="6" t="n">
        <v>38</v>
      </c>
      <c r="O135" s="6" t="s">
        <v>60</v>
      </c>
      <c r="P135" s="6" t="n">
        <v>8</v>
      </c>
      <c r="Q135" s="6" t="n">
        <v>-11.41</v>
      </c>
      <c r="R135" s="20" t="n">
        <f aca="false">(L135-K135)/K135</f>
        <v>0.0667837940815376</v>
      </c>
    </row>
    <row r="136" customFormat="false" ht="15" hidden="false" customHeight="false" outlineLevel="0" collapsed="false">
      <c r="A136" s="6" t="s">
        <v>298</v>
      </c>
      <c r="B136" s="6" t="n">
        <v>23</v>
      </c>
      <c r="C136" s="6" t="s">
        <v>139</v>
      </c>
      <c r="D136" s="6" t="s">
        <v>135</v>
      </c>
      <c r="E136" s="6" t="s">
        <v>87</v>
      </c>
      <c r="F136" s="6" t="s">
        <v>149</v>
      </c>
      <c r="G136" s="6" t="n">
        <v>0</v>
      </c>
      <c r="H136" s="6" t="s">
        <v>80</v>
      </c>
      <c r="I136" s="6" t="s">
        <v>80</v>
      </c>
      <c r="J136" s="6" t="s">
        <v>60</v>
      </c>
      <c r="K136" s="6" t="n">
        <v>73872</v>
      </c>
      <c r="L136" s="6" t="n">
        <v>71318</v>
      </c>
      <c r="M136" s="6" t="s">
        <v>142</v>
      </c>
      <c r="N136" s="6" t="n">
        <v>49</v>
      </c>
      <c r="O136" s="6" t="s">
        <v>58</v>
      </c>
      <c r="P136" s="6" t="n">
        <v>6</v>
      </c>
      <c r="Q136" s="6" t="n">
        <v>12.19</v>
      </c>
      <c r="R136" s="20" t="n">
        <f aca="false">(L136-K136)/K136</f>
        <v>-0.0345733160060645</v>
      </c>
    </row>
    <row r="137" customFormat="false" ht="15" hidden="false" customHeight="false" outlineLevel="0" collapsed="false">
      <c r="A137" s="6" t="s">
        <v>299</v>
      </c>
      <c r="B137" s="6" t="n">
        <v>45</v>
      </c>
      <c r="C137" s="6" t="s">
        <v>139</v>
      </c>
      <c r="D137" s="6" t="s">
        <v>148</v>
      </c>
      <c r="E137" s="6" t="s">
        <v>88</v>
      </c>
      <c r="F137" s="6" t="s">
        <v>179</v>
      </c>
      <c r="G137" s="6" t="n">
        <v>20</v>
      </c>
      <c r="H137" s="6" t="s">
        <v>81</v>
      </c>
      <c r="I137" s="6" t="s">
        <v>81</v>
      </c>
      <c r="J137" s="6" t="s">
        <v>60</v>
      </c>
      <c r="K137" s="6" t="n">
        <v>70631</v>
      </c>
      <c r="L137" s="6" t="n">
        <v>74211</v>
      </c>
      <c r="M137" s="6" t="s">
        <v>146</v>
      </c>
      <c r="N137" s="6" t="n">
        <v>49</v>
      </c>
      <c r="O137" s="6" t="s">
        <v>58</v>
      </c>
      <c r="P137" s="6" t="n">
        <v>6</v>
      </c>
      <c r="Q137" s="6" t="n">
        <v>12.39</v>
      </c>
      <c r="R137" s="20" t="n">
        <f aca="false">(L137-K137)/K137</f>
        <v>0.0506859594229163</v>
      </c>
    </row>
    <row r="138" customFormat="false" ht="15" hidden="false" customHeight="false" outlineLevel="0" collapsed="false">
      <c r="A138" s="6" t="s">
        <v>300</v>
      </c>
      <c r="B138" s="6" t="n">
        <v>33</v>
      </c>
      <c r="C138" s="6" t="s">
        <v>159</v>
      </c>
      <c r="D138" s="6" t="s">
        <v>140</v>
      </c>
      <c r="E138" s="6" t="s">
        <v>93</v>
      </c>
      <c r="F138" s="6" t="s">
        <v>197</v>
      </c>
      <c r="G138" s="6" t="n">
        <v>7</v>
      </c>
      <c r="H138" s="6" t="s">
        <v>81</v>
      </c>
      <c r="I138" s="6" t="s">
        <v>82</v>
      </c>
      <c r="J138" s="6" t="s">
        <v>60</v>
      </c>
      <c r="K138" s="6" t="n">
        <v>50609</v>
      </c>
      <c r="L138" s="6" t="n">
        <v>45733</v>
      </c>
      <c r="M138" s="6" t="s">
        <v>142</v>
      </c>
      <c r="N138" s="6" t="n">
        <v>38</v>
      </c>
      <c r="O138" s="6" t="s">
        <v>60</v>
      </c>
      <c r="P138" s="6" t="n">
        <v>6</v>
      </c>
      <c r="Q138" s="6" t="n">
        <v>15.91</v>
      </c>
      <c r="R138" s="20" t="n">
        <f aca="false">(L138-K138)/K138</f>
        <v>-0.0963464996344524</v>
      </c>
    </row>
    <row r="139" customFormat="false" ht="15" hidden="false" customHeight="false" outlineLevel="0" collapsed="false">
      <c r="A139" s="6" t="s">
        <v>301</v>
      </c>
      <c r="B139" s="6" t="n">
        <v>47</v>
      </c>
      <c r="C139" s="6" t="s">
        <v>139</v>
      </c>
      <c r="D139" s="6" t="s">
        <v>135</v>
      </c>
      <c r="E139" s="6" t="s">
        <v>91</v>
      </c>
      <c r="F139" s="6" t="s">
        <v>208</v>
      </c>
      <c r="G139" s="6" t="n">
        <v>23</v>
      </c>
      <c r="H139" s="6" t="s">
        <v>82</v>
      </c>
      <c r="I139" s="6" t="s">
        <v>81</v>
      </c>
      <c r="J139" s="6" t="s">
        <v>58</v>
      </c>
      <c r="K139" s="6" t="n">
        <v>101315</v>
      </c>
      <c r="L139" s="6" t="n">
        <v>92091</v>
      </c>
      <c r="M139" s="6" t="s">
        <v>146</v>
      </c>
      <c r="N139" s="6" t="n">
        <v>40</v>
      </c>
      <c r="O139" s="6" t="s">
        <v>60</v>
      </c>
      <c r="P139" s="6" t="n">
        <v>8</v>
      </c>
      <c r="Q139" s="6" t="n">
        <v>34.51</v>
      </c>
      <c r="R139" s="20" t="n">
        <f aca="false">(L139-K139)/K139</f>
        <v>-0.0910427873463949</v>
      </c>
    </row>
    <row r="140" customFormat="false" ht="15" hidden="false" customHeight="false" outlineLevel="0" collapsed="false">
      <c r="A140" s="6" t="s">
        <v>302</v>
      </c>
      <c r="B140" s="6" t="n">
        <v>29</v>
      </c>
      <c r="C140" s="6" t="s">
        <v>159</v>
      </c>
      <c r="D140" s="6" t="s">
        <v>144</v>
      </c>
      <c r="E140" s="6" t="s">
        <v>91</v>
      </c>
      <c r="F140" s="6" t="s">
        <v>208</v>
      </c>
      <c r="G140" s="6" t="n">
        <v>6</v>
      </c>
      <c r="H140" s="6" t="s">
        <v>82</v>
      </c>
      <c r="I140" s="6" t="s">
        <v>82</v>
      </c>
      <c r="J140" s="6" t="s">
        <v>60</v>
      </c>
      <c r="K140" s="6" t="n">
        <v>106077</v>
      </c>
      <c r="L140" s="6" t="n">
        <v>124000</v>
      </c>
      <c r="M140" s="6" t="s">
        <v>137</v>
      </c>
      <c r="N140" s="6" t="n">
        <v>42</v>
      </c>
      <c r="O140" s="6" t="s">
        <v>60</v>
      </c>
      <c r="P140" s="6" t="n">
        <v>8</v>
      </c>
      <c r="Q140" s="6" t="n">
        <v>34.71</v>
      </c>
      <c r="R140" s="20" t="n">
        <f aca="false">(L140-K140)/K140</f>
        <v>0.16896216899045</v>
      </c>
    </row>
    <row r="141" customFormat="false" ht="15" hidden="false" customHeight="false" outlineLevel="0" collapsed="false">
      <c r="A141" s="6" t="s">
        <v>303</v>
      </c>
      <c r="B141" s="6" t="n">
        <v>39</v>
      </c>
      <c r="C141" s="6" t="s">
        <v>159</v>
      </c>
      <c r="D141" s="6" t="s">
        <v>135</v>
      </c>
      <c r="E141" s="6" t="s">
        <v>90</v>
      </c>
      <c r="F141" s="6" t="s">
        <v>145</v>
      </c>
      <c r="G141" s="6" t="n">
        <v>17</v>
      </c>
      <c r="H141" s="6" t="s">
        <v>81</v>
      </c>
      <c r="I141" s="6" t="s">
        <v>82</v>
      </c>
      <c r="J141" s="6" t="s">
        <v>60</v>
      </c>
      <c r="K141" s="6" t="n">
        <v>45328</v>
      </c>
      <c r="L141" s="6" t="n">
        <v>41041</v>
      </c>
      <c r="M141" s="6" t="s">
        <v>142</v>
      </c>
      <c r="N141" s="6" t="n">
        <v>46</v>
      </c>
      <c r="O141" s="6" t="s">
        <v>60</v>
      </c>
      <c r="P141" s="6" t="n">
        <v>6</v>
      </c>
      <c r="Q141" s="6" t="n">
        <v>32.33</v>
      </c>
      <c r="R141" s="20" t="n">
        <f aca="false">(L141-K141)/K141</f>
        <v>-0.0945773032121426</v>
      </c>
    </row>
    <row r="142" customFormat="false" ht="15" hidden="false" customHeight="false" outlineLevel="0" collapsed="false">
      <c r="A142" s="6" t="s">
        <v>304</v>
      </c>
      <c r="B142" s="6" t="n">
        <v>57</v>
      </c>
      <c r="C142" s="6" t="s">
        <v>139</v>
      </c>
      <c r="D142" s="6" t="s">
        <v>148</v>
      </c>
      <c r="E142" s="6" t="s">
        <v>90</v>
      </c>
      <c r="F142" s="6" t="s">
        <v>236</v>
      </c>
      <c r="G142" s="6" t="n">
        <v>32</v>
      </c>
      <c r="H142" s="6" t="s">
        <v>82</v>
      </c>
      <c r="I142" s="6" t="s">
        <v>81</v>
      </c>
      <c r="J142" s="6" t="s">
        <v>58</v>
      </c>
      <c r="K142" s="6" t="n">
        <v>94644</v>
      </c>
      <c r="L142" s="6" t="n">
        <v>128100</v>
      </c>
      <c r="M142" s="6" t="s">
        <v>146</v>
      </c>
      <c r="N142" s="6" t="n">
        <v>44</v>
      </c>
      <c r="O142" s="6" t="s">
        <v>58</v>
      </c>
      <c r="P142" s="6" t="n">
        <v>3</v>
      </c>
      <c r="Q142" s="6" t="n">
        <v>22.43</v>
      </c>
      <c r="R142" s="20" t="n">
        <f aca="false">(L142-K142)/K142</f>
        <v>0.353493089894764</v>
      </c>
    </row>
    <row r="143" customFormat="false" ht="15" hidden="false" customHeight="false" outlineLevel="0" collapsed="false">
      <c r="A143" s="6" t="s">
        <v>305</v>
      </c>
      <c r="B143" s="6" t="n">
        <v>49</v>
      </c>
      <c r="C143" s="6" t="s">
        <v>139</v>
      </c>
      <c r="D143" s="6" t="s">
        <v>140</v>
      </c>
      <c r="E143" s="6" t="s">
        <v>89</v>
      </c>
      <c r="F143" s="6" t="s">
        <v>151</v>
      </c>
      <c r="G143" s="6" t="n">
        <v>26</v>
      </c>
      <c r="H143" s="6" t="s">
        <v>82</v>
      </c>
      <c r="I143" s="6" t="s">
        <v>80</v>
      </c>
      <c r="J143" s="6" t="s">
        <v>60</v>
      </c>
      <c r="K143" s="6" t="n">
        <v>85176</v>
      </c>
      <c r="L143" s="6" t="n">
        <v>89816</v>
      </c>
      <c r="M143" s="6" t="s">
        <v>142</v>
      </c>
      <c r="N143" s="6" t="n">
        <v>42</v>
      </c>
      <c r="O143" s="6" t="s">
        <v>58</v>
      </c>
      <c r="P143" s="6" t="n">
        <v>3</v>
      </c>
      <c r="Q143" s="6" t="n">
        <v>24.19</v>
      </c>
      <c r="R143" s="20" t="n">
        <f aca="false">(L143-K143)/K143</f>
        <v>0.0544754390908237</v>
      </c>
    </row>
    <row r="144" customFormat="false" ht="15" hidden="false" customHeight="false" outlineLevel="0" collapsed="false">
      <c r="A144" s="6" t="s">
        <v>306</v>
      </c>
      <c r="B144" s="6" t="n">
        <v>43</v>
      </c>
      <c r="C144" s="6" t="s">
        <v>139</v>
      </c>
      <c r="D144" s="6" t="s">
        <v>148</v>
      </c>
      <c r="E144" s="6" t="s">
        <v>91</v>
      </c>
      <c r="F144" s="6" t="s">
        <v>208</v>
      </c>
      <c r="G144" s="6" t="n">
        <v>19</v>
      </c>
      <c r="H144" s="6" t="s">
        <v>82</v>
      </c>
      <c r="I144" s="6" t="s">
        <v>80</v>
      </c>
      <c r="J144" s="6" t="s">
        <v>60</v>
      </c>
      <c r="K144" s="6" t="n">
        <v>43718</v>
      </c>
      <c r="L144" s="6" t="n">
        <v>38195</v>
      </c>
      <c r="M144" s="6" t="s">
        <v>142</v>
      </c>
      <c r="N144" s="6" t="n">
        <v>48</v>
      </c>
      <c r="O144" s="6" t="s">
        <v>60</v>
      </c>
      <c r="P144" s="6" t="n">
        <v>6</v>
      </c>
      <c r="Q144" s="6" t="n">
        <v>-5.85</v>
      </c>
      <c r="R144" s="20" t="n">
        <f aca="false">(L144-K144)/K144</f>
        <v>-0.126332403129146</v>
      </c>
    </row>
    <row r="145" customFormat="false" ht="15" hidden="false" customHeight="false" outlineLevel="0" collapsed="false">
      <c r="A145" s="6" t="s">
        <v>307</v>
      </c>
      <c r="B145" s="6" t="n">
        <v>44</v>
      </c>
      <c r="C145" s="6" t="s">
        <v>139</v>
      </c>
      <c r="D145" s="6" t="s">
        <v>135</v>
      </c>
      <c r="E145" s="6" t="s">
        <v>88</v>
      </c>
      <c r="F145" s="6" t="s">
        <v>234</v>
      </c>
      <c r="G145" s="6" t="n">
        <v>22</v>
      </c>
      <c r="H145" s="6" t="s">
        <v>82</v>
      </c>
      <c r="I145" s="6" t="s">
        <v>82</v>
      </c>
      <c r="J145" s="6" t="s">
        <v>60</v>
      </c>
      <c r="K145" s="6" t="n">
        <v>83173</v>
      </c>
      <c r="L145" s="6" t="n">
        <v>92430</v>
      </c>
      <c r="M145" s="6" t="s">
        <v>137</v>
      </c>
      <c r="N145" s="6" t="n">
        <v>49</v>
      </c>
      <c r="O145" s="6" t="s">
        <v>60</v>
      </c>
      <c r="P145" s="6" t="n">
        <v>3</v>
      </c>
      <c r="Q145" s="6" t="n">
        <v>15.48</v>
      </c>
      <c r="R145" s="20" t="n">
        <f aca="false">(L145-K145)/K145</f>
        <v>0.111298137616775</v>
      </c>
    </row>
    <row r="146" customFormat="false" ht="15" hidden="false" customHeight="false" outlineLevel="0" collapsed="false">
      <c r="A146" s="6" t="s">
        <v>308</v>
      </c>
      <c r="B146" s="6" t="n">
        <v>30</v>
      </c>
      <c r="C146" s="6" t="s">
        <v>134</v>
      </c>
      <c r="D146" s="6" t="s">
        <v>135</v>
      </c>
      <c r="E146" s="6" t="s">
        <v>91</v>
      </c>
      <c r="F146" s="6" t="s">
        <v>141</v>
      </c>
      <c r="G146" s="6" t="n">
        <v>7</v>
      </c>
      <c r="H146" s="6" t="s">
        <v>82</v>
      </c>
      <c r="I146" s="6" t="s">
        <v>80</v>
      </c>
      <c r="J146" s="6" t="s">
        <v>60</v>
      </c>
      <c r="K146" s="6" t="n">
        <v>69224</v>
      </c>
      <c r="L146" s="6" t="n">
        <v>55571</v>
      </c>
      <c r="M146" s="6" t="s">
        <v>142</v>
      </c>
      <c r="N146" s="6" t="n">
        <v>54</v>
      </c>
      <c r="O146" s="6" t="s">
        <v>60</v>
      </c>
      <c r="P146" s="6" t="n">
        <v>3</v>
      </c>
      <c r="Q146" s="6" t="n">
        <v>0.01</v>
      </c>
      <c r="R146" s="20" t="n">
        <f aca="false">(L146-K146)/K146</f>
        <v>-0.197229284641165</v>
      </c>
    </row>
    <row r="147" customFormat="false" ht="15" hidden="false" customHeight="false" outlineLevel="0" collapsed="false">
      <c r="A147" s="6" t="s">
        <v>309</v>
      </c>
      <c r="B147" s="6" t="n">
        <v>47</v>
      </c>
      <c r="C147" s="6" t="s">
        <v>134</v>
      </c>
      <c r="D147" s="6" t="s">
        <v>135</v>
      </c>
      <c r="E147" s="6" t="s">
        <v>90</v>
      </c>
      <c r="F147" s="6" t="s">
        <v>202</v>
      </c>
      <c r="G147" s="6" t="n">
        <v>23</v>
      </c>
      <c r="H147" s="6" t="s">
        <v>82</v>
      </c>
      <c r="I147" s="6" t="s">
        <v>80</v>
      </c>
      <c r="J147" s="6" t="s">
        <v>60</v>
      </c>
      <c r="K147" s="6" t="n">
        <v>103509</v>
      </c>
      <c r="L147" s="6" t="n">
        <v>104317</v>
      </c>
      <c r="M147" s="6" t="s">
        <v>142</v>
      </c>
      <c r="N147" s="6" t="n">
        <v>36</v>
      </c>
      <c r="O147" s="6" t="s">
        <v>58</v>
      </c>
      <c r="P147" s="6" t="n">
        <v>5</v>
      </c>
      <c r="Q147" s="6" t="n">
        <v>0.82</v>
      </c>
      <c r="R147" s="20" t="n">
        <f aca="false">(L147-K147)/K147</f>
        <v>0.00780608449506806</v>
      </c>
    </row>
    <row r="148" customFormat="false" ht="15" hidden="false" customHeight="false" outlineLevel="0" collapsed="false">
      <c r="A148" s="6" t="s">
        <v>310</v>
      </c>
      <c r="B148" s="6" t="n">
        <v>38</v>
      </c>
      <c r="C148" s="6" t="s">
        <v>159</v>
      </c>
      <c r="D148" s="6" t="s">
        <v>140</v>
      </c>
      <c r="E148" s="6" t="s">
        <v>87</v>
      </c>
      <c r="F148" s="6" t="s">
        <v>155</v>
      </c>
      <c r="G148" s="6" t="n">
        <v>14</v>
      </c>
      <c r="H148" s="6" t="s">
        <v>81</v>
      </c>
      <c r="I148" s="6" t="s">
        <v>80</v>
      </c>
      <c r="J148" s="6" t="s">
        <v>58</v>
      </c>
      <c r="K148" s="6" t="n">
        <v>71914</v>
      </c>
      <c r="L148" s="6" t="n">
        <v>74483</v>
      </c>
      <c r="M148" s="6" t="s">
        <v>142</v>
      </c>
      <c r="N148" s="6" t="n">
        <v>41</v>
      </c>
      <c r="O148" s="6" t="s">
        <v>58</v>
      </c>
      <c r="P148" s="6" t="n">
        <v>6</v>
      </c>
      <c r="Q148" s="6" t="n">
        <v>-11.55</v>
      </c>
      <c r="R148" s="20" t="n">
        <f aca="false">(L148-K148)/K148</f>
        <v>0.0357232249631504</v>
      </c>
    </row>
    <row r="149" customFormat="false" ht="15" hidden="false" customHeight="false" outlineLevel="0" collapsed="false">
      <c r="A149" s="6" t="s">
        <v>311</v>
      </c>
      <c r="B149" s="6" t="n">
        <v>27</v>
      </c>
      <c r="C149" s="6" t="s">
        <v>134</v>
      </c>
      <c r="D149" s="6" t="s">
        <v>140</v>
      </c>
      <c r="E149" s="6" t="s">
        <v>92</v>
      </c>
      <c r="F149" s="6" t="s">
        <v>136</v>
      </c>
      <c r="G149" s="6" t="n">
        <v>1</v>
      </c>
      <c r="H149" s="6" t="s">
        <v>81</v>
      </c>
      <c r="I149" s="6" t="s">
        <v>81</v>
      </c>
      <c r="J149" s="6" t="s">
        <v>60</v>
      </c>
      <c r="K149" s="6" t="n">
        <v>117895</v>
      </c>
      <c r="L149" s="6" t="n">
        <v>117121</v>
      </c>
      <c r="M149" s="6" t="s">
        <v>146</v>
      </c>
      <c r="N149" s="6" t="n">
        <v>45</v>
      </c>
      <c r="O149" s="6" t="s">
        <v>58</v>
      </c>
      <c r="P149" s="6" t="n">
        <v>8</v>
      </c>
      <c r="Q149" s="6" t="n">
        <v>26.83</v>
      </c>
      <c r="R149" s="20" t="n">
        <f aca="false">(L149-K149)/K149</f>
        <v>-0.00656516391704483</v>
      </c>
    </row>
    <row r="150" customFormat="false" ht="15" hidden="false" customHeight="false" outlineLevel="0" collapsed="false">
      <c r="A150" s="6" t="s">
        <v>312</v>
      </c>
      <c r="B150" s="6" t="n">
        <v>47</v>
      </c>
      <c r="C150" s="6" t="s">
        <v>139</v>
      </c>
      <c r="D150" s="6" t="s">
        <v>148</v>
      </c>
      <c r="E150" s="6" t="s">
        <v>92</v>
      </c>
      <c r="F150" s="6" t="s">
        <v>222</v>
      </c>
      <c r="G150" s="6" t="n">
        <v>22</v>
      </c>
      <c r="H150" s="6" t="s">
        <v>81</v>
      </c>
      <c r="I150" s="6" t="s">
        <v>81</v>
      </c>
      <c r="J150" s="6" t="s">
        <v>60</v>
      </c>
      <c r="K150" s="6" t="n">
        <v>46241</v>
      </c>
      <c r="L150" s="6" t="n">
        <v>50821</v>
      </c>
      <c r="M150" s="6" t="s">
        <v>146</v>
      </c>
      <c r="N150" s="6" t="n">
        <v>54</v>
      </c>
      <c r="O150" s="6" t="s">
        <v>60</v>
      </c>
      <c r="P150" s="6" t="n">
        <v>3</v>
      </c>
      <c r="Q150" s="6" t="n">
        <v>-9.32</v>
      </c>
      <c r="R150" s="20" t="n">
        <f aca="false">(L150-K150)/K150</f>
        <v>0.0990463009017971</v>
      </c>
    </row>
    <row r="151" customFormat="false" ht="15" hidden="false" customHeight="false" outlineLevel="0" collapsed="false">
      <c r="A151" s="6" t="s">
        <v>313</v>
      </c>
      <c r="B151" s="6" t="n">
        <v>41</v>
      </c>
      <c r="C151" s="6" t="s">
        <v>139</v>
      </c>
      <c r="D151" s="6" t="s">
        <v>140</v>
      </c>
      <c r="E151" s="6" t="s">
        <v>89</v>
      </c>
      <c r="F151" s="6" t="s">
        <v>151</v>
      </c>
      <c r="G151" s="6" t="n">
        <v>16</v>
      </c>
      <c r="H151" s="6" t="s">
        <v>80</v>
      </c>
      <c r="I151" s="6" t="s">
        <v>80</v>
      </c>
      <c r="J151" s="6" t="s">
        <v>60</v>
      </c>
      <c r="K151" s="6" t="n">
        <v>51566</v>
      </c>
      <c r="L151" s="6" t="n">
        <v>56698</v>
      </c>
      <c r="M151" s="6" t="s">
        <v>142</v>
      </c>
      <c r="N151" s="6" t="n">
        <v>35</v>
      </c>
      <c r="O151" s="6" t="s">
        <v>60</v>
      </c>
      <c r="P151" s="6" t="n">
        <v>7</v>
      </c>
      <c r="Q151" s="6" t="n">
        <v>10.13</v>
      </c>
      <c r="R151" s="20" t="n">
        <f aca="false">(L151-K151)/K151</f>
        <v>0.0995229414730637</v>
      </c>
    </row>
    <row r="152" customFormat="false" ht="15" hidden="false" customHeight="false" outlineLevel="0" collapsed="false">
      <c r="A152" s="6" t="s">
        <v>314</v>
      </c>
      <c r="B152" s="6" t="n">
        <v>51</v>
      </c>
      <c r="C152" s="6" t="s">
        <v>159</v>
      </c>
      <c r="D152" s="6" t="s">
        <v>135</v>
      </c>
      <c r="E152" s="6" t="s">
        <v>91</v>
      </c>
      <c r="F152" s="6" t="s">
        <v>208</v>
      </c>
      <c r="G152" s="6" t="n">
        <v>27</v>
      </c>
      <c r="H152" s="6" t="s">
        <v>80</v>
      </c>
      <c r="I152" s="6" t="s">
        <v>82</v>
      </c>
      <c r="J152" s="6" t="s">
        <v>58</v>
      </c>
      <c r="K152" s="6" t="n">
        <v>54442</v>
      </c>
      <c r="L152" s="6" t="n">
        <v>58251</v>
      </c>
      <c r="M152" s="6" t="s">
        <v>142</v>
      </c>
      <c r="N152" s="6" t="n">
        <v>51</v>
      </c>
      <c r="O152" s="6" t="s">
        <v>60</v>
      </c>
      <c r="P152" s="6" t="n">
        <v>7</v>
      </c>
      <c r="Q152" s="6" t="n">
        <v>0.96</v>
      </c>
      <c r="R152" s="20" t="n">
        <f aca="false">(L152-K152)/K152</f>
        <v>0.0699643657470336</v>
      </c>
    </row>
    <row r="153" customFormat="false" ht="15" hidden="false" customHeight="false" outlineLevel="0" collapsed="false">
      <c r="A153" s="6" t="s">
        <v>315</v>
      </c>
      <c r="B153" s="6" t="n">
        <v>50</v>
      </c>
      <c r="C153" s="6" t="s">
        <v>139</v>
      </c>
      <c r="D153" s="6" t="s">
        <v>135</v>
      </c>
      <c r="E153" s="6" t="s">
        <v>93</v>
      </c>
      <c r="F153" s="6" t="s">
        <v>197</v>
      </c>
      <c r="G153" s="6" t="n">
        <v>26</v>
      </c>
      <c r="H153" s="6" t="s">
        <v>80</v>
      </c>
      <c r="I153" s="6" t="s">
        <v>81</v>
      </c>
      <c r="J153" s="6" t="s">
        <v>58</v>
      </c>
      <c r="K153" s="6" t="n">
        <v>48449</v>
      </c>
      <c r="L153" s="6" t="n">
        <v>48163</v>
      </c>
      <c r="M153" s="6" t="s">
        <v>146</v>
      </c>
      <c r="N153" s="6" t="n">
        <v>52</v>
      </c>
      <c r="O153" s="6" t="s">
        <v>58</v>
      </c>
      <c r="P153" s="6" t="n">
        <v>4</v>
      </c>
      <c r="Q153" s="6" t="n">
        <v>22.84</v>
      </c>
      <c r="R153" s="20" t="n">
        <f aca="false">(L153-K153)/K153</f>
        <v>-0.00590311461536874</v>
      </c>
    </row>
    <row r="154" customFormat="false" ht="15" hidden="false" customHeight="false" outlineLevel="0" collapsed="false">
      <c r="A154" s="6" t="s">
        <v>316</v>
      </c>
      <c r="B154" s="6" t="n">
        <v>49</v>
      </c>
      <c r="C154" s="6" t="s">
        <v>134</v>
      </c>
      <c r="D154" s="6" t="s">
        <v>144</v>
      </c>
      <c r="E154" s="6" t="s">
        <v>93</v>
      </c>
      <c r="F154" s="6" t="s">
        <v>181</v>
      </c>
      <c r="G154" s="6" t="n">
        <v>27</v>
      </c>
      <c r="H154" s="6" t="s">
        <v>81</v>
      </c>
      <c r="I154" s="6" t="s">
        <v>82</v>
      </c>
      <c r="J154" s="6" t="s">
        <v>60</v>
      </c>
      <c r="K154" s="6" t="n">
        <v>56737</v>
      </c>
      <c r="L154" s="6" t="n">
        <v>59522</v>
      </c>
      <c r="M154" s="6" t="s">
        <v>142</v>
      </c>
      <c r="N154" s="6" t="n">
        <v>38</v>
      </c>
      <c r="O154" s="6" t="s">
        <v>60</v>
      </c>
      <c r="P154" s="6" t="n">
        <v>3</v>
      </c>
      <c r="Q154" s="6" t="n">
        <v>25.92</v>
      </c>
      <c r="R154" s="20" t="n">
        <f aca="false">(L154-K154)/K154</f>
        <v>0.049086134268643</v>
      </c>
    </row>
    <row r="155" customFormat="false" ht="15" hidden="false" customHeight="false" outlineLevel="0" collapsed="false">
      <c r="A155" s="6" t="s">
        <v>317</v>
      </c>
      <c r="B155" s="6" t="n">
        <v>29</v>
      </c>
      <c r="C155" s="6" t="s">
        <v>159</v>
      </c>
      <c r="D155" s="6" t="s">
        <v>135</v>
      </c>
      <c r="E155" s="6" t="s">
        <v>90</v>
      </c>
      <c r="F155" s="6" t="s">
        <v>202</v>
      </c>
      <c r="G155" s="6" t="n">
        <v>3</v>
      </c>
      <c r="H155" s="6" t="s">
        <v>82</v>
      </c>
      <c r="I155" s="6" t="s">
        <v>80</v>
      </c>
      <c r="J155" s="6" t="s">
        <v>60</v>
      </c>
      <c r="K155" s="6" t="n">
        <v>42342</v>
      </c>
      <c r="L155" s="6" t="n">
        <v>57909</v>
      </c>
      <c r="M155" s="6" t="s">
        <v>142</v>
      </c>
      <c r="N155" s="6" t="n">
        <v>44</v>
      </c>
      <c r="O155" s="6" t="s">
        <v>58</v>
      </c>
      <c r="P155" s="6" t="n">
        <v>5</v>
      </c>
      <c r="Q155" s="6" t="n">
        <v>2.4</v>
      </c>
      <c r="R155" s="20" t="n">
        <f aca="false">(L155-K155)/K155</f>
        <v>0.367649142695196</v>
      </c>
    </row>
    <row r="156" customFormat="false" ht="15" hidden="false" customHeight="false" outlineLevel="0" collapsed="false">
      <c r="A156" s="6" t="s">
        <v>318</v>
      </c>
      <c r="B156" s="6" t="n">
        <v>55</v>
      </c>
      <c r="C156" s="6" t="s">
        <v>139</v>
      </c>
      <c r="D156" s="6" t="s">
        <v>135</v>
      </c>
      <c r="E156" s="6" t="s">
        <v>92</v>
      </c>
      <c r="F156" s="6" t="s">
        <v>222</v>
      </c>
      <c r="G156" s="6" t="n">
        <v>30</v>
      </c>
      <c r="H156" s="6" t="s">
        <v>82</v>
      </c>
      <c r="I156" s="6" t="s">
        <v>81</v>
      </c>
      <c r="J156" s="6" t="s">
        <v>58</v>
      </c>
      <c r="K156" s="6" t="n">
        <v>111974</v>
      </c>
      <c r="L156" s="6" t="n">
        <v>100070</v>
      </c>
      <c r="M156" s="6" t="s">
        <v>146</v>
      </c>
      <c r="N156" s="6" t="n">
        <v>42</v>
      </c>
      <c r="O156" s="6" t="s">
        <v>60</v>
      </c>
      <c r="P156" s="6" t="n">
        <v>3</v>
      </c>
      <c r="Q156" s="6" t="n">
        <v>22.96</v>
      </c>
      <c r="R156" s="20" t="n">
        <f aca="false">(L156-K156)/K156</f>
        <v>-0.106310393484202</v>
      </c>
    </row>
    <row r="157" customFormat="false" ht="15" hidden="false" customHeight="false" outlineLevel="0" collapsed="false">
      <c r="A157" s="6" t="s">
        <v>319</v>
      </c>
      <c r="B157" s="6" t="n">
        <v>24</v>
      </c>
      <c r="C157" s="6" t="s">
        <v>134</v>
      </c>
      <c r="D157" s="6" t="s">
        <v>140</v>
      </c>
      <c r="E157" s="6" t="s">
        <v>93</v>
      </c>
      <c r="F157" s="6" t="s">
        <v>181</v>
      </c>
      <c r="G157" s="6" t="n">
        <v>0</v>
      </c>
      <c r="H157" s="6" t="s">
        <v>82</v>
      </c>
      <c r="I157" s="6" t="s">
        <v>80</v>
      </c>
      <c r="J157" s="6" t="s">
        <v>58</v>
      </c>
      <c r="K157" s="6" t="n">
        <v>93230</v>
      </c>
      <c r="L157" s="6" t="n">
        <v>75686</v>
      </c>
      <c r="M157" s="6" t="s">
        <v>142</v>
      </c>
      <c r="N157" s="6" t="n">
        <v>49</v>
      </c>
      <c r="O157" s="6" t="s">
        <v>60</v>
      </c>
      <c r="P157" s="6" t="n">
        <v>7</v>
      </c>
      <c r="Q157" s="6" t="n">
        <v>-13.75</v>
      </c>
      <c r="R157" s="20" t="n">
        <f aca="false">(L157-K157)/K157</f>
        <v>-0.188179770460152</v>
      </c>
    </row>
    <row r="158" customFormat="false" ht="15" hidden="false" customHeight="false" outlineLevel="0" collapsed="false">
      <c r="A158" s="6" t="s">
        <v>320</v>
      </c>
      <c r="B158" s="6" t="n">
        <v>24</v>
      </c>
      <c r="C158" s="6" t="s">
        <v>159</v>
      </c>
      <c r="D158" s="6" t="s">
        <v>140</v>
      </c>
      <c r="E158" s="6" t="s">
        <v>92</v>
      </c>
      <c r="F158" s="6" t="s">
        <v>136</v>
      </c>
      <c r="G158" s="6" t="n">
        <v>0</v>
      </c>
      <c r="H158" s="6" t="s">
        <v>80</v>
      </c>
      <c r="I158" s="6" t="s">
        <v>81</v>
      </c>
      <c r="J158" s="6" t="s">
        <v>60</v>
      </c>
      <c r="K158" s="6" t="n">
        <v>54160</v>
      </c>
      <c r="L158" s="6" t="n">
        <v>55974</v>
      </c>
      <c r="M158" s="6" t="s">
        <v>146</v>
      </c>
      <c r="N158" s="6" t="n">
        <v>37</v>
      </c>
      <c r="O158" s="6" t="s">
        <v>60</v>
      </c>
      <c r="P158" s="6" t="n">
        <v>8</v>
      </c>
      <c r="Q158" s="6" t="n">
        <v>23.25</v>
      </c>
      <c r="R158" s="20" t="n">
        <f aca="false">(L158-K158)/K158</f>
        <v>0.033493353028065</v>
      </c>
    </row>
    <row r="159" customFormat="false" ht="15" hidden="false" customHeight="false" outlineLevel="0" collapsed="false">
      <c r="A159" s="6" t="s">
        <v>321</v>
      </c>
      <c r="B159" s="6" t="n">
        <v>53</v>
      </c>
      <c r="C159" s="6" t="s">
        <v>139</v>
      </c>
      <c r="D159" s="6" t="s">
        <v>140</v>
      </c>
      <c r="E159" s="6" t="s">
        <v>90</v>
      </c>
      <c r="F159" s="6" t="s">
        <v>145</v>
      </c>
      <c r="G159" s="6" t="n">
        <v>29</v>
      </c>
      <c r="H159" s="6" t="s">
        <v>81</v>
      </c>
      <c r="I159" s="6" t="s">
        <v>82</v>
      </c>
      <c r="J159" s="6" t="s">
        <v>58</v>
      </c>
      <c r="K159" s="6" t="n">
        <v>42175</v>
      </c>
      <c r="L159" s="6" t="n">
        <v>42982</v>
      </c>
      <c r="M159" s="6" t="s">
        <v>142</v>
      </c>
      <c r="N159" s="6" t="n">
        <v>48</v>
      </c>
      <c r="O159" s="6" t="s">
        <v>58</v>
      </c>
      <c r="P159" s="6" t="n">
        <v>9</v>
      </c>
      <c r="Q159" s="6" t="n">
        <v>20.09</v>
      </c>
      <c r="R159" s="20" t="n">
        <f aca="false">(L159-K159)/K159</f>
        <v>0.0191345583876704</v>
      </c>
    </row>
    <row r="160" customFormat="false" ht="15" hidden="false" customHeight="false" outlineLevel="0" collapsed="false">
      <c r="A160" s="6" t="s">
        <v>322</v>
      </c>
      <c r="B160" s="6" t="n">
        <v>39</v>
      </c>
      <c r="C160" s="6" t="s">
        <v>139</v>
      </c>
      <c r="D160" s="6" t="s">
        <v>135</v>
      </c>
      <c r="E160" s="6" t="s">
        <v>89</v>
      </c>
      <c r="F160" s="6" t="s">
        <v>153</v>
      </c>
      <c r="G160" s="6" t="n">
        <v>16</v>
      </c>
      <c r="H160" s="6" t="s">
        <v>82</v>
      </c>
      <c r="I160" s="6" t="s">
        <v>81</v>
      </c>
      <c r="J160" s="6" t="s">
        <v>58</v>
      </c>
      <c r="K160" s="6" t="n">
        <v>46032</v>
      </c>
      <c r="L160" s="6" t="n">
        <v>42567</v>
      </c>
      <c r="M160" s="6" t="s">
        <v>146</v>
      </c>
      <c r="N160" s="6" t="n">
        <v>53</v>
      </c>
      <c r="O160" s="6" t="s">
        <v>60</v>
      </c>
      <c r="P160" s="6" t="n">
        <v>6</v>
      </c>
      <c r="Q160" s="6" t="n">
        <v>-18.41</v>
      </c>
      <c r="R160" s="20" t="n">
        <f aca="false">(L160-K160)/K160</f>
        <v>-0.0752737226277372</v>
      </c>
    </row>
    <row r="161" customFormat="false" ht="15" hidden="false" customHeight="false" outlineLevel="0" collapsed="false">
      <c r="A161" s="6" t="s">
        <v>323</v>
      </c>
      <c r="B161" s="6" t="n">
        <v>50</v>
      </c>
      <c r="C161" s="6" t="s">
        <v>139</v>
      </c>
      <c r="D161" s="6" t="s">
        <v>144</v>
      </c>
      <c r="E161" s="6" t="s">
        <v>89</v>
      </c>
      <c r="F161" s="6" t="s">
        <v>162</v>
      </c>
      <c r="G161" s="6" t="n">
        <v>25</v>
      </c>
      <c r="H161" s="6" t="s">
        <v>82</v>
      </c>
      <c r="I161" s="6" t="s">
        <v>80</v>
      </c>
      <c r="J161" s="6" t="s">
        <v>58</v>
      </c>
      <c r="K161" s="6" t="n">
        <v>38705</v>
      </c>
      <c r="L161" s="6" t="n">
        <v>52111</v>
      </c>
      <c r="M161" s="6" t="s">
        <v>142</v>
      </c>
      <c r="N161" s="6" t="n">
        <v>45</v>
      </c>
      <c r="O161" s="6" t="s">
        <v>60</v>
      </c>
      <c r="P161" s="6" t="n">
        <v>4</v>
      </c>
      <c r="Q161" s="6" t="n">
        <v>17.49</v>
      </c>
      <c r="R161" s="20" t="n">
        <f aca="false">(L161-K161)/K161</f>
        <v>0.346363518925203</v>
      </c>
    </row>
    <row r="162" customFormat="false" ht="15" hidden="false" customHeight="false" outlineLevel="0" collapsed="false">
      <c r="A162" s="6" t="s">
        <v>324</v>
      </c>
      <c r="B162" s="6" t="n">
        <v>23</v>
      </c>
      <c r="C162" s="6" t="s">
        <v>159</v>
      </c>
      <c r="D162" s="6" t="s">
        <v>144</v>
      </c>
      <c r="E162" s="6" t="s">
        <v>88</v>
      </c>
      <c r="F162" s="6" t="s">
        <v>179</v>
      </c>
      <c r="G162" s="6" t="n">
        <v>0</v>
      </c>
      <c r="H162" s="6" t="s">
        <v>82</v>
      </c>
      <c r="I162" s="6" t="s">
        <v>81</v>
      </c>
      <c r="J162" s="6" t="s">
        <v>60</v>
      </c>
      <c r="K162" s="6" t="n">
        <v>106918</v>
      </c>
      <c r="L162" s="6" t="n">
        <v>102730</v>
      </c>
      <c r="M162" s="6" t="s">
        <v>146</v>
      </c>
      <c r="N162" s="6" t="n">
        <v>40</v>
      </c>
      <c r="O162" s="6" t="s">
        <v>60</v>
      </c>
      <c r="P162" s="6" t="n">
        <v>8</v>
      </c>
      <c r="Q162" s="6" t="n">
        <v>17.45</v>
      </c>
      <c r="R162" s="20" t="n">
        <f aca="false">(L162-K162)/K162</f>
        <v>-0.0391702052039881</v>
      </c>
    </row>
    <row r="163" customFormat="false" ht="15" hidden="false" customHeight="false" outlineLevel="0" collapsed="false">
      <c r="A163" s="6" t="s">
        <v>325</v>
      </c>
      <c r="B163" s="6" t="n">
        <v>30</v>
      </c>
      <c r="C163" s="6" t="s">
        <v>159</v>
      </c>
      <c r="D163" s="6" t="s">
        <v>140</v>
      </c>
      <c r="E163" s="6" t="s">
        <v>90</v>
      </c>
      <c r="F163" s="6" t="s">
        <v>145</v>
      </c>
      <c r="G163" s="6" t="n">
        <v>7</v>
      </c>
      <c r="H163" s="6" t="s">
        <v>81</v>
      </c>
      <c r="I163" s="6" t="s">
        <v>81</v>
      </c>
      <c r="J163" s="6" t="s">
        <v>60</v>
      </c>
      <c r="K163" s="6" t="n">
        <v>92516</v>
      </c>
      <c r="L163" s="6" t="n">
        <v>91437</v>
      </c>
      <c r="M163" s="6" t="s">
        <v>146</v>
      </c>
      <c r="N163" s="6" t="n">
        <v>46</v>
      </c>
      <c r="O163" s="6" t="s">
        <v>60</v>
      </c>
      <c r="P163" s="6" t="n">
        <v>3</v>
      </c>
      <c r="Q163" s="6" t="n">
        <v>36.91</v>
      </c>
      <c r="R163" s="20" t="n">
        <f aca="false">(L163-K163)/K163</f>
        <v>-0.0116628475074582</v>
      </c>
    </row>
    <row r="164" customFormat="false" ht="15" hidden="false" customHeight="false" outlineLevel="0" collapsed="false">
      <c r="A164" s="6" t="s">
        <v>326</v>
      </c>
      <c r="B164" s="6" t="n">
        <v>31</v>
      </c>
      <c r="C164" s="6" t="s">
        <v>134</v>
      </c>
      <c r="D164" s="6" t="s">
        <v>140</v>
      </c>
      <c r="E164" s="6" t="s">
        <v>90</v>
      </c>
      <c r="F164" s="6" t="s">
        <v>145</v>
      </c>
      <c r="G164" s="6" t="n">
        <v>7</v>
      </c>
      <c r="H164" s="6" t="s">
        <v>82</v>
      </c>
      <c r="I164" s="6" t="s">
        <v>80</v>
      </c>
      <c r="J164" s="6" t="s">
        <v>60</v>
      </c>
      <c r="K164" s="6" t="n">
        <v>116143</v>
      </c>
      <c r="L164" s="6" t="n">
        <v>105604</v>
      </c>
      <c r="M164" s="6" t="s">
        <v>142</v>
      </c>
      <c r="N164" s="6" t="n">
        <v>51</v>
      </c>
      <c r="O164" s="6" t="s">
        <v>58</v>
      </c>
      <c r="P164" s="6" t="n">
        <v>8</v>
      </c>
      <c r="Q164" s="6" t="n">
        <v>9.09</v>
      </c>
      <c r="R164" s="20" t="n">
        <f aca="false">(L164-K164)/K164</f>
        <v>-0.0907415858037075</v>
      </c>
    </row>
    <row r="165" customFormat="false" ht="15" hidden="false" customHeight="false" outlineLevel="0" collapsed="false">
      <c r="A165" s="6" t="s">
        <v>327</v>
      </c>
      <c r="B165" s="6" t="n">
        <v>30</v>
      </c>
      <c r="C165" s="6" t="s">
        <v>139</v>
      </c>
      <c r="D165" s="6" t="s">
        <v>140</v>
      </c>
      <c r="E165" s="6" t="s">
        <v>87</v>
      </c>
      <c r="F165" s="6" t="s">
        <v>155</v>
      </c>
      <c r="G165" s="6" t="n">
        <v>7</v>
      </c>
      <c r="H165" s="6" t="s">
        <v>82</v>
      </c>
      <c r="I165" s="6" t="s">
        <v>80</v>
      </c>
      <c r="J165" s="6" t="s">
        <v>60</v>
      </c>
      <c r="K165" s="6" t="n">
        <v>90774</v>
      </c>
      <c r="L165" s="6" t="n">
        <v>84493</v>
      </c>
      <c r="M165" s="6" t="s">
        <v>142</v>
      </c>
      <c r="N165" s="6" t="n">
        <v>48</v>
      </c>
      <c r="O165" s="6" t="s">
        <v>60</v>
      </c>
      <c r="P165" s="6" t="n">
        <v>6</v>
      </c>
      <c r="Q165" s="6" t="n">
        <v>18.7</v>
      </c>
      <c r="R165" s="20" t="n">
        <f aca="false">(L165-K165)/K165</f>
        <v>-0.069193822019521</v>
      </c>
    </row>
    <row r="166" customFormat="false" ht="15" hidden="false" customHeight="false" outlineLevel="0" collapsed="false">
      <c r="A166" s="6" t="s">
        <v>328</v>
      </c>
      <c r="B166" s="6" t="n">
        <v>47</v>
      </c>
      <c r="C166" s="6" t="s">
        <v>134</v>
      </c>
      <c r="D166" s="6" t="s">
        <v>144</v>
      </c>
      <c r="E166" s="6" t="s">
        <v>88</v>
      </c>
      <c r="F166" s="6" t="s">
        <v>157</v>
      </c>
      <c r="G166" s="6" t="n">
        <v>24</v>
      </c>
      <c r="H166" s="6" t="s">
        <v>80</v>
      </c>
      <c r="I166" s="6" t="s">
        <v>81</v>
      </c>
      <c r="J166" s="6" t="s">
        <v>58</v>
      </c>
      <c r="K166" s="6" t="n">
        <v>106908</v>
      </c>
      <c r="L166" s="6" t="n">
        <v>112647</v>
      </c>
      <c r="M166" s="6" t="s">
        <v>146</v>
      </c>
      <c r="N166" s="6" t="n">
        <v>40</v>
      </c>
      <c r="O166" s="6" t="s">
        <v>60</v>
      </c>
      <c r="P166" s="6" t="n">
        <v>4</v>
      </c>
      <c r="Q166" s="6" t="n">
        <v>20.99</v>
      </c>
      <c r="R166" s="20" t="n">
        <f aca="false">(L166-K166)/K166</f>
        <v>0.0536816702211247</v>
      </c>
    </row>
    <row r="167" customFormat="false" ht="15" hidden="false" customHeight="false" outlineLevel="0" collapsed="false">
      <c r="A167" s="6" t="s">
        <v>329</v>
      </c>
      <c r="B167" s="6" t="n">
        <v>42</v>
      </c>
      <c r="C167" s="6" t="s">
        <v>159</v>
      </c>
      <c r="D167" s="6" t="s">
        <v>148</v>
      </c>
      <c r="E167" s="6" t="s">
        <v>90</v>
      </c>
      <c r="F167" s="6" t="s">
        <v>202</v>
      </c>
      <c r="G167" s="6" t="n">
        <v>19</v>
      </c>
      <c r="H167" s="6" t="s">
        <v>82</v>
      </c>
      <c r="I167" s="6" t="s">
        <v>81</v>
      </c>
      <c r="J167" s="6" t="s">
        <v>60</v>
      </c>
      <c r="K167" s="6" t="n">
        <v>68243</v>
      </c>
      <c r="L167" s="6" t="n">
        <v>74989</v>
      </c>
      <c r="M167" s="6" t="s">
        <v>146</v>
      </c>
      <c r="N167" s="6" t="n">
        <v>39</v>
      </c>
      <c r="O167" s="6" t="s">
        <v>58</v>
      </c>
      <c r="P167" s="6" t="n">
        <v>3</v>
      </c>
      <c r="Q167" s="6" t="n">
        <v>-15.97</v>
      </c>
      <c r="R167" s="20" t="n">
        <f aca="false">(L167-K167)/K167</f>
        <v>0.0988526295737292</v>
      </c>
    </row>
    <row r="168" customFormat="false" ht="15" hidden="false" customHeight="false" outlineLevel="0" collapsed="false">
      <c r="A168" s="6" t="s">
        <v>330</v>
      </c>
      <c r="B168" s="6" t="n">
        <v>59</v>
      </c>
      <c r="C168" s="6" t="s">
        <v>159</v>
      </c>
      <c r="D168" s="6" t="s">
        <v>140</v>
      </c>
      <c r="E168" s="6" t="s">
        <v>93</v>
      </c>
      <c r="F168" s="6" t="s">
        <v>181</v>
      </c>
      <c r="G168" s="6" t="n">
        <v>36</v>
      </c>
      <c r="H168" s="6" t="s">
        <v>82</v>
      </c>
      <c r="I168" s="6" t="s">
        <v>81</v>
      </c>
      <c r="J168" s="6" t="s">
        <v>60</v>
      </c>
      <c r="K168" s="6" t="n">
        <v>108411</v>
      </c>
      <c r="L168" s="6" t="n">
        <v>100155</v>
      </c>
      <c r="M168" s="6" t="s">
        <v>146</v>
      </c>
      <c r="N168" s="6" t="n">
        <v>40</v>
      </c>
      <c r="O168" s="6" t="s">
        <v>60</v>
      </c>
      <c r="P168" s="6" t="n">
        <v>5</v>
      </c>
      <c r="Q168" s="6" t="n">
        <v>-19.34</v>
      </c>
      <c r="R168" s="20" t="n">
        <f aca="false">(L168-K168)/K168</f>
        <v>-0.0761546337548773</v>
      </c>
    </row>
    <row r="169" customFormat="false" ht="15" hidden="false" customHeight="false" outlineLevel="0" collapsed="false">
      <c r="A169" s="6" t="s">
        <v>331</v>
      </c>
      <c r="B169" s="6" t="n">
        <v>55</v>
      </c>
      <c r="C169" s="6" t="s">
        <v>134</v>
      </c>
      <c r="D169" s="6" t="s">
        <v>135</v>
      </c>
      <c r="E169" s="6" t="s">
        <v>90</v>
      </c>
      <c r="F169" s="6" t="s">
        <v>236</v>
      </c>
      <c r="G169" s="6" t="n">
        <v>30</v>
      </c>
      <c r="H169" s="6" t="s">
        <v>81</v>
      </c>
      <c r="I169" s="6" t="s">
        <v>81</v>
      </c>
      <c r="J169" s="6" t="s">
        <v>60</v>
      </c>
      <c r="K169" s="6" t="n">
        <v>76828</v>
      </c>
      <c r="L169" s="6" t="n">
        <v>84473</v>
      </c>
      <c r="M169" s="6" t="s">
        <v>146</v>
      </c>
      <c r="N169" s="6" t="n">
        <v>47</v>
      </c>
      <c r="O169" s="6" t="s">
        <v>58</v>
      </c>
      <c r="P169" s="6" t="n">
        <v>3</v>
      </c>
      <c r="Q169" s="6" t="n">
        <v>-9.48</v>
      </c>
      <c r="R169" s="20" t="n">
        <f aca="false">(L169-K169)/K169</f>
        <v>0.0995079918779612</v>
      </c>
    </row>
    <row r="170" customFormat="false" ht="15" hidden="false" customHeight="false" outlineLevel="0" collapsed="false">
      <c r="A170" s="6" t="s">
        <v>332</v>
      </c>
      <c r="B170" s="6" t="n">
        <v>47</v>
      </c>
      <c r="C170" s="6" t="s">
        <v>159</v>
      </c>
      <c r="D170" s="6" t="s">
        <v>135</v>
      </c>
      <c r="E170" s="6" t="s">
        <v>91</v>
      </c>
      <c r="F170" s="6" t="s">
        <v>141</v>
      </c>
      <c r="G170" s="6" t="n">
        <v>21</v>
      </c>
      <c r="H170" s="6" t="s">
        <v>81</v>
      </c>
      <c r="I170" s="6" t="s">
        <v>82</v>
      </c>
      <c r="J170" s="6" t="s">
        <v>60</v>
      </c>
      <c r="K170" s="6" t="n">
        <v>119563</v>
      </c>
      <c r="L170" s="6" t="n">
        <v>135258</v>
      </c>
      <c r="M170" s="6" t="s">
        <v>142</v>
      </c>
      <c r="N170" s="6" t="n">
        <v>36</v>
      </c>
      <c r="O170" s="6" t="s">
        <v>60</v>
      </c>
      <c r="P170" s="6" t="n">
        <v>6</v>
      </c>
      <c r="Q170" s="6" t="n">
        <v>5.32</v>
      </c>
      <c r="R170" s="20" t="n">
        <f aca="false">(L170-K170)/K170</f>
        <v>0.131269707183661</v>
      </c>
    </row>
    <row r="171" customFormat="false" ht="15" hidden="false" customHeight="false" outlineLevel="0" collapsed="false">
      <c r="A171" s="6" t="s">
        <v>333</v>
      </c>
      <c r="B171" s="6" t="n">
        <v>22</v>
      </c>
      <c r="C171" s="6" t="s">
        <v>139</v>
      </c>
      <c r="D171" s="6" t="s">
        <v>148</v>
      </c>
      <c r="E171" s="6" t="s">
        <v>87</v>
      </c>
      <c r="F171" s="6" t="s">
        <v>149</v>
      </c>
      <c r="G171" s="6" t="n">
        <v>0</v>
      </c>
      <c r="H171" s="6" t="s">
        <v>80</v>
      </c>
      <c r="I171" s="6" t="s">
        <v>81</v>
      </c>
      <c r="J171" s="6" t="s">
        <v>60</v>
      </c>
      <c r="K171" s="6" t="n">
        <v>51172</v>
      </c>
      <c r="L171" s="6" t="n">
        <v>53243</v>
      </c>
      <c r="M171" s="6" t="s">
        <v>146</v>
      </c>
      <c r="N171" s="6" t="n">
        <v>45</v>
      </c>
      <c r="O171" s="6" t="s">
        <v>60</v>
      </c>
      <c r="P171" s="6" t="n">
        <v>5</v>
      </c>
      <c r="Q171" s="6" t="n">
        <v>-5.28</v>
      </c>
      <c r="R171" s="20" t="n">
        <f aca="false">(L171-K171)/K171</f>
        <v>0.0404713515203627</v>
      </c>
    </row>
    <row r="172" customFormat="false" ht="15" hidden="false" customHeight="false" outlineLevel="0" collapsed="false">
      <c r="A172" s="6" t="s">
        <v>334</v>
      </c>
      <c r="B172" s="6" t="n">
        <v>57</v>
      </c>
      <c r="C172" s="6" t="s">
        <v>159</v>
      </c>
      <c r="D172" s="6" t="s">
        <v>148</v>
      </c>
      <c r="E172" s="6" t="s">
        <v>93</v>
      </c>
      <c r="F172" s="6" t="s">
        <v>197</v>
      </c>
      <c r="G172" s="6" t="n">
        <v>35</v>
      </c>
      <c r="H172" s="6" t="s">
        <v>82</v>
      </c>
      <c r="I172" s="6" t="s">
        <v>82</v>
      </c>
      <c r="J172" s="6" t="s">
        <v>58</v>
      </c>
      <c r="K172" s="6" t="n">
        <v>54762</v>
      </c>
      <c r="L172" s="6" t="n">
        <v>53572</v>
      </c>
      <c r="M172" s="6" t="s">
        <v>146</v>
      </c>
      <c r="N172" s="6" t="n">
        <v>36</v>
      </c>
      <c r="O172" s="6" t="s">
        <v>58</v>
      </c>
      <c r="P172" s="6" t="n">
        <v>9</v>
      </c>
      <c r="Q172" s="6" t="n">
        <v>13.98</v>
      </c>
      <c r="R172" s="20" t="n">
        <f aca="false">(L172-K172)/K172</f>
        <v>-0.0217303969906139</v>
      </c>
    </row>
    <row r="173" customFormat="false" ht="15" hidden="false" customHeight="false" outlineLevel="0" collapsed="false">
      <c r="A173" s="6" t="s">
        <v>335</v>
      </c>
      <c r="B173" s="6" t="n">
        <v>45</v>
      </c>
      <c r="C173" s="6" t="s">
        <v>159</v>
      </c>
      <c r="D173" s="6" t="s">
        <v>148</v>
      </c>
      <c r="E173" s="6" t="s">
        <v>89</v>
      </c>
      <c r="F173" s="6" t="s">
        <v>162</v>
      </c>
      <c r="G173" s="6" t="n">
        <v>19</v>
      </c>
      <c r="H173" s="6" t="s">
        <v>80</v>
      </c>
      <c r="I173" s="6" t="s">
        <v>80</v>
      </c>
      <c r="J173" s="6" t="s">
        <v>60</v>
      </c>
      <c r="K173" s="6" t="n">
        <v>119399</v>
      </c>
      <c r="L173" s="6" t="n">
        <v>117278</v>
      </c>
      <c r="M173" s="6" t="s">
        <v>142</v>
      </c>
      <c r="N173" s="6" t="n">
        <v>54</v>
      </c>
      <c r="O173" s="6" t="s">
        <v>58</v>
      </c>
      <c r="P173" s="6" t="n">
        <v>5</v>
      </c>
      <c r="Q173" s="6" t="n">
        <v>-18.13</v>
      </c>
      <c r="R173" s="20" t="n">
        <f aca="false">(L173-K173)/K173</f>
        <v>-0.0177639678724277</v>
      </c>
    </row>
    <row r="174" customFormat="false" ht="15" hidden="false" customHeight="false" outlineLevel="0" collapsed="false">
      <c r="A174" s="6" t="s">
        <v>336</v>
      </c>
      <c r="B174" s="6" t="n">
        <v>56</v>
      </c>
      <c r="C174" s="6" t="s">
        <v>159</v>
      </c>
      <c r="D174" s="6" t="s">
        <v>148</v>
      </c>
      <c r="E174" s="6" t="s">
        <v>87</v>
      </c>
      <c r="F174" s="6" t="s">
        <v>160</v>
      </c>
      <c r="G174" s="6" t="n">
        <v>31</v>
      </c>
      <c r="H174" s="6" t="s">
        <v>81</v>
      </c>
      <c r="I174" s="6" t="s">
        <v>82</v>
      </c>
      <c r="J174" s="6" t="s">
        <v>60</v>
      </c>
      <c r="K174" s="6" t="n">
        <v>45850</v>
      </c>
      <c r="L174" s="6" t="n">
        <v>52907</v>
      </c>
      <c r="M174" s="6" t="s">
        <v>142</v>
      </c>
      <c r="N174" s="6" t="n">
        <v>45</v>
      </c>
      <c r="O174" s="6" t="s">
        <v>60</v>
      </c>
      <c r="P174" s="6" t="n">
        <v>4</v>
      </c>
      <c r="Q174" s="6" t="n">
        <v>37.31</v>
      </c>
      <c r="R174" s="20" t="n">
        <f aca="false">(L174-K174)/K174</f>
        <v>0.15391494002181</v>
      </c>
    </row>
    <row r="175" customFormat="false" ht="15" hidden="false" customHeight="false" outlineLevel="0" collapsed="false">
      <c r="A175" s="6" t="s">
        <v>337</v>
      </c>
      <c r="B175" s="6" t="n">
        <v>30</v>
      </c>
      <c r="C175" s="6" t="s">
        <v>139</v>
      </c>
      <c r="D175" s="6" t="s">
        <v>148</v>
      </c>
      <c r="E175" s="6" t="s">
        <v>87</v>
      </c>
      <c r="F175" s="6" t="s">
        <v>160</v>
      </c>
      <c r="G175" s="6" t="n">
        <v>7</v>
      </c>
      <c r="H175" s="6" t="s">
        <v>80</v>
      </c>
      <c r="I175" s="6" t="s">
        <v>82</v>
      </c>
      <c r="J175" s="6" t="s">
        <v>58</v>
      </c>
      <c r="K175" s="6" t="n">
        <v>31524</v>
      </c>
      <c r="L175" s="6" t="n">
        <v>31576</v>
      </c>
      <c r="M175" s="6" t="s">
        <v>142</v>
      </c>
      <c r="N175" s="6" t="n">
        <v>35</v>
      </c>
      <c r="O175" s="6" t="s">
        <v>60</v>
      </c>
      <c r="P175" s="6" t="n">
        <v>3</v>
      </c>
      <c r="Q175" s="6" t="n">
        <v>1.09</v>
      </c>
      <c r="R175" s="20" t="n">
        <f aca="false">(L175-K175)/K175</f>
        <v>0.00164953686080447</v>
      </c>
    </row>
    <row r="176" customFormat="false" ht="15" hidden="false" customHeight="false" outlineLevel="0" collapsed="false">
      <c r="A176" s="6" t="s">
        <v>338</v>
      </c>
      <c r="B176" s="6" t="n">
        <v>46</v>
      </c>
      <c r="C176" s="6" t="s">
        <v>139</v>
      </c>
      <c r="D176" s="6" t="s">
        <v>144</v>
      </c>
      <c r="E176" s="6" t="s">
        <v>90</v>
      </c>
      <c r="F176" s="6" t="s">
        <v>202</v>
      </c>
      <c r="G176" s="6" t="n">
        <v>22</v>
      </c>
      <c r="H176" s="6" t="s">
        <v>80</v>
      </c>
      <c r="I176" s="6" t="s">
        <v>80</v>
      </c>
      <c r="J176" s="6" t="s">
        <v>58</v>
      </c>
      <c r="K176" s="6" t="n">
        <v>75186</v>
      </c>
      <c r="L176" s="6" t="n">
        <v>72303</v>
      </c>
      <c r="M176" s="6" t="s">
        <v>142</v>
      </c>
      <c r="N176" s="6" t="n">
        <v>53</v>
      </c>
      <c r="O176" s="6" t="s">
        <v>58</v>
      </c>
      <c r="P176" s="6" t="n">
        <v>8</v>
      </c>
      <c r="Q176" s="6" t="n">
        <v>-19.86</v>
      </c>
      <c r="R176" s="20" t="n">
        <f aca="false">(L176-K176)/K176</f>
        <v>-0.0383449046365015</v>
      </c>
    </row>
    <row r="177" customFormat="false" ht="15" hidden="false" customHeight="false" outlineLevel="0" collapsed="false">
      <c r="A177" s="6" t="s">
        <v>339</v>
      </c>
      <c r="B177" s="6" t="n">
        <v>59</v>
      </c>
      <c r="C177" s="6" t="s">
        <v>139</v>
      </c>
      <c r="D177" s="6" t="s">
        <v>144</v>
      </c>
      <c r="E177" s="6" t="s">
        <v>93</v>
      </c>
      <c r="F177" s="6" t="s">
        <v>197</v>
      </c>
      <c r="G177" s="6" t="n">
        <v>36</v>
      </c>
      <c r="H177" s="6" t="s">
        <v>82</v>
      </c>
      <c r="I177" s="6" t="s">
        <v>80</v>
      </c>
      <c r="J177" s="6" t="s">
        <v>58</v>
      </c>
      <c r="K177" s="6" t="n">
        <v>53051</v>
      </c>
      <c r="L177" s="6" t="n">
        <v>53930</v>
      </c>
      <c r="M177" s="6" t="s">
        <v>142</v>
      </c>
      <c r="N177" s="6" t="n">
        <v>51</v>
      </c>
      <c r="O177" s="6" t="s">
        <v>58</v>
      </c>
      <c r="P177" s="6" t="n">
        <v>7</v>
      </c>
      <c r="Q177" s="6" t="n">
        <v>-14.51</v>
      </c>
      <c r="R177" s="20" t="n">
        <f aca="false">(L177-K177)/K177</f>
        <v>0.016568961942282</v>
      </c>
    </row>
    <row r="178" customFormat="false" ht="15" hidden="false" customHeight="false" outlineLevel="0" collapsed="false">
      <c r="A178" s="6" t="s">
        <v>340</v>
      </c>
      <c r="B178" s="6" t="n">
        <v>38</v>
      </c>
      <c r="C178" s="6" t="s">
        <v>159</v>
      </c>
      <c r="D178" s="6" t="s">
        <v>140</v>
      </c>
      <c r="E178" s="6" t="s">
        <v>88</v>
      </c>
      <c r="F178" s="6" t="s">
        <v>179</v>
      </c>
      <c r="G178" s="6" t="n">
        <v>15</v>
      </c>
      <c r="H178" s="6" t="s">
        <v>80</v>
      </c>
      <c r="I178" s="6" t="s">
        <v>81</v>
      </c>
      <c r="J178" s="6" t="s">
        <v>60</v>
      </c>
      <c r="K178" s="6" t="n">
        <v>66408</v>
      </c>
      <c r="L178" s="6" t="n">
        <v>67530</v>
      </c>
      <c r="M178" s="6" t="s">
        <v>146</v>
      </c>
      <c r="N178" s="6" t="n">
        <v>50</v>
      </c>
      <c r="O178" s="6" t="s">
        <v>58</v>
      </c>
      <c r="P178" s="6" t="n">
        <v>5</v>
      </c>
      <c r="Q178" s="6" t="n">
        <v>-8.89</v>
      </c>
      <c r="R178" s="20" t="n">
        <f aca="false">(L178-K178)/K178</f>
        <v>0.0168955547524395</v>
      </c>
    </row>
    <row r="179" customFormat="false" ht="15" hidden="false" customHeight="false" outlineLevel="0" collapsed="false">
      <c r="A179" s="6" t="s">
        <v>341</v>
      </c>
      <c r="B179" s="6" t="n">
        <v>29</v>
      </c>
      <c r="C179" s="6" t="s">
        <v>134</v>
      </c>
      <c r="D179" s="6" t="s">
        <v>140</v>
      </c>
      <c r="E179" s="6" t="s">
        <v>93</v>
      </c>
      <c r="F179" s="6" t="s">
        <v>197</v>
      </c>
      <c r="G179" s="6" t="n">
        <v>3</v>
      </c>
      <c r="H179" s="6" t="s">
        <v>80</v>
      </c>
      <c r="I179" s="6" t="s">
        <v>81</v>
      </c>
      <c r="J179" s="6" t="s">
        <v>60</v>
      </c>
      <c r="K179" s="6" t="n">
        <v>41344</v>
      </c>
      <c r="L179" s="6" t="n">
        <v>43362</v>
      </c>
      <c r="M179" s="6" t="s">
        <v>146</v>
      </c>
      <c r="N179" s="6" t="n">
        <v>40</v>
      </c>
      <c r="O179" s="6" t="s">
        <v>58</v>
      </c>
      <c r="P179" s="6" t="n">
        <v>3</v>
      </c>
      <c r="Q179" s="6" t="n">
        <v>21.54</v>
      </c>
      <c r="R179" s="20" t="n">
        <f aca="false">(L179-K179)/K179</f>
        <v>0.0488099845201238</v>
      </c>
    </row>
    <row r="180" customFormat="false" ht="15" hidden="false" customHeight="false" outlineLevel="0" collapsed="false">
      <c r="A180" s="6" t="s">
        <v>342</v>
      </c>
      <c r="B180" s="6" t="n">
        <v>39</v>
      </c>
      <c r="C180" s="6" t="s">
        <v>139</v>
      </c>
      <c r="D180" s="6" t="s">
        <v>148</v>
      </c>
      <c r="E180" s="6" t="s">
        <v>91</v>
      </c>
      <c r="F180" s="6" t="s">
        <v>206</v>
      </c>
      <c r="G180" s="6" t="n">
        <v>17</v>
      </c>
      <c r="H180" s="6" t="s">
        <v>81</v>
      </c>
      <c r="I180" s="6" t="s">
        <v>81</v>
      </c>
      <c r="J180" s="6" t="s">
        <v>58</v>
      </c>
      <c r="K180" s="6" t="n">
        <v>107454</v>
      </c>
      <c r="L180" s="6" t="n">
        <v>119053</v>
      </c>
      <c r="M180" s="6" t="s">
        <v>146</v>
      </c>
      <c r="N180" s="6" t="n">
        <v>49</v>
      </c>
      <c r="O180" s="6" t="s">
        <v>58</v>
      </c>
      <c r="P180" s="6" t="n">
        <v>4</v>
      </c>
      <c r="Q180" s="6" t="n">
        <v>-16.9</v>
      </c>
      <c r="R180" s="20" t="n">
        <f aca="false">(L180-K180)/K180</f>
        <v>0.107943864351257</v>
      </c>
    </row>
    <row r="181" customFormat="false" ht="15" hidden="false" customHeight="false" outlineLevel="0" collapsed="false">
      <c r="A181" s="6" t="s">
        <v>343</v>
      </c>
      <c r="B181" s="6" t="n">
        <v>37</v>
      </c>
      <c r="C181" s="6" t="s">
        <v>139</v>
      </c>
      <c r="D181" s="6" t="s">
        <v>148</v>
      </c>
      <c r="E181" s="6" t="s">
        <v>91</v>
      </c>
      <c r="F181" s="6" t="s">
        <v>208</v>
      </c>
      <c r="G181" s="6" t="n">
        <v>15</v>
      </c>
      <c r="H181" s="6" t="s">
        <v>82</v>
      </c>
      <c r="I181" s="6" t="s">
        <v>80</v>
      </c>
      <c r="J181" s="6" t="s">
        <v>60</v>
      </c>
      <c r="K181" s="6" t="n">
        <v>42182</v>
      </c>
      <c r="L181" s="6" t="n">
        <v>47812</v>
      </c>
      <c r="M181" s="6" t="s">
        <v>142</v>
      </c>
      <c r="N181" s="6" t="n">
        <v>41</v>
      </c>
      <c r="O181" s="6" t="s">
        <v>58</v>
      </c>
      <c r="P181" s="6" t="n">
        <v>8</v>
      </c>
      <c r="Q181" s="6" t="n">
        <v>8.39</v>
      </c>
      <c r="R181" s="20" t="n">
        <f aca="false">(L181-K181)/K181</f>
        <v>0.133469252287706</v>
      </c>
    </row>
    <row r="182" customFormat="false" ht="15" hidden="false" customHeight="false" outlineLevel="0" collapsed="false">
      <c r="A182" s="6" t="s">
        <v>344</v>
      </c>
      <c r="B182" s="6" t="n">
        <v>36</v>
      </c>
      <c r="C182" s="6" t="s">
        <v>134</v>
      </c>
      <c r="D182" s="6" t="s">
        <v>140</v>
      </c>
      <c r="E182" s="6" t="s">
        <v>90</v>
      </c>
      <c r="F182" s="6" t="s">
        <v>202</v>
      </c>
      <c r="G182" s="6" t="n">
        <v>10</v>
      </c>
      <c r="H182" s="6" t="s">
        <v>80</v>
      </c>
      <c r="I182" s="6" t="s">
        <v>80</v>
      </c>
      <c r="J182" s="6" t="s">
        <v>58</v>
      </c>
      <c r="K182" s="6" t="n">
        <v>54070</v>
      </c>
      <c r="L182" s="6" t="n">
        <v>53778</v>
      </c>
      <c r="M182" s="6" t="s">
        <v>142</v>
      </c>
      <c r="N182" s="6" t="n">
        <v>52</v>
      </c>
      <c r="O182" s="6" t="s">
        <v>58</v>
      </c>
      <c r="P182" s="6" t="n">
        <v>5</v>
      </c>
      <c r="Q182" s="6" t="n">
        <v>35.46</v>
      </c>
      <c r="R182" s="20" t="n">
        <f aca="false">(L182-K182)/K182</f>
        <v>-0.00540040687997041</v>
      </c>
    </row>
    <row r="183" customFormat="false" ht="15" hidden="false" customHeight="false" outlineLevel="0" collapsed="false">
      <c r="A183" s="6" t="s">
        <v>345</v>
      </c>
      <c r="B183" s="6" t="n">
        <v>44</v>
      </c>
      <c r="C183" s="6" t="s">
        <v>134</v>
      </c>
      <c r="D183" s="6" t="s">
        <v>140</v>
      </c>
      <c r="E183" s="6" t="s">
        <v>88</v>
      </c>
      <c r="F183" s="6" t="s">
        <v>157</v>
      </c>
      <c r="G183" s="6" t="n">
        <v>18</v>
      </c>
      <c r="H183" s="6" t="s">
        <v>80</v>
      </c>
      <c r="I183" s="6" t="s">
        <v>82</v>
      </c>
      <c r="J183" s="6" t="s">
        <v>60</v>
      </c>
      <c r="K183" s="6" t="n">
        <v>36737</v>
      </c>
      <c r="L183" s="6" t="n">
        <v>39005</v>
      </c>
      <c r="M183" s="6" t="s">
        <v>142</v>
      </c>
      <c r="N183" s="6" t="n">
        <v>37</v>
      </c>
      <c r="O183" s="6" t="s">
        <v>58</v>
      </c>
      <c r="P183" s="6" t="n">
        <v>4</v>
      </c>
      <c r="Q183" s="6" t="n">
        <v>-16.71</v>
      </c>
      <c r="R183" s="20" t="n">
        <f aca="false">(L183-K183)/K183</f>
        <v>0.0617361243433051</v>
      </c>
    </row>
    <row r="184" customFormat="false" ht="15" hidden="false" customHeight="false" outlineLevel="0" collapsed="false">
      <c r="A184" s="6" t="s">
        <v>346</v>
      </c>
      <c r="B184" s="6" t="n">
        <v>38</v>
      </c>
      <c r="C184" s="6" t="s">
        <v>159</v>
      </c>
      <c r="D184" s="6" t="s">
        <v>144</v>
      </c>
      <c r="E184" s="6" t="s">
        <v>93</v>
      </c>
      <c r="F184" s="6" t="s">
        <v>197</v>
      </c>
      <c r="G184" s="6" t="n">
        <v>14</v>
      </c>
      <c r="H184" s="6" t="s">
        <v>82</v>
      </c>
      <c r="I184" s="6" t="s">
        <v>80</v>
      </c>
      <c r="J184" s="6" t="s">
        <v>58</v>
      </c>
      <c r="K184" s="6" t="n">
        <v>65435</v>
      </c>
      <c r="L184" s="6" t="n">
        <v>57081</v>
      </c>
      <c r="M184" s="6" t="s">
        <v>142</v>
      </c>
      <c r="N184" s="6" t="n">
        <v>39</v>
      </c>
      <c r="O184" s="6" t="s">
        <v>58</v>
      </c>
      <c r="P184" s="6" t="n">
        <v>5</v>
      </c>
      <c r="Q184" s="6" t="n">
        <v>-15.38</v>
      </c>
      <c r="R184" s="20" t="n">
        <f aca="false">(L184-K184)/K184</f>
        <v>-0.127668678841599</v>
      </c>
    </row>
    <row r="185" customFormat="false" ht="15" hidden="false" customHeight="false" outlineLevel="0" collapsed="false">
      <c r="A185" s="6" t="s">
        <v>347</v>
      </c>
      <c r="B185" s="6" t="n">
        <v>47</v>
      </c>
      <c r="C185" s="6" t="s">
        <v>159</v>
      </c>
      <c r="D185" s="6" t="s">
        <v>148</v>
      </c>
      <c r="E185" s="6" t="s">
        <v>92</v>
      </c>
      <c r="F185" s="6" t="s">
        <v>222</v>
      </c>
      <c r="G185" s="6" t="n">
        <v>22</v>
      </c>
      <c r="H185" s="6" t="s">
        <v>80</v>
      </c>
      <c r="I185" s="6" t="s">
        <v>80</v>
      </c>
      <c r="J185" s="6" t="s">
        <v>60</v>
      </c>
      <c r="K185" s="6" t="n">
        <v>70998</v>
      </c>
      <c r="L185" s="6" t="n">
        <v>70805</v>
      </c>
      <c r="M185" s="6" t="s">
        <v>142</v>
      </c>
      <c r="N185" s="6" t="n">
        <v>47</v>
      </c>
      <c r="O185" s="6" t="s">
        <v>60</v>
      </c>
      <c r="P185" s="6" t="n">
        <v>4</v>
      </c>
      <c r="Q185" s="6" t="n">
        <v>12.37</v>
      </c>
      <c r="R185" s="20" t="n">
        <f aca="false">(L185-K185)/K185</f>
        <v>-0.00271838643342066</v>
      </c>
    </row>
    <row r="186" customFormat="false" ht="15" hidden="false" customHeight="false" outlineLevel="0" collapsed="false">
      <c r="A186" s="6" t="s">
        <v>348</v>
      </c>
      <c r="B186" s="6" t="n">
        <v>54</v>
      </c>
      <c r="C186" s="6" t="s">
        <v>159</v>
      </c>
      <c r="D186" s="6" t="s">
        <v>140</v>
      </c>
      <c r="E186" s="6" t="s">
        <v>92</v>
      </c>
      <c r="F186" s="6" t="s">
        <v>222</v>
      </c>
      <c r="G186" s="6" t="n">
        <v>28</v>
      </c>
      <c r="H186" s="6" t="s">
        <v>80</v>
      </c>
      <c r="I186" s="6" t="s">
        <v>82</v>
      </c>
      <c r="J186" s="6" t="s">
        <v>60</v>
      </c>
      <c r="K186" s="6" t="n">
        <v>109273</v>
      </c>
      <c r="L186" s="6" t="n">
        <v>118178</v>
      </c>
      <c r="M186" s="6" t="s">
        <v>142</v>
      </c>
      <c r="N186" s="6" t="n">
        <v>37</v>
      </c>
      <c r="O186" s="6" t="s">
        <v>58</v>
      </c>
      <c r="P186" s="6" t="n">
        <v>4</v>
      </c>
      <c r="Q186" s="6" t="n">
        <v>5.05</v>
      </c>
      <c r="R186" s="20" t="n">
        <f aca="false">(L186-K186)/K186</f>
        <v>0.0814931410320939</v>
      </c>
    </row>
    <row r="187" customFormat="false" ht="15" hidden="false" customHeight="false" outlineLevel="0" collapsed="false">
      <c r="A187" s="6" t="s">
        <v>349</v>
      </c>
      <c r="B187" s="6" t="n">
        <v>55</v>
      </c>
      <c r="C187" s="6" t="s">
        <v>159</v>
      </c>
      <c r="D187" s="6" t="s">
        <v>140</v>
      </c>
      <c r="E187" s="6" t="s">
        <v>88</v>
      </c>
      <c r="F187" s="6" t="s">
        <v>234</v>
      </c>
      <c r="G187" s="6" t="n">
        <v>31</v>
      </c>
      <c r="H187" s="6" t="s">
        <v>81</v>
      </c>
      <c r="I187" s="6" t="s">
        <v>82</v>
      </c>
      <c r="J187" s="6" t="s">
        <v>60</v>
      </c>
      <c r="K187" s="6" t="n">
        <v>59430</v>
      </c>
      <c r="L187" s="6" t="n">
        <v>56793</v>
      </c>
      <c r="M187" s="6" t="s">
        <v>142</v>
      </c>
      <c r="N187" s="6" t="n">
        <v>37</v>
      </c>
      <c r="O187" s="6" t="s">
        <v>58</v>
      </c>
      <c r="P187" s="6" t="n">
        <v>5</v>
      </c>
      <c r="Q187" s="6" t="n">
        <v>3.04</v>
      </c>
      <c r="R187" s="20" t="n">
        <f aca="false">(L187-K187)/K187</f>
        <v>-0.0443715295305401</v>
      </c>
    </row>
    <row r="188" customFormat="false" ht="15" hidden="false" customHeight="false" outlineLevel="0" collapsed="false">
      <c r="A188" s="6" t="s">
        <v>350</v>
      </c>
      <c r="B188" s="6" t="n">
        <v>50</v>
      </c>
      <c r="C188" s="6" t="s">
        <v>159</v>
      </c>
      <c r="D188" s="6" t="s">
        <v>148</v>
      </c>
      <c r="E188" s="6" t="s">
        <v>87</v>
      </c>
      <c r="F188" s="6" t="s">
        <v>149</v>
      </c>
      <c r="G188" s="6" t="n">
        <v>28</v>
      </c>
      <c r="H188" s="6" t="s">
        <v>80</v>
      </c>
      <c r="I188" s="6" t="s">
        <v>82</v>
      </c>
      <c r="J188" s="6" t="s">
        <v>58</v>
      </c>
      <c r="K188" s="6" t="n">
        <v>91916</v>
      </c>
      <c r="L188" s="6" t="n">
        <v>87838</v>
      </c>
      <c r="M188" s="6" t="s">
        <v>142</v>
      </c>
      <c r="N188" s="6" t="n">
        <v>50</v>
      </c>
      <c r="O188" s="6" t="s">
        <v>60</v>
      </c>
      <c r="P188" s="6" t="n">
        <v>6</v>
      </c>
      <c r="Q188" s="6" t="n">
        <v>8.79</v>
      </c>
      <c r="R188" s="20" t="n">
        <f aca="false">(L188-K188)/K188</f>
        <v>-0.0443665955872753</v>
      </c>
    </row>
    <row r="189" customFormat="false" ht="15" hidden="false" customHeight="false" outlineLevel="0" collapsed="false">
      <c r="A189" s="6" t="s">
        <v>351</v>
      </c>
      <c r="B189" s="6" t="n">
        <v>31</v>
      </c>
      <c r="C189" s="6" t="s">
        <v>139</v>
      </c>
      <c r="D189" s="6" t="s">
        <v>144</v>
      </c>
      <c r="E189" s="6" t="s">
        <v>89</v>
      </c>
      <c r="F189" s="6" t="s">
        <v>162</v>
      </c>
      <c r="G189" s="6" t="n">
        <v>9</v>
      </c>
      <c r="H189" s="6" t="s">
        <v>81</v>
      </c>
      <c r="I189" s="6" t="s">
        <v>81</v>
      </c>
      <c r="J189" s="6" t="s">
        <v>58</v>
      </c>
      <c r="K189" s="6" t="n">
        <v>54574</v>
      </c>
      <c r="L189" s="6" t="n">
        <v>56015</v>
      </c>
      <c r="M189" s="6" t="s">
        <v>146</v>
      </c>
      <c r="N189" s="6" t="n">
        <v>51</v>
      </c>
      <c r="O189" s="6" t="s">
        <v>58</v>
      </c>
      <c r="P189" s="6" t="n">
        <v>5</v>
      </c>
      <c r="Q189" s="6" t="n">
        <v>24.25</v>
      </c>
      <c r="R189" s="20" t="n">
        <f aca="false">(L189-K189)/K189</f>
        <v>0.0264045149704988</v>
      </c>
    </row>
    <row r="190" customFormat="false" ht="15" hidden="false" customHeight="false" outlineLevel="0" collapsed="false">
      <c r="A190" s="6" t="s">
        <v>352</v>
      </c>
      <c r="B190" s="6" t="n">
        <v>35</v>
      </c>
      <c r="C190" s="6" t="s">
        <v>139</v>
      </c>
      <c r="D190" s="6" t="s">
        <v>144</v>
      </c>
      <c r="E190" s="6" t="s">
        <v>90</v>
      </c>
      <c r="F190" s="6" t="s">
        <v>145</v>
      </c>
      <c r="G190" s="6" t="n">
        <v>12</v>
      </c>
      <c r="H190" s="6" t="s">
        <v>81</v>
      </c>
      <c r="I190" s="6" t="s">
        <v>81</v>
      </c>
      <c r="J190" s="6" t="s">
        <v>58</v>
      </c>
      <c r="K190" s="6" t="n">
        <v>85619</v>
      </c>
      <c r="L190" s="6" t="n">
        <v>95436</v>
      </c>
      <c r="M190" s="6" t="s">
        <v>146</v>
      </c>
      <c r="N190" s="6" t="n">
        <v>50</v>
      </c>
      <c r="O190" s="6" t="s">
        <v>60</v>
      </c>
      <c r="P190" s="6" t="n">
        <v>3</v>
      </c>
      <c r="Q190" s="6" t="n">
        <v>15.35</v>
      </c>
      <c r="R190" s="20" t="n">
        <f aca="false">(L190-K190)/K190</f>
        <v>0.114659129398848</v>
      </c>
    </row>
    <row r="191" customFormat="false" ht="15" hidden="false" customHeight="false" outlineLevel="0" collapsed="false">
      <c r="A191" s="6" t="s">
        <v>353</v>
      </c>
      <c r="B191" s="6" t="n">
        <v>36</v>
      </c>
      <c r="C191" s="6" t="s">
        <v>134</v>
      </c>
      <c r="D191" s="6" t="s">
        <v>140</v>
      </c>
      <c r="E191" s="6" t="s">
        <v>88</v>
      </c>
      <c r="F191" s="6" t="s">
        <v>234</v>
      </c>
      <c r="G191" s="6" t="n">
        <v>14</v>
      </c>
      <c r="H191" s="6" t="s">
        <v>80</v>
      </c>
      <c r="I191" s="6" t="s">
        <v>82</v>
      </c>
      <c r="J191" s="6" t="s">
        <v>60</v>
      </c>
      <c r="K191" s="6" t="n">
        <v>34494</v>
      </c>
      <c r="L191" s="6" t="n">
        <v>34757</v>
      </c>
      <c r="M191" s="6" t="s">
        <v>142</v>
      </c>
      <c r="N191" s="6" t="n">
        <v>46</v>
      </c>
      <c r="O191" s="6" t="s">
        <v>58</v>
      </c>
      <c r="P191" s="6" t="n">
        <v>5</v>
      </c>
      <c r="Q191" s="6" t="n">
        <v>20.78</v>
      </c>
      <c r="R191" s="20" t="n">
        <f aca="false">(L191-K191)/K191</f>
        <v>0.00762451440830289</v>
      </c>
    </row>
    <row r="192" customFormat="false" ht="15" hidden="false" customHeight="false" outlineLevel="0" collapsed="false">
      <c r="A192" s="6" t="s">
        <v>354</v>
      </c>
      <c r="B192" s="6" t="n">
        <v>58</v>
      </c>
      <c r="C192" s="6" t="s">
        <v>139</v>
      </c>
      <c r="D192" s="6" t="s">
        <v>148</v>
      </c>
      <c r="E192" s="6" t="s">
        <v>91</v>
      </c>
      <c r="F192" s="6" t="s">
        <v>206</v>
      </c>
      <c r="G192" s="6" t="n">
        <v>32</v>
      </c>
      <c r="H192" s="6" t="s">
        <v>80</v>
      </c>
      <c r="I192" s="6" t="s">
        <v>80</v>
      </c>
      <c r="J192" s="6" t="s">
        <v>58</v>
      </c>
      <c r="K192" s="6" t="n">
        <v>75028</v>
      </c>
      <c r="L192" s="6" t="n">
        <v>72282</v>
      </c>
      <c r="M192" s="6" t="s">
        <v>142</v>
      </c>
      <c r="N192" s="6" t="n">
        <v>48</v>
      </c>
      <c r="O192" s="6" t="s">
        <v>58</v>
      </c>
      <c r="P192" s="6" t="n">
        <v>5</v>
      </c>
      <c r="Q192" s="6" t="n">
        <v>5.05</v>
      </c>
      <c r="R192" s="20" t="n">
        <f aca="false">(L192-K192)/K192</f>
        <v>-0.0365996694567362</v>
      </c>
    </row>
    <row r="193" customFormat="false" ht="15" hidden="false" customHeight="false" outlineLevel="0" collapsed="false">
      <c r="A193" s="6" t="s">
        <v>355</v>
      </c>
      <c r="B193" s="6" t="n">
        <v>34</v>
      </c>
      <c r="C193" s="6" t="s">
        <v>134</v>
      </c>
      <c r="D193" s="6" t="s">
        <v>148</v>
      </c>
      <c r="E193" s="6" t="s">
        <v>93</v>
      </c>
      <c r="F193" s="6" t="s">
        <v>164</v>
      </c>
      <c r="G193" s="6" t="n">
        <v>11</v>
      </c>
      <c r="H193" s="6" t="s">
        <v>81</v>
      </c>
      <c r="I193" s="6" t="s">
        <v>82</v>
      </c>
      <c r="J193" s="6" t="s">
        <v>58</v>
      </c>
      <c r="K193" s="6" t="n">
        <v>78280</v>
      </c>
      <c r="L193" s="6" t="n">
        <v>87908</v>
      </c>
      <c r="M193" s="6" t="s">
        <v>142</v>
      </c>
      <c r="N193" s="6" t="n">
        <v>42</v>
      </c>
      <c r="O193" s="6" t="s">
        <v>60</v>
      </c>
      <c r="P193" s="6" t="n">
        <v>6</v>
      </c>
      <c r="Q193" s="6" t="n">
        <v>-16.1</v>
      </c>
      <c r="R193" s="20" t="n">
        <f aca="false">(L193-K193)/K193</f>
        <v>0.122994379151763</v>
      </c>
    </row>
    <row r="194" customFormat="false" ht="15" hidden="false" customHeight="false" outlineLevel="0" collapsed="false">
      <c r="A194" s="6" t="s">
        <v>356</v>
      </c>
      <c r="B194" s="6" t="n">
        <v>50</v>
      </c>
      <c r="C194" s="6" t="s">
        <v>159</v>
      </c>
      <c r="D194" s="6" t="s">
        <v>144</v>
      </c>
      <c r="E194" s="6" t="s">
        <v>88</v>
      </c>
      <c r="F194" s="6" t="s">
        <v>179</v>
      </c>
      <c r="G194" s="6" t="n">
        <v>24</v>
      </c>
      <c r="H194" s="6" t="s">
        <v>80</v>
      </c>
      <c r="I194" s="6" t="s">
        <v>82</v>
      </c>
      <c r="J194" s="6" t="s">
        <v>58</v>
      </c>
      <c r="K194" s="6" t="n">
        <v>94754</v>
      </c>
      <c r="L194" s="6" t="n">
        <v>97303</v>
      </c>
      <c r="M194" s="6" t="s">
        <v>142</v>
      </c>
      <c r="N194" s="6" t="n">
        <v>36</v>
      </c>
      <c r="O194" s="6" t="s">
        <v>60</v>
      </c>
      <c r="P194" s="6" t="n">
        <v>3</v>
      </c>
      <c r="Q194" s="6" t="n">
        <v>-6.16</v>
      </c>
      <c r="R194" s="20" t="n">
        <f aca="false">(L194-K194)/K194</f>
        <v>0.0269012389978259</v>
      </c>
    </row>
    <row r="195" customFormat="false" ht="15" hidden="false" customHeight="false" outlineLevel="0" collapsed="false">
      <c r="A195" s="6" t="s">
        <v>357</v>
      </c>
      <c r="B195" s="6" t="n">
        <v>47</v>
      </c>
      <c r="C195" s="6" t="s">
        <v>159</v>
      </c>
      <c r="D195" s="6" t="s">
        <v>140</v>
      </c>
      <c r="E195" s="6" t="s">
        <v>93</v>
      </c>
      <c r="F195" s="6" t="s">
        <v>164</v>
      </c>
      <c r="G195" s="6" t="n">
        <v>25</v>
      </c>
      <c r="H195" s="6" t="s">
        <v>82</v>
      </c>
      <c r="I195" s="6" t="s">
        <v>82</v>
      </c>
      <c r="J195" s="6" t="s">
        <v>60</v>
      </c>
      <c r="K195" s="6" t="n">
        <v>57376</v>
      </c>
      <c r="L195" s="6" t="n">
        <v>78855</v>
      </c>
      <c r="M195" s="6" t="s">
        <v>137</v>
      </c>
      <c r="N195" s="6" t="n">
        <v>39</v>
      </c>
      <c r="O195" s="6" t="s">
        <v>60</v>
      </c>
      <c r="P195" s="6" t="n">
        <v>7</v>
      </c>
      <c r="Q195" s="6" t="n">
        <v>29.57</v>
      </c>
      <c r="R195" s="20" t="n">
        <f aca="false">(L195-K195)/K195</f>
        <v>0.374355131065254</v>
      </c>
    </row>
    <row r="196" customFormat="false" ht="15" hidden="false" customHeight="false" outlineLevel="0" collapsed="false">
      <c r="A196" s="6" t="s">
        <v>358</v>
      </c>
      <c r="B196" s="6" t="n">
        <v>44</v>
      </c>
      <c r="C196" s="6" t="s">
        <v>159</v>
      </c>
      <c r="D196" s="6" t="s">
        <v>135</v>
      </c>
      <c r="E196" s="6" t="s">
        <v>92</v>
      </c>
      <c r="F196" s="6" t="s">
        <v>192</v>
      </c>
      <c r="G196" s="6" t="n">
        <v>22</v>
      </c>
      <c r="H196" s="6" t="s">
        <v>81</v>
      </c>
      <c r="I196" s="6" t="s">
        <v>82</v>
      </c>
      <c r="J196" s="6" t="s">
        <v>58</v>
      </c>
      <c r="K196" s="6" t="n">
        <v>76600</v>
      </c>
      <c r="L196" s="6" t="n">
        <v>90259</v>
      </c>
      <c r="M196" s="6" t="s">
        <v>142</v>
      </c>
      <c r="N196" s="6" t="n">
        <v>44</v>
      </c>
      <c r="O196" s="6" t="s">
        <v>58</v>
      </c>
      <c r="P196" s="6" t="n">
        <v>5</v>
      </c>
      <c r="Q196" s="6" t="n">
        <v>39.69</v>
      </c>
      <c r="R196" s="20" t="n">
        <f aca="false">(L196-K196)/K196</f>
        <v>0.17831592689295</v>
      </c>
    </row>
    <row r="197" customFormat="false" ht="15" hidden="false" customHeight="false" outlineLevel="0" collapsed="false">
      <c r="A197" s="6" t="s">
        <v>359</v>
      </c>
      <c r="B197" s="6" t="n">
        <v>39</v>
      </c>
      <c r="C197" s="6" t="s">
        <v>139</v>
      </c>
      <c r="D197" s="6" t="s">
        <v>140</v>
      </c>
      <c r="E197" s="6" t="s">
        <v>90</v>
      </c>
      <c r="F197" s="6" t="s">
        <v>202</v>
      </c>
      <c r="G197" s="6" t="n">
        <v>17</v>
      </c>
      <c r="H197" s="6" t="s">
        <v>80</v>
      </c>
      <c r="I197" s="6" t="s">
        <v>81</v>
      </c>
      <c r="J197" s="6" t="s">
        <v>60</v>
      </c>
      <c r="K197" s="6" t="n">
        <v>54578</v>
      </c>
      <c r="L197" s="6" t="n">
        <v>58528</v>
      </c>
      <c r="M197" s="6" t="s">
        <v>146</v>
      </c>
      <c r="N197" s="6" t="n">
        <v>49</v>
      </c>
      <c r="O197" s="6" t="s">
        <v>58</v>
      </c>
      <c r="P197" s="6" t="n">
        <v>3</v>
      </c>
      <c r="Q197" s="6" t="n">
        <v>-6.53</v>
      </c>
      <c r="R197" s="20" t="n">
        <f aca="false">(L197-K197)/K197</f>
        <v>0.0723734838213199</v>
      </c>
    </row>
    <row r="198" customFormat="false" ht="15" hidden="false" customHeight="false" outlineLevel="0" collapsed="false">
      <c r="A198" s="6" t="s">
        <v>360</v>
      </c>
      <c r="B198" s="6" t="n">
        <v>30</v>
      </c>
      <c r="C198" s="6" t="s">
        <v>159</v>
      </c>
      <c r="D198" s="6" t="s">
        <v>148</v>
      </c>
      <c r="E198" s="6" t="s">
        <v>93</v>
      </c>
      <c r="F198" s="6" t="s">
        <v>181</v>
      </c>
      <c r="G198" s="6" t="n">
        <v>5</v>
      </c>
      <c r="H198" s="6" t="s">
        <v>82</v>
      </c>
      <c r="I198" s="6" t="s">
        <v>81</v>
      </c>
      <c r="J198" s="6" t="s">
        <v>60</v>
      </c>
      <c r="K198" s="6" t="n">
        <v>64701</v>
      </c>
      <c r="L198" s="6" t="n">
        <v>85151</v>
      </c>
      <c r="M198" s="6" t="s">
        <v>146</v>
      </c>
      <c r="N198" s="6" t="n">
        <v>37</v>
      </c>
      <c r="O198" s="6" t="s">
        <v>58</v>
      </c>
      <c r="P198" s="6" t="n">
        <v>5</v>
      </c>
      <c r="Q198" s="6" t="n">
        <v>7.45</v>
      </c>
      <c r="R198" s="20" t="n">
        <f aca="false">(L198-K198)/K198</f>
        <v>0.316069303411076</v>
      </c>
    </row>
    <row r="199" customFormat="false" ht="15" hidden="false" customHeight="false" outlineLevel="0" collapsed="false">
      <c r="A199" s="6" t="s">
        <v>361</v>
      </c>
      <c r="B199" s="6" t="n">
        <v>49</v>
      </c>
      <c r="C199" s="6" t="s">
        <v>159</v>
      </c>
      <c r="D199" s="6" t="s">
        <v>144</v>
      </c>
      <c r="E199" s="6" t="s">
        <v>93</v>
      </c>
      <c r="F199" s="6" t="s">
        <v>164</v>
      </c>
      <c r="G199" s="6" t="n">
        <v>23</v>
      </c>
      <c r="H199" s="6" t="s">
        <v>81</v>
      </c>
      <c r="I199" s="6" t="s">
        <v>81</v>
      </c>
      <c r="J199" s="6" t="s">
        <v>58</v>
      </c>
      <c r="K199" s="6" t="n">
        <v>95160</v>
      </c>
      <c r="L199" s="6" t="n">
        <v>86910</v>
      </c>
      <c r="M199" s="6" t="s">
        <v>146</v>
      </c>
      <c r="N199" s="6" t="n">
        <v>44</v>
      </c>
      <c r="O199" s="6" t="s">
        <v>60</v>
      </c>
      <c r="P199" s="6" t="n">
        <v>3</v>
      </c>
      <c r="Q199" s="6" t="n">
        <v>31.13</v>
      </c>
      <c r="R199" s="20" t="n">
        <f aca="false">(L199-K199)/K199</f>
        <v>-0.0866960907944515</v>
      </c>
    </row>
    <row r="200" customFormat="false" ht="15" hidden="false" customHeight="false" outlineLevel="0" collapsed="false">
      <c r="A200" s="6" t="s">
        <v>362</v>
      </c>
      <c r="B200" s="6" t="n">
        <v>36</v>
      </c>
      <c r="C200" s="6" t="s">
        <v>134</v>
      </c>
      <c r="D200" s="6" t="s">
        <v>148</v>
      </c>
      <c r="E200" s="6" t="s">
        <v>92</v>
      </c>
      <c r="F200" s="6" t="s">
        <v>136</v>
      </c>
      <c r="G200" s="6" t="n">
        <v>14</v>
      </c>
      <c r="H200" s="6" t="s">
        <v>81</v>
      </c>
      <c r="I200" s="6" t="s">
        <v>82</v>
      </c>
      <c r="J200" s="6" t="s">
        <v>60</v>
      </c>
      <c r="K200" s="6" t="n">
        <v>94772</v>
      </c>
      <c r="L200" s="6" t="n">
        <v>106198</v>
      </c>
      <c r="M200" s="6" t="s">
        <v>142</v>
      </c>
      <c r="N200" s="6" t="n">
        <v>49</v>
      </c>
      <c r="O200" s="6" t="s">
        <v>60</v>
      </c>
      <c r="P200" s="6" t="n">
        <v>8</v>
      </c>
      <c r="Q200" s="6" t="n">
        <v>-3.12</v>
      </c>
      <c r="R200" s="20" t="n">
        <f aca="false">(L200-K200)/K200</f>
        <v>0.120563035495716</v>
      </c>
    </row>
    <row r="201" customFormat="false" ht="15" hidden="false" customHeight="false" outlineLevel="0" collapsed="false">
      <c r="A201" s="6" t="s">
        <v>363</v>
      </c>
      <c r="B201" s="6" t="n">
        <v>29</v>
      </c>
      <c r="C201" s="6" t="s">
        <v>159</v>
      </c>
      <c r="D201" s="6" t="s">
        <v>144</v>
      </c>
      <c r="E201" s="6" t="s">
        <v>93</v>
      </c>
      <c r="F201" s="6" t="s">
        <v>164</v>
      </c>
      <c r="G201" s="6" t="n">
        <v>5</v>
      </c>
      <c r="H201" s="6" t="s">
        <v>81</v>
      </c>
      <c r="I201" s="6" t="s">
        <v>81</v>
      </c>
      <c r="J201" s="6" t="s">
        <v>60</v>
      </c>
      <c r="K201" s="6" t="n">
        <v>33972</v>
      </c>
      <c r="L201" s="6" t="n">
        <v>31071</v>
      </c>
      <c r="M201" s="6" t="s">
        <v>146</v>
      </c>
      <c r="N201" s="6" t="n">
        <v>39</v>
      </c>
      <c r="O201" s="6" t="s">
        <v>58</v>
      </c>
      <c r="P201" s="6" t="n">
        <v>6</v>
      </c>
      <c r="Q201" s="6" t="n">
        <v>11.96</v>
      </c>
      <c r="R201" s="20" t="n">
        <f aca="false">(L201-K201)/K201</f>
        <v>-0.0853938537619216</v>
      </c>
    </row>
    <row r="202" customFormat="false" ht="15" hidden="false" customHeight="false" outlineLevel="0" collapsed="false">
      <c r="A202" s="6" t="s">
        <v>364</v>
      </c>
      <c r="B202" s="6" t="n">
        <v>34</v>
      </c>
      <c r="C202" s="6" t="s">
        <v>139</v>
      </c>
      <c r="D202" s="6" t="s">
        <v>140</v>
      </c>
      <c r="E202" s="6" t="s">
        <v>87</v>
      </c>
      <c r="F202" s="6" t="s">
        <v>155</v>
      </c>
      <c r="G202" s="6" t="n">
        <v>9</v>
      </c>
      <c r="H202" s="6" t="s">
        <v>82</v>
      </c>
      <c r="I202" s="6" t="s">
        <v>82</v>
      </c>
      <c r="J202" s="6" t="s">
        <v>58</v>
      </c>
      <c r="K202" s="6" t="n">
        <v>115956</v>
      </c>
      <c r="L202" s="6" t="n">
        <v>161745</v>
      </c>
      <c r="M202" s="6" t="s">
        <v>146</v>
      </c>
      <c r="N202" s="6" t="n">
        <v>47</v>
      </c>
      <c r="O202" s="6" t="s">
        <v>60</v>
      </c>
      <c r="P202" s="6" t="n">
        <v>8</v>
      </c>
      <c r="Q202" s="6" t="n">
        <v>-16.31</v>
      </c>
      <c r="R202" s="20" t="n">
        <f aca="false">(L202-K202)/K202</f>
        <v>0.394882541653731</v>
      </c>
    </row>
    <row r="203" customFormat="false" ht="15" hidden="false" customHeight="false" outlineLevel="0" collapsed="false">
      <c r="A203" s="6" t="s">
        <v>365</v>
      </c>
      <c r="B203" s="6" t="n">
        <v>50</v>
      </c>
      <c r="C203" s="6" t="s">
        <v>139</v>
      </c>
      <c r="D203" s="6" t="s">
        <v>135</v>
      </c>
      <c r="E203" s="6" t="s">
        <v>89</v>
      </c>
      <c r="F203" s="6" t="s">
        <v>151</v>
      </c>
      <c r="G203" s="6" t="n">
        <v>26</v>
      </c>
      <c r="H203" s="6" t="s">
        <v>82</v>
      </c>
      <c r="I203" s="6" t="s">
        <v>80</v>
      </c>
      <c r="J203" s="6" t="s">
        <v>58</v>
      </c>
      <c r="K203" s="6" t="n">
        <v>49129</v>
      </c>
      <c r="L203" s="6" t="n">
        <v>56144</v>
      </c>
      <c r="M203" s="6" t="s">
        <v>142</v>
      </c>
      <c r="N203" s="6" t="n">
        <v>42</v>
      </c>
      <c r="O203" s="6" t="s">
        <v>58</v>
      </c>
      <c r="P203" s="6" t="n">
        <v>5</v>
      </c>
      <c r="Q203" s="6" t="n">
        <v>19.73</v>
      </c>
      <c r="R203" s="20" t="n">
        <f aca="false">(L203-K203)/K203</f>
        <v>0.142787355736937</v>
      </c>
    </row>
    <row r="204" customFormat="false" ht="15" hidden="false" customHeight="false" outlineLevel="0" collapsed="false">
      <c r="A204" s="6" t="s">
        <v>366</v>
      </c>
      <c r="B204" s="6" t="n">
        <v>34</v>
      </c>
      <c r="C204" s="6" t="s">
        <v>134</v>
      </c>
      <c r="D204" s="6" t="s">
        <v>144</v>
      </c>
      <c r="E204" s="6" t="s">
        <v>92</v>
      </c>
      <c r="F204" s="6" t="s">
        <v>222</v>
      </c>
      <c r="G204" s="6" t="n">
        <v>8</v>
      </c>
      <c r="H204" s="6" t="s">
        <v>80</v>
      </c>
      <c r="I204" s="6" t="s">
        <v>81</v>
      </c>
      <c r="J204" s="6" t="s">
        <v>58</v>
      </c>
      <c r="K204" s="6" t="n">
        <v>116231</v>
      </c>
      <c r="L204" s="6" t="n">
        <v>124322</v>
      </c>
      <c r="M204" s="6" t="s">
        <v>146</v>
      </c>
      <c r="N204" s="6" t="n">
        <v>35</v>
      </c>
      <c r="O204" s="6" t="s">
        <v>60</v>
      </c>
      <c r="P204" s="6" t="n">
        <v>5</v>
      </c>
      <c r="Q204" s="6" t="n">
        <v>19.51</v>
      </c>
      <c r="R204" s="20" t="n">
        <f aca="false">(L204-K204)/K204</f>
        <v>0.0696113773433938</v>
      </c>
    </row>
    <row r="205" customFormat="false" ht="15" hidden="false" customHeight="false" outlineLevel="0" collapsed="false">
      <c r="A205" s="6" t="s">
        <v>367</v>
      </c>
      <c r="B205" s="6" t="n">
        <v>34</v>
      </c>
      <c r="C205" s="6" t="s">
        <v>139</v>
      </c>
      <c r="D205" s="6" t="s">
        <v>148</v>
      </c>
      <c r="E205" s="6" t="s">
        <v>90</v>
      </c>
      <c r="F205" s="6" t="s">
        <v>236</v>
      </c>
      <c r="G205" s="6" t="n">
        <v>10</v>
      </c>
      <c r="H205" s="6" t="s">
        <v>82</v>
      </c>
      <c r="I205" s="6" t="s">
        <v>82</v>
      </c>
      <c r="J205" s="6" t="s">
        <v>60</v>
      </c>
      <c r="K205" s="6" t="n">
        <v>81756</v>
      </c>
      <c r="L205" s="6" t="n">
        <v>99618</v>
      </c>
      <c r="M205" s="6" t="s">
        <v>146</v>
      </c>
      <c r="N205" s="6" t="n">
        <v>40</v>
      </c>
      <c r="O205" s="6" t="s">
        <v>60</v>
      </c>
      <c r="P205" s="6" t="n">
        <v>6</v>
      </c>
      <c r="Q205" s="6" t="n">
        <v>20.81</v>
      </c>
      <c r="R205" s="20" t="n">
        <f aca="false">(L205-K205)/K205</f>
        <v>0.218479377660355</v>
      </c>
    </row>
    <row r="206" customFormat="false" ht="15" hidden="false" customHeight="false" outlineLevel="0" collapsed="false">
      <c r="A206" s="6" t="s">
        <v>368</v>
      </c>
      <c r="B206" s="6" t="n">
        <v>28</v>
      </c>
      <c r="C206" s="6" t="s">
        <v>159</v>
      </c>
      <c r="D206" s="6" t="s">
        <v>135</v>
      </c>
      <c r="E206" s="6" t="s">
        <v>88</v>
      </c>
      <c r="F206" s="6" t="s">
        <v>234</v>
      </c>
      <c r="G206" s="6" t="n">
        <v>2</v>
      </c>
      <c r="H206" s="6" t="s">
        <v>82</v>
      </c>
      <c r="I206" s="6" t="s">
        <v>80</v>
      </c>
      <c r="J206" s="6" t="s">
        <v>58</v>
      </c>
      <c r="K206" s="6" t="n">
        <v>78874</v>
      </c>
      <c r="L206" s="6" t="n">
        <v>108592</v>
      </c>
      <c r="M206" s="6" t="s">
        <v>142</v>
      </c>
      <c r="N206" s="6" t="n">
        <v>44</v>
      </c>
      <c r="O206" s="6" t="s">
        <v>60</v>
      </c>
      <c r="P206" s="6" t="n">
        <v>4</v>
      </c>
      <c r="Q206" s="6" t="n">
        <v>7.93</v>
      </c>
      <c r="R206" s="20" t="n">
        <f aca="false">(L206-K206)/K206</f>
        <v>0.376778152496387</v>
      </c>
    </row>
    <row r="207" customFormat="false" ht="15" hidden="false" customHeight="false" outlineLevel="0" collapsed="false">
      <c r="A207" s="6" t="s">
        <v>369</v>
      </c>
      <c r="B207" s="6" t="n">
        <v>53</v>
      </c>
      <c r="C207" s="6" t="s">
        <v>139</v>
      </c>
      <c r="D207" s="6" t="s">
        <v>148</v>
      </c>
      <c r="E207" s="6" t="s">
        <v>89</v>
      </c>
      <c r="F207" s="6" t="s">
        <v>153</v>
      </c>
      <c r="G207" s="6" t="n">
        <v>29</v>
      </c>
      <c r="H207" s="6" t="s">
        <v>81</v>
      </c>
      <c r="I207" s="6" t="s">
        <v>81</v>
      </c>
      <c r="J207" s="6" t="s">
        <v>58</v>
      </c>
      <c r="K207" s="6" t="n">
        <v>107236</v>
      </c>
      <c r="L207" s="6" t="n">
        <v>120431</v>
      </c>
      <c r="M207" s="6" t="s">
        <v>146</v>
      </c>
      <c r="N207" s="6" t="n">
        <v>38</v>
      </c>
      <c r="O207" s="6" t="s">
        <v>60</v>
      </c>
      <c r="P207" s="6" t="n">
        <v>4</v>
      </c>
      <c r="Q207" s="6" t="n">
        <v>-10.35</v>
      </c>
      <c r="R207" s="20" t="n">
        <f aca="false">(L207-K207)/K207</f>
        <v>0.12304636502667</v>
      </c>
    </row>
    <row r="208" customFormat="false" ht="15" hidden="false" customHeight="false" outlineLevel="0" collapsed="false">
      <c r="A208" s="6" t="s">
        <v>370</v>
      </c>
      <c r="B208" s="6" t="n">
        <v>35</v>
      </c>
      <c r="C208" s="6" t="s">
        <v>139</v>
      </c>
      <c r="D208" s="6" t="s">
        <v>144</v>
      </c>
      <c r="E208" s="6" t="s">
        <v>93</v>
      </c>
      <c r="F208" s="6" t="s">
        <v>164</v>
      </c>
      <c r="G208" s="6" t="n">
        <v>9</v>
      </c>
      <c r="H208" s="6" t="s">
        <v>82</v>
      </c>
      <c r="I208" s="6" t="s">
        <v>81</v>
      </c>
      <c r="J208" s="6" t="s">
        <v>58</v>
      </c>
      <c r="K208" s="6" t="n">
        <v>63062</v>
      </c>
      <c r="L208" s="6" t="n">
        <v>57757</v>
      </c>
      <c r="M208" s="6" t="s">
        <v>146</v>
      </c>
      <c r="N208" s="6" t="n">
        <v>51</v>
      </c>
      <c r="O208" s="6" t="s">
        <v>60</v>
      </c>
      <c r="P208" s="6" t="n">
        <v>3</v>
      </c>
      <c r="Q208" s="6" t="n">
        <v>-14.95</v>
      </c>
      <c r="R208" s="20" t="n">
        <f aca="false">(L208-K208)/K208</f>
        <v>-0.0841235609400273</v>
      </c>
    </row>
    <row r="209" customFormat="false" ht="15" hidden="false" customHeight="false" outlineLevel="0" collapsed="false">
      <c r="A209" s="6" t="s">
        <v>371</v>
      </c>
      <c r="B209" s="6" t="n">
        <v>38</v>
      </c>
      <c r="C209" s="6" t="s">
        <v>159</v>
      </c>
      <c r="D209" s="6" t="s">
        <v>148</v>
      </c>
      <c r="E209" s="6" t="s">
        <v>89</v>
      </c>
      <c r="F209" s="6" t="s">
        <v>162</v>
      </c>
      <c r="G209" s="6" t="n">
        <v>15</v>
      </c>
      <c r="H209" s="6" t="s">
        <v>80</v>
      </c>
      <c r="I209" s="6" t="s">
        <v>82</v>
      </c>
      <c r="J209" s="6" t="s">
        <v>58</v>
      </c>
      <c r="K209" s="6" t="n">
        <v>42987</v>
      </c>
      <c r="L209" s="6" t="n">
        <v>40896</v>
      </c>
      <c r="M209" s="6" t="s">
        <v>142</v>
      </c>
      <c r="N209" s="6" t="n">
        <v>50</v>
      </c>
      <c r="O209" s="6" t="s">
        <v>60</v>
      </c>
      <c r="P209" s="6" t="n">
        <v>8</v>
      </c>
      <c r="Q209" s="6" t="n">
        <v>29.12</v>
      </c>
      <c r="R209" s="20" t="n">
        <f aca="false">(L209-K209)/K209</f>
        <v>-0.0486426128829646</v>
      </c>
    </row>
    <row r="210" customFormat="false" ht="15" hidden="false" customHeight="false" outlineLevel="0" collapsed="false">
      <c r="A210" s="6" t="s">
        <v>372</v>
      </c>
      <c r="B210" s="6" t="n">
        <v>40</v>
      </c>
      <c r="C210" s="6" t="s">
        <v>139</v>
      </c>
      <c r="D210" s="6" t="s">
        <v>135</v>
      </c>
      <c r="E210" s="6" t="s">
        <v>87</v>
      </c>
      <c r="F210" s="6" t="s">
        <v>155</v>
      </c>
      <c r="G210" s="6" t="n">
        <v>17</v>
      </c>
      <c r="H210" s="6" t="s">
        <v>82</v>
      </c>
      <c r="I210" s="6" t="s">
        <v>82</v>
      </c>
      <c r="J210" s="6" t="s">
        <v>60</v>
      </c>
      <c r="K210" s="6" t="n">
        <v>117272</v>
      </c>
      <c r="L210" s="6" t="n">
        <v>161576</v>
      </c>
      <c r="M210" s="6" t="s">
        <v>137</v>
      </c>
      <c r="N210" s="6" t="n">
        <v>49</v>
      </c>
      <c r="O210" s="6" t="s">
        <v>60</v>
      </c>
      <c r="P210" s="6" t="n">
        <v>8</v>
      </c>
      <c r="Q210" s="6" t="n">
        <v>0.51</v>
      </c>
      <c r="R210" s="20" t="n">
        <f aca="false">(L210-K210)/K210</f>
        <v>0.377788389385361</v>
      </c>
    </row>
    <row r="211" customFormat="false" ht="15" hidden="false" customHeight="false" outlineLevel="0" collapsed="false">
      <c r="A211" s="6" t="s">
        <v>373</v>
      </c>
      <c r="B211" s="6" t="n">
        <v>58</v>
      </c>
      <c r="C211" s="6" t="s">
        <v>139</v>
      </c>
      <c r="D211" s="6" t="s">
        <v>144</v>
      </c>
      <c r="E211" s="6" t="s">
        <v>87</v>
      </c>
      <c r="F211" s="6" t="s">
        <v>160</v>
      </c>
      <c r="G211" s="6" t="n">
        <v>32</v>
      </c>
      <c r="H211" s="6" t="s">
        <v>82</v>
      </c>
      <c r="I211" s="6" t="s">
        <v>81</v>
      </c>
      <c r="J211" s="6" t="s">
        <v>60</v>
      </c>
      <c r="K211" s="6" t="n">
        <v>112197</v>
      </c>
      <c r="L211" s="6" t="n">
        <v>152850</v>
      </c>
      <c r="M211" s="6" t="s">
        <v>146</v>
      </c>
      <c r="N211" s="6" t="n">
        <v>52</v>
      </c>
      <c r="O211" s="6" t="s">
        <v>58</v>
      </c>
      <c r="P211" s="6" t="n">
        <v>6</v>
      </c>
      <c r="Q211" s="6" t="n">
        <v>21.27</v>
      </c>
      <c r="R211" s="20" t="n">
        <f aca="false">(L211-K211)/K211</f>
        <v>0.362335891333993</v>
      </c>
    </row>
    <row r="212" customFormat="false" ht="15" hidden="false" customHeight="false" outlineLevel="0" collapsed="false">
      <c r="A212" s="6" t="s">
        <v>374</v>
      </c>
      <c r="B212" s="6" t="n">
        <v>48</v>
      </c>
      <c r="C212" s="6" t="s">
        <v>134</v>
      </c>
      <c r="D212" s="6" t="s">
        <v>148</v>
      </c>
      <c r="E212" s="6" t="s">
        <v>89</v>
      </c>
      <c r="F212" s="6" t="s">
        <v>151</v>
      </c>
      <c r="G212" s="6" t="n">
        <v>26</v>
      </c>
      <c r="H212" s="6" t="s">
        <v>82</v>
      </c>
      <c r="I212" s="6" t="s">
        <v>81</v>
      </c>
      <c r="J212" s="6" t="s">
        <v>60</v>
      </c>
      <c r="K212" s="6" t="n">
        <v>110395</v>
      </c>
      <c r="L212" s="6" t="n">
        <v>92777</v>
      </c>
      <c r="M212" s="6" t="s">
        <v>146</v>
      </c>
      <c r="N212" s="6" t="n">
        <v>35</v>
      </c>
      <c r="O212" s="6" t="s">
        <v>58</v>
      </c>
      <c r="P212" s="6" t="n">
        <v>8</v>
      </c>
      <c r="Q212" s="6" t="n">
        <v>14.93</v>
      </c>
      <c r="R212" s="20" t="n">
        <f aca="false">(L212-K212)/K212</f>
        <v>-0.15959056116672</v>
      </c>
    </row>
    <row r="213" customFormat="false" ht="15" hidden="false" customHeight="false" outlineLevel="0" collapsed="false">
      <c r="A213" s="6" t="s">
        <v>375</v>
      </c>
      <c r="B213" s="6" t="n">
        <v>47</v>
      </c>
      <c r="C213" s="6" t="s">
        <v>139</v>
      </c>
      <c r="D213" s="6" t="s">
        <v>144</v>
      </c>
      <c r="E213" s="6" t="s">
        <v>92</v>
      </c>
      <c r="F213" s="6" t="s">
        <v>136</v>
      </c>
      <c r="G213" s="6" t="n">
        <v>23</v>
      </c>
      <c r="H213" s="6" t="s">
        <v>81</v>
      </c>
      <c r="I213" s="6" t="s">
        <v>81</v>
      </c>
      <c r="J213" s="6" t="s">
        <v>58</v>
      </c>
      <c r="K213" s="6" t="n">
        <v>97889</v>
      </c>
      <c r="L213" s="6" t="n">
        <v>117177</v>
      </c>
      <c r="M213" s="6" t="s">
        <v>146</v>
      </c>
      <c r="N213" s="6" t="n">
        <v>46</v>
      </c>
      <c r="O213" s="6" t="s">
        <v>60</v>
      </c>
      <c r="P213" s="6" t="n">
        <v>6</v>
      </c>
      <c r="Q213" s="6" t="n">
        <v>20.56</v>
      </c>
      <c r="R213" s="20" t="n">
        <f aca="false">(L213-K213)/K213</f>
        <v>0.197039503927918</v>
      </c>
    </row>
    <row r="214" customFormat="false" ht="15" hidden="false" customHeight="false" outlineLevel="0" collapsed="false">
      <c r="A214" s="6" t="s">
        <v>376</v>
      </c>
      <c r="B214" s="6" t="n">
        <v>56</v>
      </c>
      <c r="C214" s="6" t="s">
        <v>159</v>
      </c>
      <c r="D214" s="6" t="s">
        <v>148</v>
      </c>
      <c r="E214" s="6" t="s">
        <v>89</v>
      </c>
      <c r="F214" s="6" t="s">
        <v>153</v>
      </c>
      <c r="G214" s="6" t="n">
        <v>31</v>
      </c>
      <c r="H214" s="6" t="s">
        <v>81</v>
      </c>
      <c r="I214" s="6" t="s">
        <v>80</v>
      </c>
      <c r="J214" s="6" t="s">
        <v>60</v>
      </c>
      <c r="K214" s="6" t="n">
        <v>57083</v>
      </c>
      <c r="L214" s="6" t="n">
        <v>51795</v>
      </c>
      <c r="M214" s="6" t="s">
        <v>142</v>
      </c>
      <c r="N214" s="6" t="n">
        <v>40</v>
      </c>
      <c r="O214" s="6" t="s">
        <v>58</v>
      </c>
      <c r="P214" s="6" t="n">
        <v>9</v>
      </c>
      <c r="Q214" s="6" t="n">
        <v>-18.67</v>
      </c>
      <c r="R214" s="20" t="n">
        <f aca="false">(L214-K214)/K214</f>
        <v>-0.0926370372965682</v>
      </c>
    </row>
    <row r="215" customFormat="false" ht="15" hidden="false" customHeight="false" outlineLevel="0" collapsed="false">
      <c r="A215" s="6" t="s">
        <v>377</v>
      </c>
      <c r="B215" s="6" t="n">
        <v>36</v>
      </c>
      <c r="C215" s="6" t="s">
        <v>159</v>
      </c>
      <c r="D215" s="6" t="s">
        <v>140</v>
      </c>
      <c r="E215" s="6" t="s">
        <v>90</v>
      </c>
      <c r="F215" s="6" t="s">
        <v>202</v>
      </c>
      <c r="G215" s="6" t="n">
        <v>12</v>
      </c>
      <c r="H215" s="6" t="s">
        <v>82</v>
      </c>
      <c r="I215" s="6" t="s">
        <v>82</v>
      </c>
      <c r="J215" s="6" t="s">
        <v>58</v>
      </c>
      <c r="K215" s="6" t="n">
        <v>57082</v>
      </c>
      <c r="L215" s="6" t="n">
        <v>69067</v>
      </c>
      <c r="M215" s="6" t="s">
        <v>146</v>
      </c>
      <c r="N215" s="6" t="n">
        <v>48</v>
      </c>
      <c r="O215" s="6" t="s">
        <v>58</v>
      </c>
      <c r="P215" s="6" t="n">
        <v>4</v>
      </c>
      <c r="Q215" s="6" t="n">
        <v>6.75</v>
      </c>
      <c r="R215" s="20" t="n">
        <f aca="false">(L215-K215)/K215</f>
        <v>0.209961108580638</v>
      </c>
    </row>
    <row r="216" customFormat="false" ht="15" hidden="false" customHeight="false" outlineLevel="0" collapsed="false">
      <c r="A216" s="6" t="s">
        <v>378</v>
      </c>
      <c r="B216" s="6" t="n">
        <v>50</v>
      </c>
      <c r="C216" s="6" t="s">
        <v>134</v>
      </c>
      <c r="D216" s="6" t="s">
        <v>144</v>
      </c>
      <c r="E216" s="6" t="s">
        <v>88</v>
      </c>
      <c r="F216" s="6" t="s">
        <v>157</v>
      </c>
      <c r="G216" s="6" t="n">
        <v>25</v>
      </c>
      <c r="H216" s="6" t="s">
        <v>80</v>
      </c>
      <c r="I216" s="6" t="s">
        <v>81</v>
      </c>
      <c r="J216" s="6" t="s">
        <v>58</v>
      </c>
      <c r="K216" s="6" t="n">
        <v>44288</v>
      </c>
      <c r="L216" s="6" t="n">
        <v>42752</v>
      </c>
      <c r="M216" s="6" t="s">
        <v>146</v>
      </c>
      <c r="N216" s="6" t="n">
        <v>49</v>
      </c>
      <c r="O216" s="6" t="s">
        <v>58</v>
      </c>
      <c r="P216" s="6" t="n">
        <v>9</v>
      </c>
      <c r="Q216" s="6" t="n">
        <v>31.25</v>
      </c>
      <c r="R216" s="20" t="n">
        <f aca="false">(L216-K216)/K216</f>
        <v>-0.0346820809248555</v>
      </c>
    </row>
    <row r="217" customFormat="false" ht="15" hidden="false" customHeight="false" outlineLevel="0" collapsed="false">
      <c r="A217" s="6" t="s">
        <v>379</v>
      </c>
      <c r="B217" s="6" t="n">
        <v>50</v>
      </c>
      <c r="C217" s="6" t="s">
        <v>159</v>
      </c>
      <c r="D217" s="6" t="s">
        <v>144</v>
      </c>
      <c r="E217" s="6" t="s">
        <v>87</v>
      </c>
      <c r="F217" s="6" t="s">
        <v>149</v>
      </c>
      <c r="G217" s="6" t="n">
        <v>24</v>
      </c>
      <c r="H217" s="6" t="s">
        <v>80</v>
      </c>
      <c r="I217" s="6" t="s">
        <v>82</v>
      </c>
      <c r="J217" s="6" t="s">
        <v>58</v>
      </c>
      <c r="K217" s="6" t="n">
        <v>47482</v>
      </c>
      <c r="L217" s="6" t="n">
        <v>46680</v>
      </c>
      <c r="M217" s="6" t="s">
        <v>142</v>
      </c>
      <c r="N217" s="6" t="n">
        <v>48</v>
      </c>
      <c r="O217" s="6" t="s">
        <v>60</v>
      </c>
      <c r="P217" s="6" t="n">
        <v>6</v>
      </c>
      <c r="Q217" s="6" t="n">
        <v>-15.06</v>
      </c>
      <c r="R217" s="20" t="n">
        <f aca="false">(L217-K217)/K217</f>
        <v>-0.0168906111789731</v>
      </c>
    </row>
    <row r="218" customFormat="false" ht="15" hidden="false" customHeight="false" outlineLevel="0" collapsed="false">
      <c r="A218" s="6" t="s">
        <v>380</v>
      </c>
      <c r="B218" s="6" t="n">
        <v>43</v>
      </c>
      <c r="C218" s="6" t="s">
        <v>159</v>
      </c>
      <c r="D218" s="6" t="s">
        <v>140</v>
      </c>
      <c r="E218" s="6" t="s">
        <v>90</v>
      </c>
      <c r="F218" s="6" t="s">
        <v>145</v>
      </c>
      <c r="G218" s="6" t="n">
        <v>19</v>
      </c>
      <c r="H218" s="6" t="s">
        <v>82</v>
      </c>
      <c r="I218" s="6" t="s">
        <v>82</v>
      </c>
      <c r="J218" s="6" t="s">
        <v>60</v>
      </c>
      <c r="K218" s="6" t="n">
        <v>52042</v>
      </c>
      <c r="L218" s="6" t="n">
        <v>68738</v>
      </c>
      <c r="M218" s="6" t="s">
        <v>137</v>
      </c>
      <c r="N218" s="6" t="n">
        <v>49</v>
      </c>
      <c r="O218" s="6" t="s">
        <v>60</v>
      </c>
      <c r="P218" s="6" t="n">
        <v>7</v>
      </c>
      <c r="Q218" s="6" t="n">
        <v>37.79</v>
      </c>
      <c r="R218" s="20" t="n">
        <f aca="false">(L218-K218)/K218</f>
        <v>0.320817801006879</v>
      </c>
    </row>
    <row r="219" customFormat="false" ht="15" hidden="false" customHeight="false" outlineLevel="0" collapsed="false">
      <c r="A219" s="6" t="s">
        <v>381</v>
      </c>
      <c r="B219" s="6" t="n">
        <v>41</v>
      </c>
      <c r="C219" s="6" t="s">
        <v>134</v>
      </c>
      <c r="D219" s="6" t="s">
        <v>140</v>
      </c>
      <c r="E219" s="6" t="s">
        <v>89</v>
      </c>
      <c r="F219" s="6" t="s">
        <v>162</v>
      </c>
      <c r="G219" s="6" t="n">
        <v>17</v>
      </c>
      <c r="H219" s="6" t="s">
        <v>82</v>
      </c>
      <c r="I219" s="6" t="s">
        <v>80</v>
      </c>
      <c r="J219" s="6" t="s">
        <v>58</v>
      </c>
      <c r="K219" s="6" t="n">
        <v>93416</v>
      </c>
      <c r="L219" s="6" t="n">
        <v>99523</v>
      </c>
      <c r="M219" s="6" t="s">
        <v>142</v>
      </c>
      <c r="N219" s="6" t="n">
        <v>40</v>
      </c>
      <c r="O219" s="6" t="s">
        <v>58</v>
      </c>
      <c r="P219" s="6" t="n">
        <v>9</v>
      </c>
      <c r="Q219" s="6" t="n">
        <v>-1.28</v>
      </c>
      <c r="R219" s="20" t="n">
        <f aca="false">(L219-K219)/K219</f>
        <v>0.0653742399588936</v>
      </c>
    </row>
    <row r="220" customFormat="false" ht="15" hidden="false" customHeight="false" outlineLevel="0" collapsed="false">
      <c r="A220" s="6" t="s">
        <v>382</v>
      </c>
      <c r="B220" s="6" t="n">
        <v>55</v>
      </c>
      <c r="C220" s="6" t="s">
        <v>159</v>
      </c>
      <c r="D220" s="6" t="s">
        <v>144</v>
      </c>
      <c r="E220" s="6" t="s">
        <v>89</v>
      </c>
      <c r="F220" s="6" t="s">
        <v>153</v>
      </c>
      <c r="G220" s="6" t="n">
        <v>29</v>
      </c>
      <c r="H220" s="6" t="s">
        <v>82</v>
      </c>
      <c r="I220" s="6" t="s">
        <v>82</v>
      </c>
      <c r="J220" s="6" t="s">
        <v>60</v>
      </c>
      <c r="K220" s="6" t="n">
        <v>78290</v>
      </c>
      <c r="L220" s="6" t="n">
        <v>64094</v>
      </c>
      <c r="M220" s="6" t="s">
        <v>146</v>
      </c>
      <c r="N220" s="6" t="n">
        <v>46</v>
      </c>
      <c r="O220" s="6" t="s">
        <v>60</v>
      </c>
      <c r="P220" s="6" t="n">
        <v>4</v>
      </c>
      <c r="Q220" s="6" t="n">
        <v>19.1</v>
      </c>
      <c r="R220" s="20" t="n">
        <f aca="false">(L220-K220)/K220</f>
        <v>-0.181325839826287</v>
      </c>
    </row>
    <row r="221" customFormat="false" ht="15" hidden="false" customHeight="false" outlineLevel="0" collapsed="false">
      <c r="A221" s="6" t="s">
        <v>383</v>
      </c>
      <c r="B221" s="6" t="n">
        <v>36</v>
      </c>
      <c r="C221" s="6" t="s">
        <v>134</v>
      </c>
      <c r="D221" s="6" t="s">
        <v>135</v>
      </c>
      <c r="E221" s="6" t="s">
        <v>88</v>
      </c>
      <c r="F221" s="6" t="s">
        <v>179</v>
      </c>
      <c r="G221" s="6" t="n">
        <v>11</v>
      </c>
      <c r="H221" s="6" t="s">
        <v>82</v>
      </c>
      <c r="I221" s="6" t="s">
        <v>82</v>
      </c>
      <c r="J221" s="6" t="s">
        <v>58</v>
      </c>
      <c r="K221" s="6" t="n">
        <v>48639</v>
      </c>
      <c r="L221" s="6" t="n">
        <v>54764</v>
      </c>
      <c r="M221" s="6" t="s">
        <v>137</v>
      </c>
      <c r="N221" s="6" t="n">
        <v>51</v>
      </c>
      <c r="O221" s="6" t="s">
        <v>58</v>
      </c>
      <c r="P221" s="6" t="n">
        <v>7</v>
      </c>
      <c r="Q221" s="6" t="n">
        <v>-10.45</v>
      </c>
      <c r="R221" s="20" t="n">
        <f aca="false">(L221-K221)/K221</f>
        <v>0.125927753448878</v>
      </c>
    </row>
    <row r="222" customFormat="false" ht="15" hidden="false" customHeight="false" outlineLevel="0" collapsed="false">
      <c r="A222" s="6" t="s">
        <v>384</v>
      </c>
      <c r="B222" s="6" t="n">
        <v>29</v>
      </c>
      <c r="C222" s="6" t="s">
        <v>134</v>
      </c>
      <c r="D222" s="6" t="s">
        <v>135</v>
      </c>
      <c r="E222" s="6" t="s">
        <v>88</v>
      </c>
      <c r="F222" s="6" t="s">
        <v>157</v>
      </c>
      <c r="G222" s="6" t="n">
        <v>5</v>
      </c>
      <c r="H222" s="6" t="s">
        <v>82</v>
      </c>
      <c r="I222" s="6" t="s">
        <v>80</v>
      </c>
      <c r="J222" s="6" t="s">
        <v>60</v>
      </c>
      <c r="K222" s="6" t="n">
        <v>115553</v>
      </c>
      <c r="L222" s="6" t="n">
        <v>145205</v>
      </c>
      <c r="M222" s="6" t="s">
        <v>142</v>
      </c>
      <c r="N222" s="6" t="n">
        <v>46</v>
      </c>
      <c r="O222" s="6" t="s">
        <v>58</v>
      </c>
      <c r="P222" s="6" t="n">
        <v>7</v>
      </c>
      <c r="Q222" s="6" t="n">
        <v>17.57</v>
      </c>
      <c r="R222" s="20" t="n">
        <f aca="false">(L222-K222)/K222</f>
        <v>0.256609521172103</v>
      </c>
    </row>
    <row r="223" customFormat="false" ht="15" hidden="false" customHeight="false" outlineLevel="0" collapsed="false">
      <c r="A223" s="6" t="s">
        <v>385</v>
      </c>
      <c r="B223" s="6" t="n">
        <v>45</v>
      </c>
      <c r="C223" s="6" t="s">
        <v>139</v>
      </c>
      <c r="D223" s="6" t="s">
        <v>135</v>
      </c>
      <c r="E223" s="6" t="s">
        <v>93</v>
      </c>
      <c r="F223" s="6" t="s">
        <v>181</v>
      </c>
      <c r="G223" s="6" t="n">
        <v>20</v>
      </c>
      <c r="H223" s="6" t="s">
        <v>80</v>
      </c>
      <c r="I223" s="6" t="s">
        <v>81</v>
      </c>
      <c r="J223" s="6" t="s">
        <v>60</v>
      </c>
      <c r="K223" s="6" t="n">
        <v>83625</v>
      </c>
      <c r="L223" s="6" t="n">
        <v>87178</v>
      </c>
      <c r="M223" s="6" t="s">
        <v>146</v>
      </c>
      <c r="N223" s="6" t="n">
        <v>48</v>
      </c>
      <c r="O223" s="6" t="s">
        <v>60</v>
      </c>
      <c r="P223" s="6" t="n">
        <v>9</v>
      </c>
      <c r="Q223" s="6" t="n">
        <v>27.79</v>
      </c>
      <c r="R223" s="20" t="n">
        <f aca="false">(L223-K223)/K223</f>
        <v>0.0424872944693573</v>
      </c>
    </row>
    <row r="224" customFormat="false" ht="15" hidden="false" customHeight="false" outlineLevel="0" collapsed="false">
      <c r="A224" s="6" t="s">
        <v>386</v>
      </c>
      <c r="B224" s="6" t="n">
        <v>38</v>
      </c>
      <c r="C224" s="6" t="s">
        <v>159</v>
      </c>
      <c r="D224" s="6" t="s">
        <v>140</v>
      </c>
      <c r="E224" s="6" t="s">
        <v>88</v>
      </c>
      <c r="F224" s="6" t="s">
        <v>234</v>
      </c>
      <c r="G224" s="6" t="n">
        <v>13</v>
      </c>
      <c r="H224" s="6" t="s">
        <v>82</v>
      </c>
      <c r="I224" s="6" t="s">
        <v>81</v>
      </c>
      <c r="J224" s="6" t="s">
        <v>58</v>
      </c>
      <c r="K224" s="6" t="n">
        <v>81027</v>
      </c>
      <c r="L224" s="6" t="n">
        <v>85741</v>
      </c>
      <c r="M224" s="6" t="s">
        <v>146</v>
      </c>
      <c r="N224" s="6" t="n">
        <v>36</v>
      </c>
      <c r="O224" s="6" t="s">
        <v>60</v>
      </c>
      <c r="P224" s="6" t="n">
        <v>5</v>
      </c>
      <c r="Q224" s="6" t="n">
        <v>-7.97</v>
      </c>
      <c r="R224" s="20" t="n">
        <f aca="false">(L224-K224)/K224</f>
        <v>0.0581781381514804</v>
      </c>
    </row>
    <row r="225" customFormat="false" ht="15" hidden="false" customHeight="false" outlineLevel="0" collapsed="false">
      <c r="A225" s="6" t="s">
        <v>387</v>
      </c>
      <c r="B225" s="6" t="n">
        <v>34</v>
      </c>
      <c r="C225" s="6" t="s">
        <v>139</v>
      </c>
      <c r="D225" s="6" t="s">
        <v>148</v>
      </c>
      <c r="E225" s="6" t="s">
        <v>88</v>
      </c>
      <c r="F225" s="6" t="s">
        <v>157</v>
      </c>
      <c r="G225" s="6" t="n">
        <v>12</v>
      </c>
      <c r="H225" s="6" t="s">
        <v>80</v>
      </c>
      <c r="I225" s="6" t="s">
        <v>81</v>
      </c>
      <c r="J225" s="6" t="s">
        <v>58</v>
      </c>
      <c r="K225" s="6" t="n">
        <v>56589</v>
      </c>
      <c r="L225" s="6" t="n">
        <v>57091</v>
      </c>
      <c r="M225" s="6" t="s">
        <v>146</v>
      </c>
      <c r="N225" s="6" t="n">
        <v>40</v>
      </c>
      <c r="O225" s="6" t="s">
        <v>60</v>
      </c>
      <c r="P225" s="6" t="n">
        <v>5</v>
      </c>
      <c r="Q225" s="6" t="n">
        <v>8.8</v>
      </c>
      <c r="R225" s="20" t="n">
        <f aca="false">(L225-K225)/K225</f>
        <v>0.00887098199296683</v>
      </c>
    </row>
    <row r="226" customFormat="false" ht="15" hidden="false" customHeight="false" outlineLevel="0" collapsed="false">
      <c r="A226" s="6" t="s">
        <v>388</v>
      </c>
      <c r="B226" s="6" t="n">
        <v>46</v>
      </c>
      <c r="C226" s="6" t="s">
        <v>139</v>
      </c>
      <c r="D226" s="6" t="s">
        <v>140</v>
      </c>
      <c r="E226" s="6" t="s">
        <v>89</v>
      </c>
      <c r="F226" s="6" t="s">
        <v>151</v>
      </c>
      <c r="G226" s="6" t="n">
        <v>24</v>
      </c>
      <c r="H226" s="6" t="s">
        <v>80</v>
      </c>
      <c r="I226" s="6" t="s">
        <v>81</v>
      </c>
      <c r="J226" s="6" t="s">
        <v>58</v>
      </c>
      <c r="K226" s="6" t="n">
        <v>81195</v>
      </c>
      <c r="L226" s="6" t="n">
        <v>86633</v>
      </c>
      <c r="M226" s="6" t="s">
        <v>146</v>
      </c>
      <c r="N226" s="6" t="n">
        <v>53</v>
      </c>
      <c r="O226" s="6" t="s">
        <v>60</v>
      </c>
      <c r="P226" s="6" t="n">
        <v>3</v>
      </c>
      <c r="Q226" s="6" t="n">
        <v>-17.62</v>
      </c>
      <c r="R226" s="20" t="n">
        <f aca="false">(L226-K226)/K226</f>
        <v>0.0669745673994704</v>
      </c>
    </row>
    <row r="227" customFormat="false" ht="15" hidden="false" customHeight="false" outlineLevel="0" collapsed="false">
      <c r="A227" s="6" t="s">
        <v>389</v>
      </c>
      <c r="B227" s="6" t="n">
        <v>38</v>
      </c>
      <c r="C227" s="6" t="s">
        <v>134</v>
      </c>
      <c r="D227" s="6" t="s">
        <v>140</v>
      </c>
      <c r="E227" s="6" t="s">
        <v>88</v>
      </c>
      <c r="F227" s="6" t="s">
        <v>234</v>
      </c>
      <c r="G227" s="6" t="n">
        <v>13</v>
      </c>
      <c r="H227" s="6" t="s">
        <v>81</v>
      </c>
      <c r="I227" s="6" t="s">
        <v>80</v>
      </c>
      <c r="J227" s="6" t="s">
        <v>60</v>
      </c>
      <c r="K227" s="6" t="n">
        <v>82269</v>
      </c>
      <c r="L227" s="6" t="n">
        <v>77558</v>
      </c>
      <c r="M227" s="6" t="s">
        <v>142</v>
      </c>
      <c r="N227" s="6" t="n">
        <v>54</v>
      </c>
      <c r="O227" s="6" t="s">
        <v>58</v>
      </c>
      <c r="P227" s="6" t="n">
        <v>3</v>
      </c>
      <c r="Q227" s="6" t="n">
        <v>9.93</v>
      </c>
      <c r="R227" s="20" t="n">
        <f aca="false">(L227-K227)/K227</f>
        <v>-0.0572633677326818</v>
      </c>
    </row>
    <row r="228" customFormat="false" ht="15" hidden="false" customHeight="false" outlineLevel="0" collapsed="false">
      <c r="A228" s="6" t="s">
        <v>390</v>
      </c>
      <c r="B228" s="6" t="n">
        <v>31</v>
      </c>
      <c r="C228" s="6" t="s">
        <v>139</v>
      </c>
      <c r="D228" s="6" t="s">
        <v>140</v>
      </c>
      <c r="E228" s="6" t="s">
        <v>88</v>
      </c>
      <c r="F228" s="6" t="s">
        <v>157</v>
      </c>
      <c r="G228" s="6" t="n">
        <v>8</v>
      </c>
      <c r="H228" s="6" t="s">
        <v>80</v>
      </c>
      <c r="I228" s="6" t="s">
        <v>81</v>
      </c>
      <c r="J228" s="6" t="s">
        <v>60</v>
      </c>
      <c r="K228" s="6" t="n">
        <v>93483</v>
      </c>
      <c r="L228" s="6" t="n">
        <v>89824</v>
      </c>
      <c r="M228" s="6" t="s">
        <v>146</v>
      </c>
      <c r="N228" s="6" t="n">
        <v>43</v>
      </c>
      <c r="O228" s="6" t="s">
        <v>60</v>
      </c>
      <c r="P228" s="6" t="n">
        <v>7</v>
      </c>
      <c r="Q228" s="6" t="n">
        <v>12.05</v>
      </c>
      <c r="R228" s="20" t="n">
        <f aca="false">(L228-K228)/K228</f>
        <v>-0.0391408063498176</v>
      </c>
    </row>
    <row r="229" customFormat="false" ht="15" hidden="false" customHeight="false" outlineLevel="0" collapsed="false">
      <c r="A229" s="6" t="s">
        <v>391</v>
      </c>
      <c r="B229" s="6" t="n">
        <v>51</v>
      </c>
      <c r="C229" s="6" t="s">
        <v>139</v>
      </c>
      <c r="D229" s="6" t="s">
        <v>140</v>
      </c>
      <c r="E229" s="6" t="s">
        <v>91</v>
      </c>
      <c r="F229" s="6" t="s">
        <v>206</v>
      </c>
      <c r="G229" s="6" t="n">
        <v>29</v>
      </c>
      <c r="H229" s="6" t="s">
        <v>82</v>
      </c>
      <c r="I229" s="6" t="s">
        <v>82</v>
      </c>
      <c r="J229" s="6" t="s">
        <v>60</v>
      </c>
      <c r="K229" s="6" t="n">
        <v>118652</v>
      </c>
      <c r="L229" s="6" t="n">
        <v>100515</v>
      </c>
      <c r="M229" s="6" t="s">
        <v>137</v>
      </c>
      <c r="N229" s="6" t="n">
        <v>36</v>
      </c>
      <c r="O229" s="6" t="s">
        <v>60</v>
      </c>
      <c r="P229" s="6" t="n">
        <v>8</v>
      </c>
      <c r="Q229" s="6" t="n">
        <v>3.82</v>
      </c>
      <c r="R229" s="20" t="n">
        <f aca="false">(L229-K229)/K229</f>
        <v>-0.152858780298689</v>
      </c>
    </row>
    <row r="230" customFormat="false" ht="15" hidden="false" customHeight="false" outlineLevel="0" collapsed="false">
      <c r="A230" s="6" t="s">
        <v>392</v>
      </c>
      <c r="B230" s="6" t="n">
        <v>47</v>
      </c>
      <c r="C230" s="6" t="s">
        <v>134</v>
      </c>
      <c r="D230" s="6" t="s">
        <v>144</v>
      </c>
      <c r="E230" s="6" t="s">
        <v>88</v>
      </c>
      <c r="F230" s="6" t="s">
        <v>234</v>
      </c>
      <c r="G230" s="6" t="n">
        <v>24</v>
      </c>
      <c r="H230" s="6" t="s">
        <v>82</v>
      </c>
      <c r="I230" s="6" t="s">
        <v>81</v>
      </c>
      <c r="J230" s="6" t="s">
        <v>58</v>
      </c>
      <c r="K230" s="6" t="n">
        <v>111905</v>
      </c>
      <c r="L230" s="6" t="n">
        <v>144677</v>
      </c>
      <c r="M230" s="6" t="s">
        <v>146</v>
      </c>
      <c r="N230" s="6" t="n">
        <v>46</v>
      </c>
      <c r="O230" s="6" t="s">
        <v>60</v>
      </c>
      <c r="P230" s="6" t="n">
        <v>3</v>
      </c>
      <c r="Q230" s="6" t="n">
        <v>-17.53</v>
      </c>
      <c r="R230" s="20" t="n">
        <f aca="false">(L230-K230)/K230</f>
        <v>0.292855547115857</v>
      </c>
    </row>
    <row r="231" customFormat="false" ht="15" hidden="false" customHeight="false" outlineLevel="0" collapsed="false">
      <c r="A231" s="6" t="s">
        <v>393</v>
      </c>
      <c r="B231" s="6" t="n">
        <v>32</v>
      </c>
      <c r="C231" s="6" t="s">
        <v>139</v>
      </c>
      <c r="D231" s="6" t="s">
        <v>140</v>
      </c>
      <c r="E231" s="6" t="s">
        <v>89</v>
      </c>
      <c r="F231" s="6" t="s">
        <v>151</v>
      </c>
      <c r="G231" s="6" t="n">
        <v>6</v>
      </c>
      <c r="H231" s="6" t="s">
        <v>82</v>
      </c>
      <c r="I231" s="6" t="s">
        <v>81</v>
      </c>
      <c r="J231" s="6" t="s">
        <v>60</v>
      </c>
      <c r="K231" s="6" t="n">
        <v>79786</v>
      </c>
      <c r="L231" s="6" t="n">
        <v>65340</v>
      </c>
      <c r="M231" s="6" t="s">
        <v>146</v>
      </c>
      <c r="N231" s="6" t="n">
        <v>41</v>
      </c>
      <c r="O231" s="6" t="s">
        <v>58</v>
      </c>
      <c r="P231" s="6" t="n">
        <v>9</v>
      </c>
      <c r="Q231" s="6" t="n">
        <v>36.17</v>
      </c>
      <c r="R231" s="20" t="n">
        <f aca="false">(L231-K231)/K231</f>
        <v>-0.181059333717695</v>
      </c>
    </row>
    <row r="232" customFormat="false" ht="15" hidden="false" customHeight="false" outlineLevel="0" collapsed="false">
      <c r="A232" s="6" t="s">
        <v>394</v>
      </c>
      <c r="B232" s="6" t="n">
        <v>53</v>
      </c>
      <c r="C232" s="6" t="s">
        <v>134</v>
      </c>
      <c r="D232" s="6" t="s">
        <v>135</v>
      </c>
      <c r="E232" s="6" t="s">
        <v>93</v>
      </c>
      <c r="F232" s="6" t="s">
        <v>197</v>
      </c>
      <c r="G232" s="6" t="n">
        <v>31</v>
      </c>
      <c r="H232" s="6" t="s">
        <v>81</v>
      </c>
      <c r="I232" s="6" t="s">
        <v>80</v>
      </c>
      <c r="J232" s="6" t="s">
        <v>60</v>
      </c>
      <c r="K232" s="6" t="n">
        <v>94881</v>
      </c>
      <c r="L232" s="6" t="n">
        <v>112012</v>
      </c>
      <c r="M232" s="6" t="s">
        <v>142</v>
      </c>
      <c r="N232" s="6" t="n">
        <v>54</v>
      </c>
      <c r="O232" s="6" t="s">
        <v>60</v>
      </c>
      <c r="P232" s="6" t="n">
        <v>8</v>
      </c>
      <c r="Q232" s="6" t="n">
        <v>36.84</v>
      </c>
      <c r="R232" s="20" t="n">
        <f aca="false">(L232-K232)/K232</f>
        <v>0.180552481529495</v>
      </c>
    </row>
    <row r="233" customFormat="false" ht="15" hidden="false" customHeight="false" outlineLevel="0" collapsed="false">
      <c r="A233" s="6" t="s">
        <v>395</v>
      </c>
      <c r="B233" s="6" t="n">
        <v>28</v>
      </c>
      <c r="C233" s="6" t="s">
        <v>139</v>
      </c>
      <c r="D233" s="6" t="s">
        <v>144</v>
      </c>
      <c r="E233" s="6" t="s">
        <v>88</v>
      </c>
      <c r="F233" s="6" t="s">
        <v>157</v>
      </c>
      <c r="G233" s="6" t="n">
        <v>4</v>
      </c>
      <c r="H233" s="6" t="s">
        <v>81</v>
      </c>
      <c r="I233" s="6" t="s">
        <v>80</v>
      </c>
      <c r="J233" s="6" t="s">
        <v>58</v>
      </c>
      <c r="K233" s="6" t="n">
        <v>76163</v>
      </c>
      <c r="L233" s="6" t="n">
        <v>81182</v>
      </c>
      <c r="M233" s="6" t="s">
        <v>142</v>
      </c>
      <c r="N233" s="6" t="n">
        <v>37</v>
      </c>
      <c r="O233" s="6" t="s">
        <v>58</v>
      </c>
      <c r="P233" s="6" t="n">
        <v>9</v>
      </c>
      <c r="Q233" s="6" t="n">
        <v>15.85</v>
      </c>
      <c r="R233" s="20" t="n">
        <f aca="false">(L233-K233)/K233</f>
        <v>0.0658981395165632</v>
      </c>
    </row>
    <row r="234" customFormat="false" ht="15" hidden="false" customHeight="false" outlineLevel="0" collapsed="false">
      <c r="A234" s="6" t="s">
        <v>396</v>
      </c>
      <c r="B234" s="6" t="n">
        <v>35</v>
      </c>
      <c r="C234" s="6" t="s">
        <v>159</v>
      </c>
      <c r="D234" s="6" t="s">
        <v>135</v>
      </c>
      <c r="E234" s="6" t="s">
        <v>91</v>
      </c>
      <c r="F234" s="6" t="s">
        <v>206</v>
      </c>
      <c r="G234" s="6" t="n">
        <v>11</v>
      </c>
      <c r="H234" s="6" t="s">
        <v>82</v>
      </c>
      <c r="I234" s="6" t="s">
        <v>82</v>
      </c>
      <c r="J234" s="6" t="s">
        <v>60</v>
      </c>
      <c r="K234" s="6" t="n">
        <v>45313</v>
      </c>
      <c r="L234" s="6" t="n">
        <v>37891</v>
      </c>
      <c r="M234" s="6" t="s">
        <v>146</v>
      </c>
      <c r="N234" s="6" t="n">
        <v>47</v>
      </c>
      <c r="O234" s="6" t="s">
        <v>58</v>
      </c>
      <c r="P234" s="6" t="n">
        <v>3</v>
      </c>
      <c r="Q234" s="6" t="n">
        <v>-5.17</v>
      </c>
      <c r="R234" s="20" t="n">
        <f aca="false">(L234-K234)/K234</f>
        <v>-0.163794054686293</v>
      </c>
    </row>
    <row r="235" customFormat="false" ht="15" hidden="false" customHeight="false" outlineLevel="0" collapsed="false">
      <c r="A235" s="6" t="s">
        <v>397</v>
      </c>
      <c r="B235" s="6" t="n">
        <v>40</v>
      </c>
      <c r="C235" s="6" t="s">
        <v>139</v>
      </c>
      <c r="D235" s="6" t="s">
        <v>140</v>
      </c>
      <c r="E235" s="6" t="s">
        <v>90</v>
      </c>
      <c r="F235" s="6" t="s">
        <v>145</v>
      </c>
      <c r="G235" s="6" t="n">
        <v>15</v>
      </c>
      <c r="H235" s="6" t="s">
        <v>80</v>
      </c>
      <c r="I235" s="6" t="s">
        <v>80</v>
      </c>
      <c r="J235" s="6" t="s">
        <v>60</v>
      </c>
      <c r="K235" s="6" t="n">
        <v>100316</v>
      </c>
      <c r="L235" s="6" t="n">
        <v>98040</v>
      </c>
      <c r="M235" s="6" t="s">
        <v>142</v>
      </c>
      <c r="N235" s="6" t="n">
        <v>53</v>
      </c>
      <c r="O235" s="6" t="s">
        <v>58</v>
      </c>
      <c r="P235" s="6" t="n">
        <v>6</v>
      </c>
      <c r="Q235" s="6" t="n">
        <v>27.38</v>
      </c>
      <c r="R235" s="20" t="n">
        <f aca="false">(L235-K235)/K235</f>
        <v>-0.022688304956338</v>
      </c>
    </row>
    <row r="236" customFormat="false" ht="15" hidden="false" customHeight="false" outlineLevel="0" collapsed="false">
      <c r="A236" s="6" t="s">
        <v>398</v>
      </c>
      <c r="B236" s="6" t="n">
        <v>39</v>
      </c>
      <c r="C236" s="6" t="s">
        <v>139</v>
      </c>
      <c r="D236" s="6" t="s">
        <v>148</v>
      </c>
      <c r="E236" s="6" t="s">
        <v>92</v>
      </c>
      <c r="F236" s="6" t="s">
        <v>222</v>
      </c>
      <c r="G236" s="6" t="n">
        <v>16</v>
      </c>
      <c r="H236" s="6" t="s">
        <v>80</v>
      </c>
      <c r="I236" s="6" t="s">
        <v>80</v>
      </c>
      <c r="J236" s="6" t="s">
        <v>58</v>
      </c>
      <c r="K236" s="6" t="n">
        <v>46082</v>
      </c>
      <c r="L236" s="6" t="n">
        <v>45357</v>
      </c>
      <c r="M236" s="6" t="s">
        <v>142</v>
      </c>
      <c r="N236" s="6" t="n">
        <v>43</v>
      </c>
      <c r="O236" s="6" t="s">
        <v>60</v>
      </c>
      <c r="P236" s="6" t="n">
        <v>5</v>
      </c>
      <c r="Q236" s="6" t="n">
        <v>39.78</v>
      </c>
      <c r="R236" s="20" t="n">
        <f aca="false">(L236-K236)/K236</f>
        <v>-0.0157328240961764</v>
      </c>
    </row>
    <row r="237" customFormat="false" ht="15" hidden="false" customHeight="false" outlineLevel="0" collapsed="false">
      <c r="A237" s="6" t="s">
        <v>399</v>
      </c>
      <c r="B237" s="6" t="n">
        <v>24</v>
      </c>
      <c r="C237" s="6" t="s">
        <v>134</v>
      </c>
      <c r="D237" s="6" t="s">
        <v>140</v>
      </c>
      <c r="E237" s="6" t="s">
        <v>93</v>
      </c>
      <c r="F237" s="6" t="s">
        <v>164</v>
      </c>
      <c r="G237" s="6" t="n">
        <v>0</v>
      </c>
      <c r="H237" s="6" t="s">
        <v>82</v>
      </c>
      <c r="I237" s="6" t="s">
        <v>82</v>
      </c>
      <c r="J237" s="6" t="s">
        <v>58</v>
      </c>
      <c r="K237" s="6" t="n">
        <v>109561</v>
      </c>
      <c r="L237" s="6" t="n">
        <v>114157</v>
      </c>
      <c r="M237" s="6" t="s">
        <v>146</v>
      </c>
      <c r="N237" s="6" t="n">
        <v>49</v>
      </c>
      <c r="O237" s="6" t="s">
        <v>58</v>
      </c>
      <c r="P237" s="6" t="n">
        <v>3</v>
      </c>
      <c r="Q237" s="6" t="n">
        <v>-6.77</v>
      </c>
      <c r="R237" s="20" t="n">
        <f aca="false">(L237-K237)/K237</f>
        <v>0.0419492337601884</v>
      </c>
    </row>
    <row r="238" customFormat="false" ht="15" hidden="false" customHeight="false" outlineLevel="0" collapsed="false">
      <c r="A238" s="6" t="s">
        <v>400</v>
      </c>
      <c r="B238" s="6" t="n">
        <v>28</v>
      </c>
      <c r="C238" s="6" t="s">
        <v>134</v>
      </c>
      <c r="D238" s="6" t="s">
        <v>144</v>
      </c>
      <c r="E238" s="6" t="s">
        <v>87</v>
      </c>
      <c r="F238" s="6" t="s">
        <v>160</v>
      </c>
      <c r="G238" s="6" t="n">
        <v>3</v>
      </c>
      <c r="H238" s="6" t="s">
        <v>81</v>
      </c>
      <c r="I238" s="6" t="s">
        <v>80</v>
      </c>
      <c r="J238" s="6" t="s">
        <v>58</v>
      </c>
      <c r="K238" s="6" t="n">
        <v>102541</v>
      </c>
      <c r="L238" s="6" t="n">
        <v>121842</v>
      </c>
      <c r="M238" s="6" t="s">
        <v>142</v>
      </c>
      <c r="N238" s="6" t="n">
        <v>54</v>
      </c>
      <c r="O238" s="6" t="s">
        <v>60</v>
      </c>
      <c r="P238" s="6" t="n">
        <v>7</v>
      </c>
      <c r="Q238" s="6" t="n">
        <v>4.95</v>
      </c>
      <c r="R238" s="20" t="n">
        <f aca="false">(L238-K238)/K238</f>
        <v>0.188227148165124</v>
      </c>
    </row>
    <row r="239" customFormat="false" ht="15" hidden="false" customHeight="false" outlineLevel="0" collapsed="false">
      <c r="A239" s="6" t="s">
        <v>401</v>
      </c>
      <c r="B239" s="6" t="n">
        <v>25</v>
      </c>
      <c r="C239" s="6" t="s">
        <v>159</v>
      </c>
      <c r="D239" s="6" t="s">
        <v>144</v>
      </c>
      <c r="E239" s="6" t="s">
        <v>89</v>
      </c>
      <c r="F239" s="6" t="s">
        <v>162</v>
      </c>
      <c r="G239" s="6" t="n">
        <v>0</v>
      </c>
      <c r="H239" s="6" t="s">
        <v>81</v>
      </c>
      <c r="I239" s="6" t="s">
        <v>80</v>
      </c>
      <c r="J239" s="6" t="s">
        <v>60</v>
      </c>
      <c r="K239" s="6" t="n">
        <v>55963</v>
      </c>
      <c r="L239" s="6" t="n">
        <v>63255</v>
      </c>
      <c r="M239" s="6" t="s">
        <v>142</v>
      </c>
      <c r="N239" s="6" t="n">
        <v>52</v>
      </c>
      <c r="O239" s="6" t="s">
        <v>58</v>
      </c>
      <c r="P239" s="6" t="n">
        <v>3</v>
      </c>
      <c r="Q239" s="6" t="n">
        <v>10.29</v>
      </c>
      <c r="R239" s="20" t="n">
        <f aca="false">(L239-K239)/K239</f>
        <v>0.130300377034827</v>
      </c>
    </row>
    <row r="240" customFormat="false" ht="15" hidden="false" customHeight="false" outlineLevel="0" collapsed="false">
      <c r="A240" s="6" t="s">
        <v>402</v>
      </c>
      <c r="B240" s="6" t="n">
        <v>53</v>
      </c>
      <c r="C240" s="6" t="s">
        <v>134</v>
      </c>
      <c r="D240" s="6" t="s">
        <v>135</v>
      </c>
      <c r="E240" s="6" t="s">
        <v>87</v>
      </c>
      <c r="F240" s="6" t="s">
        <v>149</v>
      </c>
      <c r="G240" s="6" t="n">
        <v>31</v>
      </c>
      <c r="H240" s="6" t="s">
        <v>81</v>
      </c>
      <c r="I240" s="6" t="s">
        <v>82</v>
      </c>
      <c r="J240" s="6" t="s">
        <v>58</v>
      </c>
      <c r="K240" s="6" t="n">
        <v>102099</v>
      </c>
      <c r="L240" s="6" t="n">
        <v>92789</v>
      </c>
      <c r="M240" s="6" t="s">
        <v>142</v>
      </c>
      <c r="N240" s="6" t="n">
        <v>38</v>
      </c>
      <c r="O240" s="6" t="s">
        <v>60</v>
      </c>
      <c r="P240" s="6" t="n">
        <v>4</v>
      </c>
      <c r="Q240" s="6" t="n">
        <v>3.73</v>
      </c>
      <c r="R240" s="20" t="n">
        <f aca="false">(L240-K240)/K240</f>
        <v>-0.0911860057395273</v>
      </c>
    </row>
    <row r="241" customFormat="false" ht="15" hidden="false" customHeight="false" outlineLevel="0" collapsed="false">
      <c r="A241" s="6" t="s">
        <v>403</v>
      </c>
      <c r="B241" s="6" t="n">
        <v>36</v>
      </c>
      <c r="C241" s="6" t="s">
        <v>159</v>
      </c>
      <c r="D241" s="6" t="s">
        <v>148</v>
      </c>
      <c r="E241" s="6" t="s">
        <v>87</v>
      </c>
      <c r="F241" s="6" t="s">
        <v>149</v>
      </c>
      <c r="G241" s="6" t="n">
        <v>13</v>
      </c>
      <c r="H241" s="6" t="s">
        <v>82</v>
      </c>
      <c r="I241" s="6" t="s">
        <v>82</v>
      </c>
      <c r="J241" s="6" t="s">
        <v>60</v>
      </c>
      <c r="K241" s="6" t="n">
        <v>106707</v>
      </c>
      <c r="L241" s="6" t="n">
        <v>112365</v>
      </c>
      <c r="M241" s="6" t="s">
        <v>146</v>
      </c>
      <c r="N241" s="6" t="n">
        <v>53</v>
      </c>
      <c r="O241" s="6" t="s">
        <v>60</v>
      </c>
      <c r="P241" s="6" t="n">
        <v>4</v>
      </c>
      <c r="Q241" s="6" t="n">
        <v>-3.39</v>
      </c>
      <c r="R241" s="20" t="n">
        <f aca="false">(L241-K241)/K241</f>
        <v>0.0530237004132812</v>
      </c>
    </row>
    <row r="242" customFormat="false" ht="15" hidden="false" customHeight="false" outlineLevel="0" collapsed="false">
      <c r="A242" s="6" t="s">
        <v>404</v>
      </c>
      <c r="B242" s="6" t="n">
        <v>33</v>
      </c>
      <c r="C242" s="6" t="s">
        <v>134</v>
      </c>
      <c r="D242" s="6" t="s">
        <v>135</v>
      </c>
      <c r="E242" s="6" t="s">
        <v>90</v>
      </c>
      <c r="F242" s="6" t="s">
        <v>145</v>
      </c>
      <c r="G242" s="6" t="n">
        <v>9</v>
      </c>
      <c r="H242" s="6" t="s">
        <v>80</v>
      </c>
      <c r="I242" s="6" t="s">
        <v>80</v>
      </c>
      <c r="J242" s="6" t="s">
        <v>60</v>
      </c>
      <c r="K242" s="6" t="n">
        <v>78364</v>
      </c>
      <c r="L242" s="6" t="n">
        <v>79921</v>
      </c>
      <c r="M242" s="6" t="s">
        <v>142</v>
      </c>
      <c r="N242" s="6" t="n">
        <v>35</v>
      </c>
      <c r="O242" s="6" t="s">
        <v>60</v>
      </c>
      <c r="P242" s="6" t="n">
        <v>5</v>
      </c>
      <c r="Q242" s="6" t="n">
        <v>30.16</v>
      </c>
      <c r="R242" s="20" t="n">
        <f aca="false">(L242-K242)/K242</f>
        <v>0.0198688173140728</v>
      </c>
    </row>
    <row r="243" customFormat="false" ht="15" hidden="false" customHeight="false" outlineLevel="0" collapsed="false">
      <c r="A243" s="6" t="s">
        <v>405</v>
      </c>
      <c r="B243" s="6" t="n">
        <v>47</v>
      </c>
      <c r="C243" s="6" t="s">
        <v>159</v>
      </c>
      <c r="D243" s="6" t="s">
        <v>144</v>
      </c>
      <c r="E243" s="6" t="s">
        <v>92</v>
      </c>
      <c r="F243" s="6" t="s">
        <v>192</v>
      </c>
      <c r="G243" s="6" t="n">
        <v>22</v>
      </c>
      <c r="H243" s="6" t="s">
        <v>81</v>
      </c>
      <c r="I243" s="6" t="s">
        <v>80</v>
      </c>
      <c r="J243" s="6" t="s">
        <v>60</v>
      </c>
      <c r="K243" s="6" t="n">
        <v>53279</v>
      </c>
      <c r="L243" s="6" t="n">
        <v>57570</v>
      </c>
      <c r="M243" s="6" t="s">
        <v>142</v>
      </c>
      <c r="N243" s="6" t="n">
        <v>48</v>
      </c>
      <c r="O243" s="6" t="s">
        <v>60</v>
      </c>
      <c r="P243" s="6" t="n">
        <v>8</v>
      </c>
      <c r="Q243" s="6" t="n">
        <v>17.95</v>
      </c>
      <c r="R243" s="20" t="n">
        <f aca="false">(L243-K243)/K243</f>
        <v>0.0805382983914863</v>
      </c>
    </row>
    <row r="244" customFormat="false" ht="15" hidden="false" customHeight="false" outlineLevel="0" collapsed="false">
      <c r="A244" s="6" t="s">
        <v>406</v>
      </c>
      <c r="B244" s="6" t="n">
        <v>23</v>
      </c>
      <c r="C244" s="6" t="s">
        <v>139</v>
      </c>
      <c r="D244" s="6" t="s">
        <v>148</v>
      </c>
      <c r="E244" s="6" t="s">
        <v>91</v>
      </c>
      <c r="F244" s="6" t="s">
        <v>206</v>
      </c>
      <c r="G244" s="6" t="n">
        <v>0</v>
      </c>
      <c r="H244" s="6" t="s">
        <v>82</v>
      </c>
      <c r="I244" s="6" t="s">
        <v>82</v>
      </c>
      <c r="J244" s="6" t="s">
        <v>58</v>
      </c>
      <c r="K244" s="6" t="n">
        <v>94324</v>
      </c>
      <c r="L244" s="6" t="n">
        <v>79371</v>
      </c>
      <c r="M244" s="6" t="s">
        <v>137</v>
      </c>
      <c r="N244" s="6" t="n">
        <v>49</v>
      </c>
      <c r="O244" s="6" t="s">
        <v>58</v>
      </c>
      <c r="P244" s="6" t="n">
        <v>8</v>
      </c>
      <c r="Q244" s="6" t="n">
        <v>6.23</v>
      </c>
      <c r="R244" s="20" t="n">
        <f aca="false">(L244-K244)/K244</f>
        <v>-0.158528052245452</v>
      </c>
    </row>
    <row r="245" customFormat="false" ht="15" hidden="false" customHeight="false" outlineLevel="0" collapsed="false">
      <c r="A245" s="6" t="s">
        <v>407</v>
      </c>
      <c r="B245" s="6" t="n">
        <v>46</v>
      </c>
      <c r="C245" s="6" t="s">
        <v>134</v>
      </c>
      <c r="D245" s="6" t="s">
        <v>144</v>
      </c>
      <c r="E245" s="6" t="s">
        <v>88</v>
      </c>
      <c r="F245" s="6" t="s">
        <v>234</v>
      </c>
      <c r="G245" s="6" t="n">
        <v>21</v>
      </c>
      <c r="H245" s="6" t="s">
        <v>81</v>
      </c>
      <c r="I245" s="6" t="s">
        <v>80</v>
      </c>
      <c r="J245" s="6" t="s">
        <v>58</v>
      </c>
      <c r="K245" s="6" t="n">
        <v>99350</v>
      </c>
      <c r="L245" s="6" t="n">
        <v>94288</v>
      </c>
      <c r="M245" s="6" t="s">
        <v>142</v>
      </c>
      <c r="N245" s="6" t="n">
        <v>36</v>
      </c>
      <c r="O245" s="6" t="s">
        <v>58</v>
      </c>
      <c r="P245" s="6" t="n">
        <v>5</v>
      </c>
      <c r="Q245" s="6" t="n">
        <v>3.46</v>
      </c>
      <c r="R245" s="20" t="n">
        <f aca="false">(L245-K245)/K245</f>
        <v>-0.0509511826874685</v>
      </c>
    </row>
    <row r="246" customFormat="false" ht="15" hidden="false" customHeight="false" outlineLevel="0" collapsed="false">
      <c r="A246" s="6" t="s">
        <v>408</v>
      </c>
      <c r="B246" s="6" t="n">
        <v>58</v>
      </c>
      <c r="C246" s="6" t="s">
        <v>139</v>
      </c>
      <c r="D246" s="6" t="s">
        <v>148</v>
      </c>
      <c r="E246" s="6" t="s">
        <v>92</v>
      </c>
      <c r="F246" s="6" t="s">
        <v>136</v>
      </c>
      <c r="G246" s="6" t="n">
        <v>32</v>
      </c>
      <c r="H246" s="6" t="s">
        <v>81</v>
      </c>
      <c r="I246" s="6" t="s">
        <v>82</v>
      </c>
      <c r="J246" s="6" t="s">
        <v>60</v>
      </c>
      <c r="K246" s="6" t="n">
        <v>43760</v>
      </c>
      <c r="L246" s="6" t="n">
        <v>49538</v>
      </c>
      <c r="M246" s="6" t="s">
        <v>142</v>
      </c>
      <c r="N246" s="6" t="n">
        <v>47</v>
      </c>
      <c r="O246" s="6" t="s">
        <v>58</v>
      </c>
      <c r="P246" s="6" t="n">
        <v>9</v>
      </c>
      <c r="Q246" s="6" t="n">
        <v>-12.15</v>
      </c>
      <c r="R246" s="20" t="n">
        <f aca="false">(L246-K246)/K246</f>
        <v>0.132038391224863</v>
      </c>
    </row>
    <row r="247" customFormat="false" ht="15" hidden="false" customHeight="false" outlineLevel="0" collapsed="false">
      <c r="A247" s="6" t="s">
        <v>409</v>
      </c>
      <c r="B247" s="6" t="n">
        <v>52</v>
      </c>
      <c r="C247" s="6" t="s">
        <v>139</v>
      </c>
      <c r="D247" s="6" t="s">
        <v>144</v>
      </c>
      <c r="E247" s="6" t="s">
        <v>92</v>
      </c>
      <c r="F247" s="6" t="s">
        <v>222</v>
      </c>
      <c r="G247" s="6" t="n">
        <v>28</v>
      </c>
      <c r="H247" s="6" t="s">
        <v>80</v>
      </c>
      <c r="I247" s="6" t="s">
        <v>81</v>
      </c>
      <c r="J247" s="6" t="s">
        <v>58</v>
      </c>
      <c r="K247" s="6" t="n">
        <v>82233</v>
      </c>
      <c r="L247" s="6" t="n">
        <v>79027</v>
      </c>
      <c r="M247" s="6" t="s">
        <v>146</v>
      </c>
      <c r="N247" s="6" t="n">
        <v>44</v>
      </c>
      <c r="O247" s="6" t="s">
        <v>58</v>
      </c>
      <c r="P247" s="6" t="n">
        <v>7</v>
      </c>
      <c r="Q247" s="6" t="n">
        <v>-9.81</v>
      </c>
      <c r="R247" s="20" t="n">
        <f aca="false">(L247-K247)/K247</f>
        <v>-0.0389867814624299</v>
      </c>
    </row>
    <row r="248" customFormat="false" ht="15" hidden="false" customHeight="false" outlineLevel="0" collapsed="false">
      <c r="A248" s="6" t="s">
        <v>410</v>
      </c>
      <c r="B248" s="6" t="n">
        <v>31</v>
      </c>
      <c r="C248" s="6" t="s">
        <v>139</v>
      </c>
      <c r="D248" s="6" t="s">
        <v>144</v>
      </c>
      <c r="E248" s="6" t="s">
        <v>87</v>
      </c>
      <c r="F248" s="6" t="s">
        <v>160</v>
      </c>
      <c r="G248" s="6" t="n">
        <v>6</v>
      </c>
      <c r="H248" s="6" t="s">
        <v>81</v>
      </c>
      <c r="I248" s="6" t="s">
        <v>80</v>
      </c>
      <c r="J248" s="6" t="s">
        <v>58</v>
      </c>
      <c r="K248" s="6" t="n">
        <v>49816</v>
      </c>
      <c r="L248" s="6" t="n">
        <v>51273</v>
      </c>
      <c r="M248" s="6" t="s">
        <v>142</v>
      </c>
      <c r="N248" s="6" t="n">
        <v>45</v>
      </c>
      <c r="O248" s="6" t="s">
        <v>60</v>
      </c>
      <c r="P248" s="6" t="n">
        <v>6</v>
      </c>
      <c r="Q248" s="6" t="n">
        <v>-5.08</v>
      </c>
      <c r="R248" s="20" t="n">
        <f aca="false">(L248-K248)/K248</f>
        <v>0.0292476312831219</v>
      </c>
    </row>
    <row r="249" customFormat="false" ht="15" hidden="false" customHeight="false" outlineLevel="0" collapsed="false">
      <c r="A249" s="6" t="s">
        <v>411</v>
      </c>
      <c r="B249" s="6" t="n">
        <v>22</v>
      </c>
      <c r="C249" s="6" t="s">
        <v>139</v>
      </c>
      <c r="D249" s="6" t="s">
        <v>135</v>
      </c>
      <c r="E249" s="6" t="s">
        <v>91</v>
      </c>
      <c r="F249" s="6" t="s">
        <v>208</v>
      </c>
      <c r="G249" s="6" t="n">
        <v>0</v>
      </c>
      <c r="H249" s="6" t="s">
        <v>82</v>
      </c>
      <c r="I249" s="6" t="s">
        <v>80</v>
      </c>
      <c r="J249" s="6" t="s">
        <v>60</v>
      </c>
      <c r="K249" s="6" t="n">
        <v>112495</v>
      </c>
      <c r="L249" s="6" t="n">
        <v>114244</v>
      </c>
      <c r="M249" s="6" t="s">
        <v>142</v>
      </c>
      <c r="N249" s="6" t="n">
        <v>45</v>
      </c>
      <c r="O249" s="6" t="s">
        <v>60</v>
      </c>
      <c r="P249" s="6" t="n">
        <v>7</v>
      </c>
      <c r="Q249" s="6" t="n">
        <v>2.76</v>
      </c>
      <c r="R249" s="20" t="n">
        <f aca="false">(L249-K249)/K249</f>
        <v>0.0155473576603405</v>
      </c>
    </row>
    <row r="250" customFormat="false" ht="15" hidden="false" customHeight="false" outlineLevel="0" collapsed="false">
      <c r="A250" s="6" t="s">
        <v>412</v>
      </c>
      <c r="B250" s="6" t="n">
        <v>58</v>
      </c>
      <c r="C250" s="6" t="s">
        <v>139</v>
      </c>
      <c r="D250" s="6" t="s">
        <v>148</v>
      </c>
      <c r="E250" s="6" t="s">
        <v>92</v>
      </c>
      <c r="F250" s="6" t="s">
        <v>222</v>
      </c>
      <c r="G250" s="6" t="n">
        <v>33</v>
      </c>
      <c r="H250" s="6" t="s">
        <v>82</v>
      </c>
      <c r="I250" s="6" t="s">
        <v>80</v>
      </c>
      <c r="J250" s="6" t="s">
        <v>58</v>
      </c>
      <c r="K250" s="6" t="n">
        <v>39847</v>
      </c>
      <c r="L250" s="6" t="n">
        <v>51139</v>
      </c>
      <c r="M250" s="6" t="s">
        <v>142</v>
      </c>
      <c r="N250" s="6" t="n">
        <v>49</v>
      </c>
      <c r="O250" s="6" t="s">
        <v>60</v>
      </c>
      <c r="P250" s="6" t="n">
        <v>8</v>
      </c>
      <c r="Q250" s="6" t="n">
        <v>15.12</v>
      </c>
      <c r="R250" s="20" t="n">
        <f aca="false">(L250-K250)/K250</f>
        <v>0.28338394358421</v>
      </c>
    </row>
    <row r="251" customFormat="false" ht="15" hidden="false" customHeight="false" outlineLevel="0" collapsed="false">
      <c r="A251" s="6" t="s">
        <v>413</v>
      </c>
      <c r="B251" s="6" t="n">
        <v>41</v>
      </c>
      <c r="C251" s="6" t="s">
        <v>159</v>
      </c>
      <c r="D251" s="6" t="s">
        <v>135</v>
      </c>
      <c r="E251" s="6" t="s">
        <v>87</v>
      </c>
      <c r="F251" s="6" t="s">
        <v>155</v>
      </c>
      <c r="G251" s="6" t="n">
        <v>18</v>
      </c>
      <c r="H251" s="6" t="s">
        <v>81</v>
      </c>
      <c r="I251" s="6" t="s">
        <v>81</v>
      </c>
      <c r="J251" s="6" t="s">
        <v>58</v>
      </c>
      <c r="K251" s="6" t="n">
        <v>111537</v>
      </c>
      <c r="L251" s="6" t="n">
        <v>104498</v>
      </c>
      <c r="M251" s="6" t="s">
        <v>146</v>
      </c>
      <c r="N251" s="6" t="n">
        <v>35</v>
      </c>
      <c r="O251" s="6" t="s">
        <v>58</v>
      </c>
      <c r="P251" s="6" t="n">
        <v>9</v>
      </c>
      <c r="Q251" s="6" t="n">
        <v>-6.13</v>
      </c>
      <c r="R251" s="20" t="n">
        <f aca="false">(L251-K251)/K251</f>
        <v>-0.0631091028089334</v>
      </c>
    </row>
    <row r="252" customFormat="false" ht="15" hidden="false" customHeight="false" outlineLevel="0" collapsed="false">
      <c r="A252" s="6" t="s">
        <v>414</v>
      </c>
      <c r="B252" s="6" t="n">
        <v>56</v>
      </c>
      <c r="C252" s="6" t="s">
        <v>159</v>
      </c>
      <c r="D252" s="6" t="s">
        <v>144</v>
      </c>
      <c r="E252" s="6" t="s">
        <v>88</v>
      </c>
      <c r="F252" s="6" t="s">
        <v>179</v>
      </c>
      <c r="G252" s="6" t="n">
        <v>30</v>
      </c>
      <c r="H252" s="6" t="s">
        <v>82</v>
      </c>
      <c r="I252" s="6" t="s">
        <v>80</v>
      </c>
      <c r="J252" s="6" t="s">
        <v>60</v>
      </c>
      <c r="K252" s="6" t="n">
        <v>58404</v>
      </c>
      <c r="L252" s="6" t="n">
        <v>49826</v>
      </c>
      <c r="M252" s="6" t="s">
        <v>142</v>
      </c>
      <c r="N252" s="6" t="n">
        <v>53</v>
      </c>
      <c r="O252" s="6" t="s">
        <v>58</v>
      </c>
      <c r="P252" s="6" t="n">
        <v>8</v>
      </c>
      <c r="Q252" s="6" t="n">
        <v>-13.8</v>
      </c>
      <c r="R252" s="20" t="n">
        <f aca="false">(L252-K252)/K252</f>
        <v>-0.146873501814944</v>
      </c>
    </row>
    <row r="253" customFormat="false" ht="15" hidden="false" customHeight="false" outlineLevel="0" collapsed="false">
      <c r="A253" s="6" t="s">
        <v>415</v>
      </c>
      <c r="B253" s="6" t="n">
        <v>33</v>
      </c>
      <c r="C253" s="6" t="s">
        <v>139</v>
      </c>
      <c r="D253" s="6" t="s">
        <v>135</v>
      </c>
      <c r="E253" s="6" t="s">
        <v>87</v>
      </c>
      <c r="F253" s="6" t="s">
        <v>160</v>
      </c>
      <c r="G253" s="6" t="n">
        <v>10</v>
      </c>
      <c r="H253" s="6" t="s">
        <v>82</v>
      </c>
      <c r="I253" s="6" t="s">
        <v>80</v>
      </c>
      <c r="J253" s="6" t="s">
        <v>58</v>
      </c>
      <c r="K253" s="6" t="n">
        <v>71235</v>
      </c>
      <c r="L253" s="6" t="n">
        <v>99157</v>
      </c>
      <c r="M253" s="6" t="s">
        <v>142</v>
      </c>
      <c r="N253" s="6" t="n">
        <v>45</v>
      </c>
      <c r="O253" s="6" t="s">
        <v>60</v>
      </c>
      <c r="P253" s="6" t="n">
        <v>8</v>
      </c>
      <c r="Q253" s="6" t="n">
        <v>37.91</v>
      </c>
      <c r="R253" s="20" t="n">
        <f aca="false">(L253-K253)/K253</f>
        <v>0.391970239348635</v>
      </c>
    </row>
    <row r="254" customFormat="false" ht="15" hidden="false" customHeight="false" outlineLevel="0" collapsed="false">
      <c r="A254" s="6" t="s">
        <v>416</v>
      </c>
      <c r="B254" s="6" t="n">
        <v>55</v>
      </c>
      <c r="C254" s="6" t="s">
        <v>139</v>
      </c>
      <c r="D254" s="6" t="s">
        <v>144</v>
      </c>
      <c r="E254" s="6" t="s">
        <v>93</v>
      </c>
      <c r="F254" s="6" t="s">
        <v>181</v>
      </c>
      <c r="G254" s="6" t="n">
        <v>33</v>
      </c>
      <c r="H254" s="6" t="s">
        <v>80</v>
      </c>
      <c r="I254" s="6" t="s">
        <v>80</v>
      </c>
      <c r="J254" s="6" t="s">
        <v>58</v>
      </c>
      <c r="K254" s="6" t="n">
        <v>119393</v>
      </c>
      <c r="L254" s="6" t="n">
        <v>130850</v>
      </c>
      <c r="M254" s="6" t="s">
        <v>142</v>
      </c>
      <c r="N254" s="6" t="n">
        <v>49</v>
      </c>
      <c r="O254" s="6" t="s">
        <v>58</v>
      </c>
      <c r="P254" s="6" t="n">
        <v>5</v>
      </c>
      <c r="Q254" s="6" t="n">
        <v>14.81</v>
      </c>
      <c r="R254" s="20" t="n">
        <f aca="false">(L254-K254)/K254</f>
        <v>0.0959603996884239</v>
      </c>
    </row>
    <row r="255" customFormat="false" ht="15" hidden="false" customHeight="false" outlineLevel="0" collapsed="false">
      <c r="A255" s="6" t="s">
        <v>417</v>
      </c>
      <c r="B255" s="6" t="n">
        <v>44</v>
      </c>
      <c r="C255" s="6" t="s">
        <v>139</v>
      </c>
      <c r="D255" s="6" t="s">
        <v>148</v>
      </c>
      <c r="E255" s="6" t="s">
        <v>87</v>
      </c>
      <c r="F255" s="6" t="s">
        <v>160</v>
      </c>
      <c r="G255" s="6" t="n">
        <v>19</v>
      </c>
      <c r="H255" s="6" t="s">
        <v>81</v>
      </c>
      <c r="I255" s="6" t="s">
        <v>80</v>
      </c>
      <c r="J255" s="6" t="s">
        <v>60</v>
      </c>
      <c r="K255" s="6" t="n">
        <v>109141</v>
      </c>
      <c r="L255" s="6" t="n">
        <v>102799</v>
      </c>
      <c r="M255" s="6" t="s">
        <v>142</v>
      </c>
      <c r="N255" s="6" t="n">
        <v>47</v>
      </c>
      <c r="O255" s="6" t="s">
        <v>58</v>
      </c>
      <c r="P255" s="6" t="n">
        <v>6</v>
      </c>
      <c r="Q255" s="6" t="n">
        <v>-18.2</v>
      </c>
      <c r="R255" s="20" t="n">
        <f aca="false">(L255-K255)/K255</f>
        <v>-0.0581083185970442</v>
      </c>
    </row>
    <row r="256" customFormat="false" ht="15" hidden="false" customHeight="false" outlineLevel="0" collapsed="false">
      <c r="A256" s="6" t="s">
        <v>418</v>
      </c>
      <c r="B256" s="6" t="n">
        <v>37</v>
      </c>
      <c r="C256" s="6" t="s">
        <v>139</v>
      </c>
      <c r="D256" s="6" t="s">
        <v>140</v>
      </c>
      <c r="E256" s="6" t="s">
        <v>91</v>
      </c>
      <c r="F256" s="6" t="s">
        <v>208</v>
      </c>
      <c r="G256" s="6" t="n">
        <v>14</v>
      </c>
      <c r="H256" s="6" t="s">
        <v>80</v>
      </c>
      <c r="I256" s="6" t="s">
        <v>82</v>
      </c>
      <c r="J256" s="6" t="s">
        <v>60</v>
      </c>
      <c r="K256" s="6" t="n">
        <v>73753</v>
      </c>
      <c r="L256" s="6" t="n">
        <v>78173</v>
      </c>
      <c r="M256" s="6" t="s">
        <v>142</v>
      </c>
      <c r="N256" s="6" t="n">
        <v>35</v>
      </c>
      <c r="O256" s="6" t="s">
        <v>58</v>
      </c>
      <c r="P256" s="6" t="n">
        <v>9</v>
      </c>
      <c r="Q256" s="6" t="n">
        <v>-10.26</v>
      </c>
      <c r="R256" s="20" t="n">
        <f aca="false">(L256-K256)/K256</f>
        <v>0.0599297655688582</v>
      </c>
    </row>
    <row r="257" customFormat="false" ht="15" hidden="false" customHeight="false" outlineLevel="0" collapsed="false">
      <c r="A257" s="6" t="s">
        <v>419</v>
      </c>
      <c r="B257" s="6" t="n">
        <v>29</v>
      </c>
      <c r="C257" s="6" t="s">
        <v>139</v>
      </c>
      <c r="D257" s="6" t="s">
        <v>140</v>
      </c>
      <c r="E257" s="6" t="s">
        <v>88</v>
      </c>
      <c r="F257" s="6" t="s">
        <v>157</v>
      </c>
      <c r="G257" s="6" t="n">
        <v>3</v>
      </c>
      <c r="H257" s="6" t="s">
        <v>82</v>
      </c>
      <c r="I257" s="6" t="s">
        <v>80</v>
      </c>
      <c r="J257" s="6" t="s">
        <v>60</v>
      </c>
      <c r="K257" s="6" t="n">
        <v>43669</v>
      </c>
      <c r="L257" s="6" t="n">
        <v>57681</v>
      </c>
      <c r="M257" s="6" t="s">
        <v>142</v>
      </c>
      <c r="N257" s="6" t="n">
        <v>36</v>
      </c>
      <c r="O257" s="6" t="s">
        <v>60</v>
      </c>
      <c r="P257" s="6" t="n">
        <v>3</v>
      </c>
      <c r="Q257" s="6" t="n">
        <v>-9.37</v>
      </c>
      <c r="R257" s="20" t="n">
        <f aca="false">(L257-K257)/K257</f>
        <v>0.320868350546154</v>
      </c>
    </row>
    <row r="258" customFormat="false" ht="15" hidden="false" customHeight="false" outlineLevel="0" collapsed="false">
      <c r="A258" s="6" t="s">
        <v>420</v>
      </c>
      <c r="B258" s="6" t="n">
        <v>47</v>
      </c>
      <c r="C258" s="6" t="s">
        <v>134</v>
      </c>
      <c r="D258" s="6" t="s">
        <v>135</v>
      </c>
      <c r="E258" s="6" t="s">
        <v>88</v>
      </c>
      <c r="F258" s="6" t="s">
        <v>179</v>
      </c>
      <c r="G258" s="6" t="n">
        <v>23</v>
      </c>
      <c r="H258" s="6" t="s">
        <v>80</v>
      </c>
      <c r="I258" s="6" t="s">
        <v>82</v>
      </c>
      <c r="J258" s="6" t="s">
        <v>58</v>
      </c>
      <c r="K258" s="6" t="n">
        <v>118009</v>
      </c>
      <c r="L258" s="6" t="n">
        <v>112418</v>
      </c>
      <c r="M258" s="6" t="s">
        <v>142</v>
      </c>
      <c r="N258" s="6" t="n">
        <v>42</v>
      </c>
      <c r="O258" s="6" t="s">
        <v>60</v>
      </c>
      <c r="P258" s="6" t="n">
        <v>9</v>
      </c>
      <c r="Q258" s="6" t="n">
        <v>-5.35</v>
      </c>
      <c r="R258" s="20" t="n">
        <f aca="false">(L258-K258)/K258</f>
        <v>-0.0473777423755815</v>
      </c>
    </row>
    <row r="259" customFormat="false" ht="15" hidden="false" customHeight="false" outlineLevel="0" collapsed="false">
      <c r="A259" s="6" t="s">
        <v>421</v>
      </c>
      <c r="B259" s="6" t="n">
        <v>33</v>
      </c>
      <c r="C259" s="6" t="s">
        <v>139</v>
      </c>
      <c r="D259" s="6" t="s">
        <v>135</v>
      </c>
      <c r="E259" s="6" t="s">
        <v>92</v>
      </c>
      <c r="F259" s="6" t="s">
        <v>136</v>
      </c>
      <c r="G259" s="6" t="n">
        <v>9</v>
      </c>
      <c r="H259" s="6" t="s">
        <v>81</v>
      </c>
      <c r="I259" s="6" t="s">
        <v>82</v>
      </c>
      <c r="J259" s="6" t="s">
        <v>60</v>
      </c>
      <c r="K259" s="6" t="n">
        <v>72823</v>
      </c>
      <c r="L259" s="6" t="n">
        <v>82920</v>
      </c>
      <c r="M259" s="6" t="s">
        <v>142</v>
      </c>
      <c r="N259" s="6" t="n">
        <v>35</v>
      </c>
      <c r="O259" s="6" t="s">
        <v>58</v>
      </c>
      <c r="P259" s="6" t="n">
        <v>5</v>
      </c>
      <c r="Q259" s="6" t="n">
        <v>35.12</v>
      </c>
      <c r="R259" s="20" t="n">
        <f aca="false">(L259-K259)/K259</f>
        <v>0.138651250291803</v>
      </c>
    </row>
    <row r="260" customFormat="false" ht="15" hidden="false" customHeight="false" outlineLevel="0" collapsed="false">
      <c r="A260" s="6" t="s">
        <v>422</v>
      </c>
      <c r="B260" s="6" t="n">
        <v>52</v>
      </c>
      <c r="C260" s="6" t="s">
        <v>139</v>
      </c>
      <c r="D260" s="6" t="s">
        <v>148</v>
      </c>
      <c r="E260" s="6" t="s">
        <v>89</v>
      </c>
      <c r="F260" s="6" t="s">
        <v>153</v>
      </c>
      <c r="G260" s="6" t="n">
        <v>26</v>
      </c>
      <c r="H260" s="6" t="s">
        <v>81</v>
      </c>
      <c r="I260" s="6" t="s">
        <v>81</v>
      </c>
      <c r="J260" s="6" t="s">
        <v>58</v>
      </c>
      <c r="K260" s="6" t="n">
        <v>72287</v>
      </c>
      <c r="L260" s="6" t="n">
        <v>79181</v>
      </c>
      <c r="M260" s="6" t="s">
        <v>146</v>
      </c>
      <c r="N260" s="6" t="n">
        <v>36</v>
      </c>
      <c r="O260" s="6" t="s">
        <v>60</v>
      </c>
      <c r="P260" s="6" t="n">
        <v>4</v>
      </c>
      <c r="Q260" s="6" t="n">
        <v>-13.6</v>
      </c>
      <c r="R260" s="20" t="n">
        <f aca="false">(L260-K260)/K260</f>
        <v>0.0953698452003818</v>
      </c>
    </row>
    <row r="261" customFormat="false" ht="15" hidden="false" customHeight="false" outlineLevel="0" collapsed="false">
      <c r="A261" s="6" t="s">
        <v>423</v>
      </c>
      <c r="B261" s="6" t="n">
        <v>27</v>
      </c>
      <c r="C261" s="6" t="s">
        <v>139</v>
      </c>
      <c r="D261" s="6" t="s">
        <v>144</v>
      </c>
      <c r="E261" s="6" t="s">
        <v>90</v>
      </c>
      <c r="F261" s="6" t="s">
        <v>145</v>
      </c>
      <c r="G261" s="6" t="n">
        <v>5</v>
      </c>
      <c r="H261" s="6" t="s">
        <v>82</v>
      </c>
      <c r="I261" s="6" t="s">
        <v>80</v>
      </c>
      <c r="J261" s="6" t="s">
        <v>58</v>
      </c>
      <c r="K261" s="6" t="n">
        <v>90576</v>
      </c>
      <c r="L261" s="6" t="n">
        <v>94574</v>
      </c>
      <c r="M261" s="6" t="s">
        <v>142</v>
      </c>
      <c r="N261" s="6" t="n">
        <v>43</v>
      </c>
      <c r="O261" s="6" t="s">
        <v>58</v>
      </c>
      <c r="P261" s="6" t="n">
        <v>7</v>
      </c>
      <c r="Q261" s="6" t="n">
        <v>32.25</v>
      </c>
      <c r="R261" s="20" t="n">
        <f aca="false">(L261-K261)/K261</f>
        <v>0.0441397279632574</v>
      </c>
    </row>
    <row r="262" customFormat="false" ht="15" hidden="false" customHeight="false" outlineLevel="0" collapsed="false">
      <c r="A262" s="6" t="s">
        <v>424</v>
      </c>
      <c r="B262" s="6" t="n">
        <v>34</v>
      </c>
      <c r="C262" s="6" t="s">
        <v>159</v>
      </c>
      <c r="D262" s="6" t="s">
        <v>135</v>
      </c>
      <c r="E262" s="6" t="s">
        <v>91</v>
      </c>
      <c r="F262" s="6" t="s">
        <v>141</v>
      </c>
      <c r="G262" s="6" t="n">
        <v>12</v>
      </c>
      <c r="H262" s="6" t="s">
        <v>80</v>
      </c>
      <c r="I262" s="6" t="s">
        <v>80</v>
      </c>
      <c r="J262" s="6" t="s">
        <v>60</v>
      </c>
      <c r="K262" s="6" t="n">
        <v>69882</v>
      </c>
      <c r="L262" s="6" t="n">
        <v>75596</v>
      </c>
      <c r="M262" s="6" t="s">
        <v>142</v>
      </c>
      <c r="N262" s="6" t="n">
        <v>48</v>
      </c>
      <c r="O262" s="6" t="s">
        <v>60</v>
      </c>
      <c r="P262" s="6" t="n">
        <v>6</v>
      </c>
      <c r="Q262" s="6" t="n">
        <v>4.25</v>
      </c>
      <c r="R262" s="20" t="n">
        <f aca="false">(L262-K262)/K262</f>
        <v>0.0817664062276409</v>
      </c>
    </row>
    <row r="263" customFormat="false" ht="15" hidden="false" customHeight="false" outlineLevel="0" collapsed="false">
      <c r="A263" s="6" t="s">
        <v>425</v>
      </c>
      <c r="B263" s="6" t="n">
        <v>59</v>
      </c>
      <c r="C263" s="6" t="s">
        <v>159</v>
      </c>
      <c r="D263" s="6" t="s">
        <v>144</v>
      </c>
      <c r="E263" s="6" t="s">
        <v>93</v>
      </c>
      <c r="F263" s="6" t="s">
        <v>164</v>
      </c>
      <c r="G263" s="6" t="n">
        <v>35</v>
      </c>
      <c r="H263" s="6" t="s">
        <v>81</v>
      </c>
      <c r="I263" s="6" t="s">
        <v>80</v>
      </c>
      <c r="J263" s="6" t="s">
        <v>60</v>
      </c>
      <c r="K263" s="6" t="n">
        <v>94965</v>
      </c>
      <c r="L263" s="6" t="n">
        <v>111148</v>
      </c>
      <c r="M263" s="6" t="s">
        <v>142</v>
      </c>
      <c r="N263" s="6" t="n">
        <v>53</v>
      </c>
      <c r="O263" s="6" t="s">
        <v>58</v>
      </c>
      <c r="P263" s="6" t="n">
        <v>7</v>
      </c>
      <c r="Q263" s="6" t="n">
        <v>32.67</v>
      </c>
      <c r="R263" s="20" t="n">
        <f aca="false">(L263-K263)/K263</f>
        <v>0.170410151108303</v>
      </c>
    </row>
    <row r="264" customFormat="false" ht="15" hidden="false" customHeight="false" outlineLevel="0" collapsed="false">
      <c r="A264" s="6" t="s">
        <v>426</v>
      </c>
      <c r="B264" s="6" t="n">
        <v>32</v>
      </c>
      <c r="C264" s="6" t="s">
        <v>139</v>
      </c>
      <c r="D264" s="6" t="s">
        <v>135</v>
      </c>
      <c r="E264" s="6" t="s">
        <v>93</v>
      </c>
      <c r="F264" s="6" t="s">
        <v>164</v>
      </c>
      <c r="G264" s="6" t="n">
        <v>10</v>
      </c>
      <c r="H264" s="6" t="s">
        <v>82</v>
      </c>
      <c r="I264" s="6" t="s">
        <v>80</v>
      </c>
      <c r="J264" s="6" t="s">
        <v>60</v>
      </c>
      <c r="K264" s="6" t="n">
        <v>31367</v>
      </c>
      <c r="L264" s="6" t="n">
        <v>30680</v>
      </c>
      <c r="M264" s="6" t="s">
        <v>142</v>
      </c>
      <c r="N264" s="6" t="n">
        <v>49</v>
      </c>
      <c r="O264" s="6" t="s">
        <v>60</v>
      </c>
      <c r="P264" s="6" t="n">
        <v>3</v>
      </c>
      <c r="Q264" s="6" t="n">
        <v>18.94</v>
      </c>
      <c r="R264" s="20" t="n">
        <f aca="false">(L264-K264)/K264</f>
        <v>-0.0219019989160583</v>
      </c>
    </row>
    <row r="265" customFormat="false" ht="15" hidden="false" customHeight="false" outlineLevel="0" collapsed="false">
      <c r="A265" s="6" t="s">
        <v>427</v>
      </c>
      <c r="B265" s="6" t="n">
        <v>33</v>
      </c>
      <c r="C265" s="6" t="s">
        <v>139</v>
      </c>
      <c r="D265" s="6" t="s">
        <v>135</v>
      </c>
      <c r="E265" s="6" t="s">
        <v>89</v>
      </c>
      <c r="F265" s="6" t="s">
        <v>151</v>
      </c>
      <c r="G265" s="6" t="n">
        <v>10</v>
      </c>
      <c r="H265" s="6" t="s">
        <v>82</v>
      </c>
      <c r="I265" s="6" t="s">
        <v>81</v>
      </c>
      <c r="J265" s="6" t="s">
        <v>60</v>
      </c>
      <c r="K265" s="6" t="n">
        <v>39108</v>
      </c>
      <c r="L265" s="6" t="n">
        <v>40212</v>
      </c>
      <c r="M265" s="6" t="s">
        <v>146</v>
      </c>
      <c r="N265" s="6" t="n">
        <v>35</v>
      </c>
      <c r="O265" s="6" t="s">
        <v>58</v>
      </c>
      <c r="P265" s="6" t="n">
        <v>3</v>
      </c>
      <c r="Q265" s="6" t="n">
        <v>12.91</v>
      </c>
      <c r="R265" s="20" t="n">
        <f aca="false">(L265-K265)/K265</f>
        <v>0.0282295182571341</v>
      </c>
    </row>
    <row r="266" customFormat="false" ht="15" hidden="false" customHeight="false" outlineLevel="0" collapsed="false">
      <c r="A266" s="6" t="s">
        <v>428</v>
      </c>
      <c r="B266" s="6" t="n">
        <v>53</v>
      </c>
      <c r="C266" s="6" t="s">
        <v>134</v>
      </c>
      <c r="D266" s="6" t="s">
        <v>140</v>
      </c>
      <c r="E266" s="6" t="s">
        <v>88</v>
      </c>
      <c r="F266" s="6" t="s">
        <v>157</v>
      </c>
      <c r="G266" s="6" t="n">
        <v>31</v>
      </c>
      <c r="H266" s="6" t="s">
        <v>80</v>
      </c>
      <c r="I266" s="6" t="s">
        <v>80</v>
      </c>
      <c r="J266" s="6" t="s">
        <v>60</v>
      </c>
      <c r="K266" s="6" t="n">
        <v>52443</v>
      </c>
      <c r="L266" s="6" t="n">
        <v>49936</v>
      </c>
      <c r="M266" s="6" t="s">
        <v>142</v>
      </c>
      <c r="N266" s="6" t="n">
        <v>42</v>
      </c>
      <c r="O266" s="6" t="s">
        <v>58</v>
      </c>
      <c r="P266" s="6" t="n">
        <v>8</v>
      </c>
      <c r="Q266" s="6" t="n">
        <v>15.22</v>
      </c>
      <c r="R266" s="20" t="n">
        <f aca="false">(L266-K266)/K266</f>
        <v>-0.0478042827450756</v>
      </c>
    </row>
    <row r="267" customFormat="false" ht="15" hidden="false" customHeight="false" outlineLevel="0" collapsed="false">
      <c r="A267" s="6" t="s">
        <v>429</v>
      </c>
      <c r="B267" s="6" t="n">
        <v>35</v>
      </c>
      <c r="C267" s="6" t="s">
        <v>134</v>
      </c>
      <c r="D267" s="6" t="s">
        <v>140</v>
      </c>
      <c r="E267" s="6" t="s">
        <v>87</v>
      </c>
      <c r="F267" s="6" t="s">
        <v>149</v>
      </c>
      <c r="G267" s="6" t="n">
        <v>12</v>
      </c>
      <c r="H267" s="6" t="s">
        <v>81</v>
      </c>
      <c r="I267" s="6" t="s">
        <v>80</v>
      </c>
      <c r="J267" s="6" t="s">
        <v>58</v>
      </c>
      <c r="K267" s="6" t="n">
        <v>55537</v>
      </c>
      <c r="L267" s="6" t="n">
        <v>57705</v>
      </c>
      <c r="M267" s="6" t="s">
        <v>142</v>
      </c>
      <c r="N267" s="6" t="n">
        <v>42</v>
      </c>
      <c r="O267" s="6" t="s">
        <v>58</v>
      </c>
      <c r="P267" s="6" t="n">
        <v>4</v>
      </c>
      <c r="Q267" s="6" t="n">
        <v>2.79</v>
      </c>
      <c r="R267" s="20" t="n">
        <f aca="false">(L267-K267)/K267</f>
        <v>0.0390370383708159</v>
      </c>
    </row>
    <row r="268" customFormat="false" ht="15" hidden="false" customHeight="false" outlineLevel="0" collapsed="false">
      <c r="A268" s="6" t="s">
        <v>430</v>
      </c>
      <c r="B268" s="6" t="n">
        <v>27</v>
      </c>
      <c r="C268" s="6" t="s">
        <v>134</v>
      </c>
      <c r="D268" s="6" t="s">
        <v>144</v>
      </c>
      <c r="E268" s="6" t="s">
        <v>87</v>
      </c>
      <c r="F268" s="6" t="s">
        <v>149</v>
      </c>
      <c r="G268" s="6" t="n">
        <v>2</v>
      </c>
      <c r="H268" s="6" t="s">
        <v>82</v>
      </c>
      <c r="I268" s="6" t="s">
        <v>82</v>
      </c>
      <c r="J268" s="6" t="s">
        <v>58</v>
      </c>
      <c r="K268" s="6" t="n">
        <v>61348</v>
      </c>
      <c r="L268" s="6" t="n">
        <v>79032</v>
      </c>
      <c r="M268" s="6" t="s">
        <v>137</v>
      </c>
      <c r="N268" s="6" t="n">
        <v>39</v>
      </c>
      <c r="O268" s="6" t="s">
        <v>58</v>
      </c>
      <c r="P268" s="6" t="n">
        <v>4</v>
      </c>
      <c r="Q268" s="6" t="n">
        <v>-13.46</v>
      </c>
      <c r="R268" s="20" t="n">
        <f aca="false">(L268-K268)/K268</f>
        <v>0.288257155897503</v>
      </c>
    </row>
    <row r="269" customFormat="false" ht="15" hidden="false" customHeight="false" outlineLevel="0" collapsed="false">
      <c r="A269" s="6" t="s">
        <v>431</v>
      </c>
      <c r="B269" s="6" t="n">
        <v>58</v>
      </c>
      <c r="C269" s="6" t="s">
        <v>139</v>
      </c>
      <c r="D269" s="6" t="s">
        <v>148</v>
      </c>
      <c r="E269" s="6" t="s">
        <v>93</v>
      </c>
      <c r="F269" s="6" t="s">
        <v>197</v>
      </c>
      <c r="G269" s="6" t="n">
        <v>33</v>
      </c>
      <c r="H269" s="6" t="s">
        <v>81</v>
      </c>
      <c r="I269" s="6" t="s">
        <v>82</v>
      </c>
      <c r="J269" s="6" t="s">
        <v>58</v>
      </c>
      <c r="K269" s="6" t="n">
        <v>76819</v>
      </c>
      <c r="L269" s="6" t="n">
        <v>83146</v>
      </c>
      <c r="M269" s="6" t="s">
        <v>142</v>
      </c>
      <c r="N269" s="6" t="n">
        <v>40</v>
      </c>
      <c r="O269" s="6" t="s">
        <v>60</v>
      </c>
      <c r="P269" s="6" t="n">
        <v>8</v>
      </c>
      <c r="Q269" s="6" t="n">
        <v>25.89</v>
      </c>
      <c r="R269" s="20" t="n">
        <f aca="false">(L269-K269)/K269</f>
        <v>0.0823624363764173</v>
      </c>
    </row>
    <row r="270" customFormat="false" ht="15" hidden="false" customHeight="false" outlineLevel="0" collapsed="false">
      <c r="A270" s="6" t="s">
        <v>432</v>
      </c>
      <c r="B270" s="6" t="n">
        <v>42</v>
      </c>
      <c r="C270" s="6" t="s">
        <v>134</v>
      </c>
      <c r="D270" s="6" t="s">
        <v>144</v>
      </c>
      <c r="E270" s="6" t="s">
        <v>91</v>
      </c>
      <c r="F270" s="6" t="s">
        <v>206</v>
      </c>
      <c r="G270" s="6" t="n">
        <v>18</v>
      </c>
      <c r="H270" s="6" t="s">
        <v>80</v>
      </c>
      <c r="I270" s="6" t="s">
        <v>80</v>
      </c>
      <c r="J270" s="6" t="s">
        <v>60</v>
      </c>
      <c r="K270" s="6" t="n">
        <v>99967</v>
      </c>
      <c r="L270" s="6" t="n">
        <v>104677</v>
      </c>
      <c r="M270" s="6" t="s">
        <v>142</v>
      </c>
      <c r="N270" s="6" t="n">
        <v>38</v>
      </c>
      <c r="O270" s="6" t="s">
        <v>58</v>
      </c>
      <c r="P270" s="6" t="n">
        <v>5</v>
      </c>
      <c r="Q270" s="6" t="n">
        <v>33.88</v>
      </c>
      <c r="R270" s="20" t="n">
        <f aca="false">(L270-K270)/K270</f>
        <v>0.0471155481308832</v>
      </c>
    </row>
    <row r="271" customFormat="false" ht="15" hidden="false" customHeight="false" outlineLevel="0" collapsed="false">
      <c r="A271" s="6" t="s">
        <v>433</v>
      </c>
      <c r="B271" s="6" t="n">
        <v>36</v>
      </c>
      <c r="C271" s="6" t="s">
        <v>159</v>
      </c>
      <c r="D271" s="6" t="s">
        <v>140</v>
      </c>
      <c r="E271" s="6" t="s">
        <v>90</v>
      </c>
      <c r="F271" s="6" t="s">
        <v>202</v>
      </c>
      <c r="G271" s="6" t="n">
        <v>11</v>
      </c>
      <c r="H271" s="6" t="s">
        <v>82</v>
      </c>
      <c r="I271" s="6" t="s">
        <v>82</v>
      </c>
      <c r="J271" s="6" t="s">
        <v>60</v>
      </c>
      <c r="K271" s="6" t="n">
        <v>108612</v>
      </c>
      <c r="L271" s="6" t="n">
        <v>118116</v>
      </c>
      <c r="M271" s="6" t="s">
        <v>146</v>
      </c>
      <c r="N271" s="6" t="n">
        <v>48</v>
      </c>
      <c r="O271" s="6" t="s">
        <v>58</v>
      </c>
      <c r="P271" s="6" t="n">
        <v>7</v>
      </c>
      <c r="Q271" s="6" t="n">
        <v>-8.33</v>
      </c>
      <c r="R271" s="20" t="n">
        <f aca="false">(L271-K271)/K271</f>
        <v>0.087504143188598</v>
      </c>
    </row>
    <row r="272" customFormat="false" ht="15" hidden="false" customHeight="false" outlineLevel="0" collapsed="false">
      <c r="A272" s="6" t="s">
        <v>434</v>
      </c>
      <c r="B272" s="6" t="n">
        <v>25</v>
      </c>
      <c r="C272" s="6" t="s">
        <v>134</v>
      </c>
      <c r="D272" s="6" t="s">
        <v>148</v>
      </c>
      <c r="E272" s="6" t="s">
        <v>92</v>
      </c>
      <c r="F272" s="6" t="s">
        <v>192</v>
      </c>
      <c r="G272" s="6" t="n">
        <v>0</v>
      </c>
      <c r="H272" s="6" t="s">
        <v>82</v>
      </c>
      <c r="I272" s="6" t="s">
        <v>80</v>
      </c>
      <c r="J272" s="6" t="s">
        <v>60</v>
      </c>
      <c r="K272" s="6" t="n">
        <v>66378</v>
      </c>
      <c r="L272" s="6" t="n">
        <v>90125</v>
      </c>
      <c r="M272" s="6" t="s">
        <v>142</v>
      </c>
      <c r="N272" s="6" t="n">
        <v>42</v>
      </c>
      <c r="O272" s="6" t="s">
        <v>60</v>
      </c>
      <c r="P272" s="6" t="n">
        <v>4</v>
      </c>
      <c r="Q272" s="6" t="n">
        <v>11.94</v>
      </c>
      <c r="R272" s="20" t="n">
        <f aca="false">(L272-K272)/K272</f>
        <v>0.35775407514538</v>
      </c>
    </row>
    <row r="273" customFormat="false" ht="15" hidden="false" customHeight="false" outlineLevel="0" collapsed="false">
      <c r="A273" s="6" t="s">
        <v>435</v>
      </c>
      <c r="B273" s="6" t="n">
        <v>57</v>
      </c>
      <c r="C273" s="6" t="s">
        <v>139</v>
      </c>
      <c r="D273" s="6" t="s">
        <v>144</v>
      </c>
      <c r="E273" s="6" t="s">
        <v>90</v>
      </c>
      <c r="F273" s="6" t="s">
        <v>145</v>
      </c>
      <c r="G273" s="6" t="n">
        <v>34</v>
      </c>
      <c r="H273" s="6" t="s">
        <v>82</v>
      </c>
      <c r="I273" s="6" t="s">
        <v>81</v>
      </c>
      <c r="J273" s="6" t="s">
        <v>60</v>
      </c>
      <c r="K273" s="6" t="n">
        <v>42289</v>
      </c>
      <c r="L273" s="6" t="n">
        <v>40748</v>
      </c>
      <c r="M273" s="6" t="s">
        <v>146</v>
      </c>
      <c r="N273" s="6" t="n">
        <v>45</v>
      </c>
      <c r="O273" s="6" t="s">
        <v>58</v>
      </c>
      <c r="P273" s="6" t="n">
        <v>9</v>
      </c>
      <c r="Q273" s="6" t="n">
        <v>4.81</v>
      </c>
      <c r="R273" s="20" t="n">
        <f aca="false">(L273-K273)/K273</f>
        <v>-0.0364397361015867</v>
      </c>
    </row>
    <row r="274" customFormat="false" ht="15" hidden="false" customHeight="false" outlineLevel="0" collapsed="false">
      <c r="A274" s="6" t="s">
        <v>436</v>
      </c>
      <c r="B274" s="6" t="n">
        <v>52</v>
      </c>
      <c r="C274" s="6" t="s">
        <v>134</v>
      </c>
      <c r="D274" s="6" t="s">
        <v>144</v>
      </c>
      <c r="E274" s="6" t="s">
        <v>90</v>
      </c>
      <c r="F274" s="6" t="s">
        <v>236</v>
      </c>
      <c r="G274" s="6" t="n">
        <v>27</v>
      </c>
      <c r="H274" s="6" t="s">
        <v>81</v>
      </c>
      <c r="I274" s="6" t="s">
        <v>80</v>
      </c>
      <c r="J274" s="6" t="s">
        <v>58</v>
      </c>
      <c r="K274" s="6" t="n">
        <v>78713</v>
      </c>
      <c r="L274" s="6" t="n">
        <v>89727</v>
      </c>
      <c r="M274" s="6" t="s">
        <v>142</v>
      </c>
      <c r="N274" s="6" t="n">
        <v>51</v>
      </c>
      <c r="O274" s="6" t="s">
        <v>60</v>
      </c>
      <c r="P274" s="6" t="n">
        <v>4</v>
      </c>
      <c r="Q274" s="6" t="n">
        <v>-8.92</v>
      </c>
      <c r="R274" s="20" t="n">
        <f aca="false">(L274-K274)/K274</f>
        <v>0.139926060498266</v>
      </c>
    </row>
    <row r="275" customFormat="false" ht="15" hidden="false" customHeight="false" outlineLevel="0" collapsed="false">
      <c r="A275" s="6" t="s">
        <v>437</v>
      </c>
      <c r="B275" s="6" t="n">
        <v>57</v>
      </c>
      <c r="C275" s="6" t="s">
        <v>139</v>
      </c>
      <c r="D275" s="6" t="s">
        <v>135</v>
      </c>
      <c r="E275" s="6" t="s">
        <v>87</v>
      </c>
      <c r="F275" s="6" t="s">
        <v>155</v>
      </c>
      <c r="G275" s="6" t="n">
        <v>32</v>
      </c>
      <c r="H275" s="6" t="s">
        <v>80</v>
      </c>
      <c r="I275" s="6" t="s">
        <v>80</v>
      </c>
      <c r="J275" s="6" t="s">
        <v>60</v>
      </c>
      <c r="K275" s="6" t="n">
        <v>42149</v>
      </c>
      <c r="L275" s="6" t="n">
        <v>45137</v>
      </c>
      <c r="M275" s="6" t="s">
        <v>142</v>
      </c>
      <c r="N275" s="6" t="n">
        <v>47</v>
      </c>
      <c r="O275" s="6" t="s">
        <v>58</v>
      </c>
      <c r="P275" s="6" t="n">
        <v>4</v>
      </c>
      <c r="Q275" s="6" t="n">
        <v>13.01</v>
      </c>
      <c r="R275" s="20" t="n">
        <f aca="false">(L275-K275)/K275</f>
        <v>0.0708913615981399</v>
      </c>
    </row>
    <row r="276" customFormat="false" ht="15" hidden="false" customHeight="false" outlineLevel="0" collapsed="false">
      <c r="A276" s="6" t="s">
        <v>438</v>
      </c>
      <c r="B276" s="6" t="n">
        <v>34</v>
      </c>
      <c r="C276" s="6" t="s">
        <v>139</v>
      </c>
      <c r="D276" s="6" t="s">
        <v>135</v>
      </c>
      <c r="E276" s="6" t="s">
        <v>91</v>
      </c>
      <c r="F276" s="6" t="s">
        <v>208</v>
      </c>
      <c r="G276" s="6" t="n">
        <v>8</v>
      </c>
      <c r="H276" s="6" t="s">
        <v>82</v>
      </c>
      <c r="I276" s="6" t="s">
        <v>81</v>
      </c>
      <c r="J276" s="6" t="s">
        <v>60</v>
      </c>
      <c r="K276" s="6" t="n">
        <v>118789</v>
      </c>
      <c r="L276" s="6" t="n">
        <v>137334</v>
      </c>
      <c r="M276" s="6" t="s">
        <v>146</v>
      </c>
      <c r="N276" s="6" t="n">
        <v>49</v>
      </c>
      <c r="O276" s="6" t="s">
        <v>60</v>
      </c>
      <c r="P276" s="6" t="n">
        <v>4</v>
      </c>
      <c r="Q276" s="6" t="n">
        <v>27.62</v>
      </c>
      <c r="R276" s="20" t="n">
        <f aca="false">(L276-K276)/K276</f>
        <v>0.156117148894258</v>
      </c>
    </row>
    <row r="277" customFormat="false" ht="15" hidden="false" customHeight="false" outlineLevel="0" collapsed="false">
      <c r="A277" s="6" t="s">
        <v>439</v>
      </c>
      <c r="B277" s="6" t="n">
        <v>45</v>
      </c>
      <c r="C277" s="6" t="s">
        <v>159</v>
      </c>
      <c r="D277" s="6" t="s">
        <v>144</v>
      </c>
      <c r="E277" s="6" t="s">
        <v>90</v>
      </c>
      <c r="F277" s="6" t="s">
        <v>202</v>
      </c>
      <c r="G277" s="6" t="n">
        <v>22</v>
      </c>
      <c r="H277" s="6" t="s">
        <v>82</v>
      </c>
      <c r="I277" s="6" t="s">
        <v>81</v>
      </c>
      <c r="J277" s="6" t="s">
        <v>58</v>
      </c>
      <c r="K277" s="6" t="n">
        <v>105388</v>
      </c>
      <c r="L277" s="6" t="n">
        <v>141592</v>
      </c>
      <c r="M277" s="6" t="s">
        <v>146</v>
      </c>
      <c r="N277" s="6" t="n">
        <v>51</v>
      </c>
      <c r="O277" s="6" t="s">
        <v>58</v>
      </c>
      <c r="P277" s="6" t="n">
        <v>4</v>
      </c>
      <c r="Q277" s="6" t="n">
        <v>26.2</v>
      </c>
      <c r="R277" s="20" t="n">
        <f aca="false">(L277-K277)/K277</f>
        <v>0.34353057274073</v>
      </c>
    </row>
    <row r="278" customFormat="false" ht="15" hidden="false" customHeight="false" outlineLevel="0" collapsed="false">
      <c r="A278" s="6" t="s">
        <v>440</v>
      </c>
      <c r="B278" s="6" t="n">
        <v>48</v>
      </c>
      <c r="C278" s="6" t="s">
        <v>139</v>
      </c>
      <c r="D278" s="6" t="s">
        <v>148</v>
      </c>
      <c r="E278" s="6" t="s">
        <v>89</v>
      </c>
      <c r="F278" s="6" t="s">
        <v>151</v>
      </c>
      <c r="G278" s="6" t="n">
        <v>22</v>
      </c>
      <c r="H278" s="6" t="s">
        <v>81</v>
      </c>
      <c r="I278" s="6" t="s">
        <v>80</v>
      </c>
      <c r="J278" s="6" t="s">
        <v>60</v>
      </c>
      <c r="K278" s="6" t="n">
        <v>85826</v>
      </c>
      <c r="L278" s="6" t="n">
        <v>99159</v>
      </c>
      <c r="M278" s="6" t="s">
        <v>142</v>
      </c>
      <c r="N278" s="6" t="n">
        <v>52</v>
      </c>
      <c r="O278" s="6" t="s">
        <v>60</v>
      </c>
      <c r="P278" s="6" t="n">
        <v>5</v>
      </c>
      <c r="Q278" s="6" t="n">
        <v>20.29</v>
      </c>
      <c r="R278" s="20" t="n">
        <f aca="false">(L278-K278)/K278</f>
        <v>0.15534919488267</v>
      </c>
    </row>
    <row r="279" customFormat="false" ht="15" hidden="false" customHeight="false" outlineLevel="0" collapsed="false">
      <c r="A279" s="6" t="s">
        <v>441</v>
      </c>
      <c r="B279" s="6" t="n">
        <v>57</v>
      </c>
      <c r="C279" s="6" t="s">
        <v>134</v>
      </c>
      <c r="D279" s="6" t="s">
        <v>148</v>
      </c>
      <c r="E279" s="6" t="s">
        <v>91</v>
      </c>
      <c r="F279" s="6" t="s">
        <v>208</v>
      </c>
      <c r="G279" s="6" t="n">
        <v>34</v>
      </c>
      <c r="H279" s="6" t="s">
        <v>82</v>
      </c>
      <c r="I279" s="6" t="s">
        <v>80</v>
      </c>
      <c r="J279" s="6" t="s">
        <v>60</v>
      </c>
      <c r="K279" s="6" t="n">
        <v>98576</v>
      </c>
      <c r="L279" s="6" t="n">
        <v>103935</v>
      </c>
      <c r="M279" s="6" t="s">
        <v>142</v>
      </c>
      <c r="N279" s="6" t="n">
        <v>51</v>
      </c>
      <c r="O279" s="6" t="s">
        <v>60</v>
      </c>
      <c r="P279" s="6" t="n">
        <v>5</v>
      </c>
      <c r="Q279" s="6" t="n">
        <v>-10.82</v>
      </c>
      <c r="R279" s="20" t="n">
        <f aca="false">(L279-K279)/K279</f>
        <v>0.0543641454309365</v>
      </c>
    </row>
    <row r="280" customFormat="false" ht="15" hidden="false" customHeight="false" outlineLevel="0" collapsed="false">
      <c r="A280" s="6" t="s">
        <v>442</v>
      </c>
      <c r="B280" s="6" t="n">
        <v>55</v>
      </c>
      <c r="C280" s="6" t="s">
        <v>139</v>
      </c>
      <c r="D280" s="6" t="s">
        <v>135</v>
      </c>
      <c r="E280" s="6" t="s">
        <v>90</v>
      </c>
      <c r="F280" s="6" t="s">
        <v>202</v>
      </c>
      <c r="G280" s="6" t="n">
        <v>33</v>
      </c>
      <c r="H280" s="6" t="s">
        <v>82</v>
      </c>
      <c r="I280" s="6" t="s">
        <v>82</v>
      </c>
      <c r="J280" s="6" t="s">
        <v>60</v>
      </c>
      <c r="K280" s="6" t="n">
        <v>47014</v>
      </c>
      <c r="L280" s="6" t="n">
        <v>52712</v>
      </c>
      <c r="M280" s="6" t="s">
        <v>146</v>
      </c>
      <c r="N280" s="6" t="n">
        <v>39</v>
      </c>
      <c r="O280" s="6" t="s">
        <v>58</v>
      </c>
      <c r="P280" s="6" t="n">
        <v>9</v>
      </c>
      <c r="Q280" s="6" t="n">
        <v>-9.29</v>
      </c>
      <c r="R280" s="20" t="n">
        <f aca="false">(L280-K280)/K280</f>
        <v>0.121197941038839</v>
      </c>
    </row>
    <row r="281" customFormat="false" ht="15" hidden="false" customHeight="false" outlineLevel="0" collapsed="false">
      <c r="A281" s="6" t="s">
        <v>443</v>
      </c>
      <c r="B281" s="6" t="n">
        <v>56</v>
      </c>
      <c r="C281" s="6" t="s">
        <v>134</v>
      </c>
      <c r="D281" s="6" t="s">
        <v>140</v>
      </c>
      <c r="E281" s="6" t="s">
        <v>90</v>
      </c>
      <c r="F281" s="6" t="s">
        <v>236</v>
      </c>
      <c r="G281" s="6" t="n">
        <v>31</v>
      </c>
      <c r="H281" s="6" t="s">
        <v>82</v>
      </c>
      <c r="I281" s="6" t="s">
        <v>82</v>
      </c>
      <c r="J281" s="6" t="s">
        <v>58</v>
      </c>
      <c r="K281" s="6" t="n">
        <v>70390</v>
      </c>
      <c r="L281" s="6" t="n">
        <v>79401</v>
      </c>
      <c r="M281" s="6" t="s">
        <v>146</v>
      </c>
      <c r="N281" s="6" t="n">
        <v>48</v>
      </c>
      <c r="O281" s="6" t="s">
        <v>60</v>
      </c>
      <c r="P281" s="6" t="n">
        <v>7</v>
      </c>
      <c r="Q281" s="6" t="n">
        <v>-6.08</v>
      </c>
      <c r="R281" s="20" t="n">
        <f aca="false">(L281-K281)/K281</f>
        <v>0.128015343088507</v>
      </c>
    </row>
    <row r="282" customFormat="false" ht="15" hidden="false" customHeight="false" outlineLevel="0" collapsed="false">
      <c r="A282" s="6" t="s">
        <v>444</v>
      </c>
      <c r="B282" s="6" t="n">
        <v>46</v>
      </c>
      <c r="C282" s="6" t="s">
        <v>159</v>
      </c>
      <c r="D282" s="6" t="s">
        <v>135</v>
      </c>
      <c r="E282" s="6" t="s">
        <v>91</v>
      </c>
      <c r="F282" s="6" t="s">
        <v>208</v>
      </c>
      <c r="G282" s="6" t="n">
        <v>23</v>
      </c>
      <c r="H282" s="6" t="s">
        <v>82</v>
      </c>
      <c r="I282" s="6" t="s">
        <v>80</v>
      </c>
      <c r="J282" s="6" t="s">
        <v>58</v>
      </c>
      <c r="K282" s="6" t="n">
        <v>47727</v>
      </c>
      <c r="L282" s="6" t="n">
        <v>42088</v>
      </c>
      <c r="M282" s="6" t="s">
        <v>142</v>
      </c>
      <c r="N282" s="6" t="n">
        <v>37</v>
      </c>
      <c r="O282" s="6" t="s">
        <v>58</v>
      </c>
      <c r="P282" s="6" t="n">
        <v>4</v>
      </c>
      <c r="Q282" s="6" t="n">
        <v>21.71</v>
      </c>
      <c r="R282" s="20" t="n">
        <f aca="false">(L282-K282)/K282</f>
        <v>-0.118151151339912</v>
      </c>
    </row>
    <row r="283" customFormat="false" ht="15" hidden="false" customHeight="false" outlineLevel="0" collapsed="false">
      <c r="A283" s="6" t="s">
        <v>445</v>
      </c>
      <c r="B283" s="6" t="n">
        <v>32</v>
      </c>
      <c r="C283" s="6" t="s">
        <v>134</v>
      </c>
      <c r="D283" s="6" t="s">
        <v>140</v>
      </c>
      <c r="E283" s="6" t="s">
        <v>87</v>
      </c>
      <c r="F283" s="6" t="s">
        <v>160</v>
      </c>
      <c r="G283" s="6" t="n">
        <v>7</v>
      </c>
      <c r="H283" s="6" t="s">
        <v>80</v>
      </c>
      <c r="I283" s="6" t="s">
        <v>82</v>
      </c>
      <c r="J283" s="6" t="s">
        <v>60</v>
      </c>
      <c r="K283" s="6" t="n">
        <v>81501</v>
      </c>
      <c r="L283" s="6" t="n">
        <v>78698</v>
      </c>
      <c r="M283" s="6" t="s">
        <v>142</v>
      </c>
      <c r="N283" s="6" t="n">
        <v>44</v>
      </c>
      <c r="O283" s="6" t="s">
        <v>60</v>
      </c>
      <c r="P283" s="6" t="n">
        <v>9</v>
      </c>
      <c r="Q283" s="6" t="n">
        <v>23.46</v>
      </c>
      <c r="R283" s="20" t="n">
        <f aca="false">(L283-K283)/K283</f>
        <v>-0.0343922160464289</v>
      </c>
    </row>
    <row r="284" customFormat="false" ht="15" hidden="false" customHeight="false" outlineLevel="0" collapsed="false">
      <c r="A284" s="6" t="s">
        <v>446</v>
      </c>
      <c r="B284" s="6" t="n">
        <v>57</v>
      </c>
      <c r="C284" s="6" t="s">
        <v>139</v>
      </c>
      <c r="D284" s="6" t="s">
        <v>144</v>
      </c>
      <c r="E284" s="6" t="s">
        <v>87</v>
      </c>
      <c r="F284" s="6" t="s">
        <v>160</v>
      </c>
      <c r="G284" s="6" t="n">
        <v>31</v>
      </c>
      <c r="H284" s="6" t="s">
        <v>80</v>
      </c>
      <c r="I284" s="6" t="s">
        <v>80</v>
      </c>
      <c r="J284" s="6" t="s">
        <v>58</v>
      </c>
      <c r="K284" s="6" t="n">
        <v>103379</v>
      </c>
      <c r="L284" s="6" t="n">
        <v>101185</v>
      </c>
      <c r="M284" s="6" t="s">
        <v>142</v>
      </c>
      <c r="N284" s="6" t="n">
        <v>40</v>
      </c>
      <c r="O284" s="6" t="s">
        <v>58</v>
      </c>
      <c r="P284" s="6" t="n">
        <v>3</v>
      </c>
      <c r="Q284" s="6" t="n">
        <v>-0.6</v>
      </c>
      <c r="R284" s="20" t="n">
        <f aca="false">(L284-K284)/K284</f>
        <v>-0.0212228789212509</v>
      </c>
    </row>
    <row r="285" customFormat="false" ht="15" hidden="false" customHeight="false" outlineLevel="0" collapsed="false">
      <c r="A285" s="6" t="s">
        <v>447</v>
      </c>
      <c r="B285" s="6" t="n">
        <v>25</v>
      </c>
      <c r="C285" s="6" t="s">
        <v>134</v>
      </c>
      <c r="D285" s="6" t="s">
        <v>135</v>
      </c>
      <c r="E285" s="6" t="s">
        <v>93</v>
      </c>
      <c r="F285" s="6" t="s">
        <v>197</v>
      </c>
      <c r="G285" s="6" t="n">
        <v>0</v>
      </c>
      <c r="H285" s="6" t="s">
        <v>80</v>
      </c>
      <c r="I285" s="6" t="s">
        <v>80</v>
      </c>
      <c r="J285" s="6" t="s">
        <v>60</v>
      </c>
      <c r="K285" s="6" t="n">
        <v>102240</v>
      </c>
      <c r="L285" s="6" t="n">
        <v>109885</v>
      </c>
      <c r="M285" s="6" t="s">
        <v>142</v>
      </c>
      <c r="N285" s="6" t="n">
        <v>46</v>
      </c>
      <c r="O285" s="6" t="s">
        <v>58</v>
      </c>
      <c r="P285" s="6" t="n">
        <v>5</v>
      </c>
      <c r="Q285" s="6" t="n">
        <v>20.18</v>
      </c>
      <c r="R285" s="20" t="n">
        <f aca="false">(L285-K285)/K285</f>
        <v>0.0747750391236307</v>
      </c>
    </row>
    <row r="286" customFormat="false" ht="15" hidden="false" customHeight="false" outlineLevel="0" collapsed="false">
      <c r="A286" s="6" t="s">
        <v>448</v>
      </c>
      <c r="B286" s="6" t="n">
        <v>53</v>
      </c>
      <c r="C286" s="6" t="s">
        <v>159</v>
      </c>
      <c r="D286" s="6" t="s">
        <v>140</v>
      </c>
      <c r="E286" s="6" t="s">
        <v>91</v>
      </c>
      <c r="F286" s="6" t="s">
        <v>141</v>
      </c>
      <c r="G286" s="6" t="n">
        <v>27</v>
      </c>
      <c r="H286" s="6" t="s">
        <v>82</v>
      </c>
      <c r="I286" s="6" t="s">
        <v>80</v>
      </c>
      <c r="J286" s="6" t="s">
        <v>58</v>
      </c>
      <c r="K286" s="6" t="n">
        <v>86549</v>
      </c>
      <c r="L286" s="6" t="n">
        <v>100023</v>
      </c>
      <c r="M286" s="6" t="s">
        <v>142</v>
      </c>
      <c r="N286" s="6" t="n">
        <v>46</v>
      </c>
      <c r="O286" s="6" t="s">
        <v>60</v>
      </c>
      <c r="P286" s="6" t="n">
        <v>7</v>
      </c>
      <c r="Q286" s="6" t="n">
        <v>20.81</v>
      </c>
      <c r="R286" s="20" t="n">
        <f aca="false">(L286-K286)/K286</f>
        <v>0.155680597118395</v>
      </c>
    </row>
    <row r="287" customFormat="false" ht="15" hidden="false" customHeight="false" outlineLevel="0" collapsed="false">
      <c r="A287" s="6" t="s">
        <v>449</v>
      </c>
      <c r="B287" s="6" t="n">
        <v>24</v>
      </c>
      <c r="C287" s="6" t="s">
        <v>134</v>
      </c>
      <c r="D287" s="6" t="s">
        <v>140</v>
      </c>
      <c r="E287" s="6" t="s">
        <v>87</v>
      </c>
      <c r="F287" s="6" t="s">
        <v>155</v>
      </c>
      <c r="G287" s="6" t="n">
        <v>1</v>
      </c>
      <c r="H287" s="6" t="s">
        <v>81</v>
      </c>
      <c r="I287" s="6" t="s">
        <v>80</v>
      </c>
      <c r="J287" s="6" t="s">
        <v>58</v>
      </c>
      <c r="K287" s="6" t="n">
        <v>49201</v>
      </c>
      <c r="L287" s="6" t="n">
        <v>49638</v>
      </c>
      <c r="M287" s="6" t="s">
        <v>142</v>
      </c>
      <c r="N287" s="6" t="n">
        <v>54</v>
      </c>
      <c r="O287" s="6" t="s">
        <v>58</v>
      </c>
      <c r="P287" s="6" t="n">
        <v>8</v>
      </c>
      <c r="Q287" s="6" t="n">
        <v>39.73</v>
      </c>
      <c r="R287" s="20" t="n">
        <f aca="false">(L287-K287)/K287</f>
        <v>0.00888193329403874</v>
      </c>
    </row>
    <row r="288" customFormat="false" ht="15" hidden="false" customHeight="false" outlineLevel="0" collapsed="false">
      <c r="A288" s="6" t="s">
        <v>450</v>
      </c>
      <c r="B288" s="6" t="n">
        <v>57</v>
      </c>
      <c r="C288" s="6" t="s">
        <v>139</v>
      </c>
      <c r="D288" s="6" t="s">
        <v>144</v>
      </c>
      <c r="E288" s="6" t="s">
        <v>92</v>
      </c>
      <c r="F288" s="6" t="s">
        <v>192</v>
      </c>
      <c r="G288" s="6" t="n">
        <v>31</v>
      </c>
      <c r="H288" s="6" t="s">
        <v>82</v>
      </c>
      <c r="I288" s="6" t="s">
        <v>81</v>
      </c>
      <c r="J288" s="6" t="s">
        <v>60</v>
      </c>
      <c r="K288" s="6" t="n">
        <v>72828</v>
      </c>
      <c r="L288" s="6" t="n">
        <v>86008</v>
      </c>
      <c r="M288" s="6" t="s">
        <v>146</v>
      </c>
      <c r="N288" s="6" t="n">
        <v>50</v>
      </c>
      <c r="O288" s="6" t="s">
        <v>60</v>
      </c>
      <c r="P288" s="6" t="n">
        <v>4</v>
      </c>
      <c r="Q288" s="6" t="n">
        <v>25.29</v>
      </c>
      <c r="R288" s="20" t="n">
        <f aca="false">(L288-K288)/K288</f>
        <v>0.180974350524524</v>
      </c>
    </row>
    <row r="289" customFormat="false" ht="15" hidden="false" customHeight="false" outlineLevel="0" collapsed="false">
      <c r="A289" s="6" t="s">
        <v>451</v>
      </c>
      <c r="B289" s="6" t="n">
        <v>51</v>
      </c>
      <c r="C289" s="6" t="s">
        <v>159</v>
      </c>
      <c r="D289" s="6" t="s">
        <v>148</v>
      </c>
      <c r="E289" s="6" t="s">
        <v>87</v>
      </c>
      <c r="F289" s="6" t="s">
        <v>149</v>
      </c>
      <c r="G289" s="6" t="n">
        <v>29</v>
      </c>
      <c r="H289" s="6" t="s">
        <v>82</v>
      </c>
      <c r="I289" s="6" t="s">
        <v>80</v>
      </c>
      <c r="J289" s="6" t="s">
        <v>58</v>
      </c>
      <c r="K289" s="6" t="n">
        <v>98619</v>
      </c>
      <c r="L289" s="6" t="n">
        <v>99461</v>
      </c>
      <c r="M289" s="6" t="s">
        <v>142</v>
      </c>
      <c r="N289" s="6" t="n">
        <v>54</v>
      </c>
      <c r="O289" s="6" t="s">
        <v>58</v>
      </c>
      <c r="P289" s="6" t="n">
        <v>5</v>
      </c>
      <c r="Q289" s="6" t="n">
        <v>19.89</v>
      </c>
      <c r="R289" s="20" t="n">
        <f aca="false">(L289-K289)/K289</f>
        <v>0.00853790851661445</v>
      </c>
    </row>
    <row r="290" customFormat="false" ht="15" hidden="false" customHeight="false" outlineLevel="0" collapsed="false">
      <c r="A290" s="6" t="s">
        <v>452</v>
      </c>
      <c r="B290" s="6" t="n">
        <v>37</v>
      </c>
      <c r="C290" s="6" t="s">
        <v>159</v>
      </c>
      <c r="D290" s="6" t="s">
        <v>140</v>
      </c>
      <c r="E290" s="6" t="s">
        <v>90</v>
      </c>
      <c r="F290" s="6" t="s">
        <v>236</v>
      </c>
      <c r="G290" s="6" t="n">
        <v>11</v>
      </c>
      <c r="H290" s="6" t="s">
        <v>80</v>
      </c>
      <c r="I290" s="6" t="s">
        <v>81</v>
      </c>
      <c r="J290" s="6" t="s">
        <v>60</v>
      </c>
      <c r="K290" s="6" t="n">
        <v>102982</v>
      </c>
      <c r="L290" s="6" t="n">
        <v>104001</v>
      </c>
      <c r="M290" s="6" t="s">
        <v>146</v>
      </c>
      <c r="N290" s="6" t="n">
        <v>39</v>
      </c>
      <c r="O290" s="6" t="s">
        <v>58</v>
      </c>
      <c r="P290" s="6" t="n">
        <v>6</v>
      </c>
      <c r="Q290" s="6" t="n">
        <v>-10.86</v>
      </c>
      <c r="R290" s="20" t="n">
        <f aca="false">(L290-K290)/K290</f>
        <v>0.009894933095104</v>
      </c>
    </row>
    <row r="291" customFormat="false" ht="15" hidden="false" customHeight="false" outlineLevel="0" collapsed="false">
      <c r="A291" s="6" t="s">
        <v>453</v>
      </c>
      <c r="B291" s="6" t="n">
        <v>22</v>
      </c>
      <c r="C291" s="6" t="s">
        <v>134</v>
      </c>
      <c r="D291" s="6" t="s">
        <v>140</v>
      </c>
      <c r="E291" s="6" t="s">
        <v>91</v>
      </c>
      <c r="F291" s="6" t="s">
        <v>208</v>
      </c>
      <c r="G291" s="6" t="n">
        <v>0</v>
      </c>
      <c r="H291" s="6" t="s">
        <v>80</v>
      </c>
      <c r="I291" s="6" t="s">
        <v>81</v>
      </c>
      <c r="J291" s="6" t="s">
        <v>60</v>
      </c>
      <c r="K291" s="6" t="n">
        <v>112205</v>
      </c>
      <c r="L291" s="6" t="n">
        <v>115362</v>
      </c>
      <c r="M291" s="6" t="s">
        <v>146</v>
      </c>
      <c r="N291" s="6" t="n">
        <v>52</v>
      </c>
      <c r="O291" s="6" t="s">
        <v>58</v>
      </c>
      <c r="P291" s="6" t="n">
        <v>9</v>
      </c>
      <c r="Q291" s="6" t="n">
        <v>17.42</v>
      </c>
      <c r="R291" s="20" t="n">
        <f aca="false">(L291-K291)/K291</f>
        <v>0.0281360010694711</v>
      </c>
    </row>
    <row r="292" customFormat="false" ht="15" hidden="false" customHeight="false" outlineLevel="0" collapsed="false">
      <c r="A292" s="6" t="s">
        <v>454</v>
      </c>
      <c r="B292" s="6" t="n">
        <v>53</v>
      </c>
      <c r="C292" s="6" t="s">
        <v>159</v>
      </c>
      <c r="D292" s="6" t="s">
        <v>140</v>
      </c>
      <c r="E292" s="6" t="s">
        <v>89</v>
      </c>
      <c r="F292" s="6" t="s">
        <v>162</v>
      </c>
      <c r="G292" s="6" t="n">
        <v>31</v>
      </c>
      <c r="H292" s="6" t="s">
        <v>82</v>
      </c>
      <c r="I292" s="6" t="s">
        <v>80</v>
      </c>
      <c r="J292" s="6" t="s">
        <v>58</v>
      </c>
      <c r="K292" s="6" t="n">
        <v>106559</v>
      </c>
      <c r="L292" s="6" t="n">
        <v>117652</v>
      </c>
      <c r="M292" s="6" t="s">
        <v>142</v>
      </c>
      <c r="N292" s="6" t="n">
        <v>48</v>
      </c>
      <c r="O292" s="6" t="s">
        <v>60</v>
      </c>
      <c r="P292" s="6" t="n">
        <v>6</v>
      </c>
      <c r="Q292" s="6" t="n">
        <v>-10.44</v>
      </c>
      <c r="R292" s="20" t="n">
        <f aca="false">(L292-K292)/K292</f>
        <v>0.104101952908717</v>
      </c>
    </row>
    <row r="293" customFormat="false" ht="15" hidden="false" customHeight="false" outlineLevel="0" collapsed="false">
      <c r="A293" s="6" t="s">
        <v>455</v>
      </c>
      <c r="B293" s="6" t="n">
        <v>54</v>
      </c>
      <c r="C293" s="6" t="s">
        <v>159</v>
      </c>
      <c r="D293" s="6" t="s">
        <v>148</v>
      </c>
      <c r="E293" s="6" t="s">
        <v>88</v>
      </c>
      <c r="F293" s="6" t="s">
        <v>157</v>
      </c>
      <c r="G293" s="6" t="n">
        <v>31</v>
      </c>
      <c r="H293" s="6" t="s">
        <v>81</v>
      </c>
      <c r="I293" s="6" t="s">
        <v>82</v>
      </c>
      <c r="J293" s="6" t="s">
        <v>60</v>
      </c>
      <c r="K293" s="6" t="n">
        <v>114328</v>
      </c>
      <c r="L293" s="6" t="n">
        <v>105901</v>
      </c>
      <c r="M293" s="6" t="s">
        <v>142</v>
      </c>
      <c r="N293" s="6" t="n">
        <v>43</v>
      </c>
      <c r="O293" s="6" t="s">
        <v>60</v>
      </c>
      <c r="P293" s="6" t="n">
        <v>3</v>
      </c>
      <c r="Q293" s="6" t="n">
        <v>36.22</v>
      </c>
      <c r="R293" s="20" t="n">
        <f aca="false">(L293-K293)/K293</f>
        <v>-0.073708977678259</v>
      </c>
    </row>
    <row r="294" customFormat="false" ht="15" hidden="false" customHeight="false" outlineLevel="0" collapsed="false">
      <c r="A294" s="6" t="s">
        <v>456</v>
      </c>
      <c r="B294" s="6" t="n">
        <v>32</v>
      </c>
      <c r="C294" s="6" t="s">
        <v>139</v>
      </c>
      <c r="D294" s="6" t="s">
        <v>135</v>
      </c>
      <c r="E294" s="6" t="s">
        <v>90</v>
      </c>
      <c r="F294" s="6" t="s">
        <v>145</v>
      </c>
      <c r="G294" s="6" t="n">
        <v>8</v>
      </c>
      <c r="H294" s="6" t="s">
        <v>80</v>
      </c>
      <c r="I294" s="6" t="s">
        <v>82</v>
      </c>
      <c r="J294" s="6" t="s">
        <v>58</v>
      </c>
      <c r="K294" s="6" t="n">
        <v>68067</v>
      </c>
      <c r="L294" s="6" t="n">
        <v>67519</v>
      </c>
      <c r="M294" s="6" t="s">
        <v>142</v>
      </c>
      <c r="N294" s="6" t="n">
        <v>52</v>
      </c>
      <c r="O294" s="6" t="s">
        <v>58</v>
      </c>
      <c r="P294" s="6" t="n">
        <v>9</v>
      </c>
      <c r="Q294" s="6" t="n">
        <v>36.54</v>
      </c>
      <c r="R294" s="20" t="n">
        <f aca="false">(L294-K294)/K294</f>
        <v>-0.00805089103383431</v>
      </c>
    </row>
    <row r="295" customFormat="false" ht="15" hidden="false" customHeight="false" outlineLevel="0" collapsed="false">
      <c r="A295" s="6" t="s">
        <v>457</v>
      </c>
      <c r="B295" s="6" t="n">
        <v>27</v>
      </c>
      <c r="C295" s="6" t="s">
        <v>134</v>
      </c>
      <c r="D295" s="6" t="s">
        <v>140</v>
      </c>
      <c r="E295" s="6" t="s">
        <v>88</v>
      </c>
      <c r="F295" s="6" t="s">
        <v>157</v>
      </c>
      <c r="G295" s="6" t="n">
        <v>3</v>
      </c>
      <c r="H295" s="6" t="s">
        <v>80</v>
      </c>
      <c r="I295" s="6" t="s">
        <v>81</v>
      </c>
      <c r="J295" s="6" t="s">
        <v>60</v>
      </c>
      <c r="K295" s="6" t="n">
        <v>95450</v>
      </c>
      <c r="L295" s="6" t="n">
        <v>98904</v>
      </c>
      <c r="M295" s="6" t="s">
        <v>146</v>
      </c>
      <c r="N295" s="6" t="n">
        <v>54</v>
      </c>
      <c r="O295" s="6" t="s">
        <v>60</v>
      </c>
      <c r="P295" s="6" t="n">
        <v>4</v>
      </c>
      <c r="Q295" s="6" t="n">
        <v>13.99</v>
      </c>
      <c r="R295" s="20" t="n">
        <f aca="false">(L295-K295)/K295</f>
        <v>0.0361864850707177</v>
      </c>
    </row>
    <row r="296" customFormat="false" ht="15" hidden="false" customHeight="false" outlineLevel="0" collapsed="false">
      <c r="A296" s="6" t="s">
        <v>458</v>
      </c>
      <c r="B296" s="6" t="n">
        <v>33</v>
      </c>
      <c r="C296" s="6" t="s">
        <v>139</v>
      </c>
      <c r="D296" s="6" t="s">
        <v>140</v>
      </c>
      <c r="E296" s="6" t="s">
        <v>89</v>
      </c>
      <c r="F296" s="6" t="s">
        <v>162</v>
      </c>
      <c r="G296" s="6" t="n">
        <v>11</v>
      </c>
      <c r="H296" s="6" t="s">
        <v>80</v>
      </c>
      <c r="I296" s="6" t="s">
        <v>80</v>
      </c>
      <c r="J296" s="6" t="s">
        <v>58</v>
      </c>
      <c r="K296" s="6" t="n">
        <v>42329</v>
      </c>
      <c r="L296" s="6" t="n">
        <v>43639</v>
      </c>
      <c r="M296" s="6" t="s">
        <v>142</v>
      </c>
      <c r="N296" s="6" t="n">
        <v>44</v>
      </c>
      <c r="O296" s="6" t="s">
        <v>58</v>
      </c>
      <c r="P296" s="6" t="n">
        <v>8</v>
      </c>
      <c r="Q296" s="6" t="n">
        <v>17.68</v>
      </c>
      <c r="R296" s="20" t="n">
        <f aca="false">(L296-K296)/K296</f>
        <v>0.0309480498003733</v>
      </c>
    </row>
    <row r="297" customFormat="false" ht="15" hidden="false" customHeight="false" outlineLevel="0" collapsed="false">
      <c r="A297" s="6" t="s">
        <v>459</v>
      </c>
      <c r="B297" s="6" t="n">
        <v>35</v>
      </c>
      <c r="C297" s="6" t="s">
        <v>134</v>
      </c>
      <c r="D297" s="6" t="s">
        <v>140</v>
      </c>
      <c r="E297" s="6" t="s">
        <v>92</v>
      </c>
      <c r="F297" s="6" t="s">
        <v>192</v>
      </c>
      <c r="G297" s="6" t="n">
        <v>11</v>
      </c>
      <c r="H297" s="6" t="s">
        <v>80</v>
      </c>
      <c r="I297" s="6" t="s">
        <v>80</v>
      </c>
      <c r="J297" s="6" t="s">
        <v>60</v>
      </c>
      <c r="K297" s="6" t="n">
        <v>61750</v>
      </c>
      <c r="L297" s="6" t="n">
        <v>61484</v>
      </c>
      <c r="M297" s="6" t="s">
        <v>142</v>
      </c>
      <c r="N297" s="6" t="n">
        <v>37</v>
      </c>
      <c r="O297" s="6" t="s">
        <v>58</v>
      </c>
      <c r="P297" s="6" t="n">
        <v>4</v>
      </c>
      <c r="Q297" s="6" t="n">
        <v>-15.14</v>
      </c>
      <c r="R297" s="20" t="n">
        <f aca="false">(L297-K297)/K297</f>
        <v>-0.00430769230769231</v>
      </c>
    </row>
    <row r="298" customFormat="false" ht="15" hidden="false" customHeight="false" outlineLevel="0" collapsed="false">
      <c r="A298" s="6" t="s">
        <v>460</v>
      </c>
      <c r="B298" s="6" t="n">
        <v>48</v>
      </c>
      <c r="C298" s="6" t="s">
        <v>159</v>
      </c>
      <c r="D298" s="6" t="s">
        <v>135</v>
      </c>
      <c r="E298" s="6" t="s">
        <v>88</v>
      </c>
      <c r="F298" s="6" t="s">
        <v>179</v>
      </c>
      <c r="G298" s="6" t="n">
        <v>25</v>
      </c>
      <c r="H298" s="6" t="s">
        <v>82</v>
      </c>
      <c r="I298" s="6" t="s">
        <v>82</v>
      </c>
      <c r="J298" s="6" t="s">
        <v>58</v>
      </c>
      <c r="K298" s="6" t="n">
        <v>82130</v>
      </c>
      <c r="L298" s="6" t="n">
        <v>82759</v>
      </c>
      <c r="M298" s="6" t="s">
        <v>146</v>
      </c>
      <c r="N298" s="6" t="n">
        <v>44</v>
      </c>
      <c r="O298" s="6" t="s">
        <v>60</v>
      </c>
      <c r="P298" s="6" t="n">
        <v>3</v>
      </c>
      <c r="Q298" s="6" t="n">
        <v>38.54</v>
      </c>
      <c r="R298" s="20" t="n">
        <f aca="false">(L298-K298)/K298</f>
        <v>0.0076585900401802</v>
      </c>
    </row>
    <row r="299" customFormat="false" ht="15" hidden="false" customHeight="false" outlineLevel="0" collapsed="false">
      <c r="A299" s="6" t="s">
        <v>461</v>
      </c>
      <c r="B299" s="6" t="n">
        <v>23</v>
      </c>
      <c r="C299" s="6" t="s">
        <v>159</v>
      </c>
      <c r="D299" s="6" t="s">
        <v>144</v>
      </c>
      <c r="E299" s="6" t="s">
        <v>91</v>
      </c>
      <c r="F299" s="6" t="s">
        <v>206</v>
      </c>
      <c r="G299" s="6" t="n">
        <v>1</v>
      </c>
      <c r="H299" s="6" t="s">
        <v>80</v>
      </c>
      <c r="I299" s="6" t="s">
        <v>80</v>
      </c>
      <c r="J299" s="6" t="s">
        <v>58</v>
      </c>
      <c r="K299" s="6" t="n">
        <v>93740</v>
      </c>
      <c r="L299" s="6" t="n">
        <v>101173</v>
      </c>
      <c r="M299" s="6" t="s">
        <v>142</v>
      </c>
      <c r="N299" s="6" t="n">
        <v>48</v>
      </c>
      <c r="O299" s="6" t="s">
        <v>60</v>
      </c>
      <c r="P299" s="6" t="n">
        <v>3</v>
      </c>
      <c r="Q299" s="6" t="n">
        <v>35.37</v>
      </c>
      <c r="R299" s="20" t="n">
        <f aca="false">(L299-K299)/K299</f>
        <v>0.0792937913377427</v>
      </c>
    </row>
    <row r="300" customFormat="false" ht="15" hidden="false" customHeight="false" outlineLevel="0" collapsed="false">
      <c r="A300" s="6" t="s">
        <v>462</v>
      </c>
      <c r="B300" s="6" t="n">
        <v>37</v>
      </c>
      <c r="C300" s="6" t="s">
        <v>159</v>
      </c>
      <c r="D300" s="6" t="s">
        <v>135</v>
      </c>
      <c r="E300" s="6" t="s">
        <v>90</v>
      </c>
      <c r="F300" s="6" t="s">
        <v>202</v>
      </c>
      <c r="G300" s="6" t="n">
        <v>11</v>
      </c>
      <c r="H300" s="6" t="s">
        <v>82</v>
      </c>
      <c r="I300" s="6" t="s">
        <v>82</v>
      </c>
      <c r="J300" s="6" t="s">
        <v>60</v>
      </c>
      <c r="K300" s="6" t="n">
        <v>41138</v>
      </c>
      <c r="L300" s="6" t="n">
        <v>56428</v>
      </c>
      <c r="M300" s="6" t="s">
        <v>146</v>
      </c>
      <c r="N300" s="6" t="n">
        <v>47</v>
      </c>
      <c r="O300" s="6" t="s">
        <v>58</v>
      </c>
      <c r="P300" s="6" t="n">
        <v>7</v>
      </c>
      <c r="Q300" s="6" t="n">
        <v>29.51</v>
      </c>
      <c r="R300" s="20" t="n">
        <f aca="false">(L300-K300)/K300</f>
        <v>0.371675822840196</v>
      </c>
    </row>
    <row r="301" customFormat="false" ht="15" hidden="false" customHeight="false" outlineLevel="0" collapsed="false">
      <c r="A301" s="6" t="s">
        <v>463</v>
      </c>
      <c r="B301" s="6" t="n">
        <v>55</v>
      </c>
      <c r="C301" s="6" t="s">
        <v>134</v>
      </c>
      <c r="D301" s="6" t="s">
        <v>144</v>
      </c>
      <c r="E301" s="6" t="s">
        <v>90</v>
      </c>
      <c r="F301" s="6" t="s">
        <v>202</v>
      </c>
      <c r="G301" s="6" t="n">
        <v>29</v>
      </c>
      <c r="H301" s="6" t="s">
        <v>81</v>
      </c>
      <c r="I301" s="6" t="s">
        <v>82</v>
      </c>
      <c r="J301" s="6" t="s">
        <v>58</v>
      </c>
      <c r="K301" s="6" t="n">
        <v>47347</v>
      </c>
      <c r="L301" s="6" t="n">
        <v>44532</v>
      </c>
      <c r="M301" s="6" t="s">
        <v>142</v>
      </c>
      <c r="N301" s="6" t="n">
        <v>46</v>
      </c>
      <c r="O301" s="6" t="s">
        <v>58</v>
      </c>
      <c r="P301" s="6" t="n">
        <v>6</v>
      </c>
      <c r="Q301" s="6" t="n">
        <v>37.79</v>
      </c>
      <c r="R301" s="20" t="n">
        <f aca="false">(L301-K301)/K301</f>
        <v>-0.0594546644982787</v>
      </c>
    </row>
    <row r="302" customFormat="false" ht="15" hidden="false" customHeight="false" outlineLevel="0" collapsed="false">
      <c r="A302" s="6" t="s">
        <v>464</v>
      </c>
      <c r="B302" s="6" t="n">
        <v>34</v>
      </c>
      <c r="C302" s="6" t="s">
        <v>159</v>
      </c>
      <c r="D302" s="6" t="s">
        <v>144</v>
      </c>
      <c r="E302" s="6" t="s">
        <v>92</v>
      </c>
      <c r="F302" s="6" t="s">
        <v>222</v>
      </c>
      <c r="G302" s="6" t="n">
        <v>9</v>
      </c>
      <c r="H302" s="6" t="s">
        <v>82</v>
      </c>
      <c r="I302" s="6" t="s">
        <v>81</v>
      </c>
      <c r="J302" s="6" t="s">
        <v>60</v>
      </c>
      <c r="K302" s="6" t="n">
        <v>82188</v>
      </c>
      <c r="L302" s="6" t="n">
        <v>70961</v>
      </c>
      <c r="M302" s="6" t="s">
        <v>146</v>
      </c>
      <c r="N302" s="6" t="n">
        <v>45</v>
      </c>
      <c r="O302" s="6" t="s">
        <v>58</v>
      </c>
      <c r="P302" s="6" t="n">
        <v>8</v>
      </c>
      <c r="Q302" s="6" t="n">
        <v>18.45</v>
      </c>
      <c r="R302" s="20" t="n">
        <f aca="false">(L302-K302)/K302</f>
        <v>-0.136601450333382</v>
      </c>
    </row>
    <row r="303" customFormat="false" ht="15" hidden="false" customHeight="false" outlineLevel="0" collapsed="false">
      <c r="A303" s="6" t="s">
        <v>465</v>
      </c>
      <c r="B303" s="6" t="n">
        <v>23</v>
      </c>
      <c r="C303" s="6" t="s">
        <v>159</v>
      </c>
      <c r="D303" s="6" t="s">
        <v>140</v>
      </c>
      <c r="E303" s="6" t="s">
        <v>93</v>
      </c>
      <c r="F303" s="6" t="s">
        <v>164</v>
      </c>
      <c r="G303" s="6" t="n">
        <v>0</v>
      </c>
      <c r="H303" s="6" t="s">
        <v>80</v>
      </c>
      <c r="I303" s="6" t="s">
        <v>82</v>
      </c>
      <c r="J303" s="6" t="s">
        <v>58</v>
      </c>
      <c r="K303" s="6" t="n">
        <v>102146</v>
      </c>
      <c r="L303" s="6" t="n">
        <v>102960</v>
      </c>
      <c r="M303" s="6" t="s">
        <v>142</v>
      </c>
      <c r="N303" s="6" t="n">
        <v>36</v>
      </c>
      <c r="O303" s="6" t="s">
        <v>58</v>
      </c>
      <c r="P303" s="6" t="n">
        <v>4</v>
      </c>
      <c r="Q303" s="6" t="n">
        <v>13.87</v>
      </c>
      <c r="R303" s="20" t="n">
        <f aca="false">(L303-K303)/K303</f>
        <v>0.00796898556967478</v>
      </c>
    </row>
    <row r="304" customFormat="false" ht="15" hidden="false" customHeight="false" outlineLevel="0" collapsed="false">
      <c r="A304" s="6" t="s">
        <v>466</v>
      </c>
      <c r="B304" s="6" t="n">
        <v>46</v>
      </c>
      <c r="C304" s="6" t="s">
        <v>139</v>
      </c>
      <c r="D304" s="6" t="s">
        <v>140</v>
      </c>
      <c r="E304" s="6" t="s">
        <v>93</v>
      </c>
      <c r="F304" s="6" t="s">
        <v>164</v>
      </c>
      <c r="G304" s="6" t="n">
        <v>23</v>
      </c>
      <c r="H304" s="6" t="s">
        <v>82</v>
      </c>
      <c r="I304" s="6" t="s">
        <v>82</v>
      </c>
      <c r="J304" s="6" t="s">
        <v>60</v>
      </c>
      <c r="K304" s="6" t="n">
        <v>85677</v>
      </c>
      <c r="L304" s="6" t="n">
        <v>119683</v>
      </c>
      <c r="M304" s="6" t="s">
        <v>146</v>
      </c>
      <c r="N304" s="6" t="n">
        <v>49</v>
      </c>
      <c r="O304" s="6" t="s">
        <v>60</v>
      </c>
      <c r="P304" s="6" t="n">
        <v>3</v>
      </c>
      <c r="Q304" s="6" t="n">
        <v>-16.53</v>
      </c>
      <c r="R304" s="20" t="n">
        <f aca="false">(L304-K304)/K304</f>
        <v>0.396909322221833</v>
      </c>
    </row>
    <row r="305" customFormat="false" ht="15" hidden="false" customHeight="false" outlineLevel="0" collapsed="false">
      <c r="A305" s="6" t="s">
        <v>467</v>
      </c>
      <c r="B305" s="6" t="n">
        <v>44</v>
      </c>
      <c r="C305" s="6" t="s">
        <v>159</v>
      </c>
      <c r="D305" s="6" t="s">
        <v>135</v>
      </c>
      <c r="E305" s="6" t="s">
        <v>88</v>
      </c>
      <c r="F305" s="6" t="s">
        <v>234</v>
      </c>
      <c r="G305" s="6" t="n">
        <v>20</v>
      </c>
      <c r="H305" s="6" t="s">
        <v>82</v>
      </c>
      <c r="I305" s="6" t="s">
        <v>82</v>
      </c>
      <c r="J305" s="6" t="s">
        <v>58</v>
      </c>
      <c r="K305" s="6" t="n">
        <v>74936</v>
      </c>
      <c r="L305" s="6" t="n">
        <v>66344</v>
      </c>
      <c r="M305" s="6" t="s">
        <v>146</v>
      </c>
      <c r="N305" s="6" t="n">
        <v>48</v>
      </c>
      <c r="O305" s="6" t="s">
        <v>58</v>
      </c>
      <c r="P305" s="6" t="n">
        <v>5</v>
      </c>
      <c r="Q305" s="6" t="n">
        <v>-12.72</v>
      </c>
      <c r="R305" s="20" t="n">
        <f aca="false">(L305-K305)/K305</f>
        <v>-0.114657841357959</v>
      </c>
    </row>
    <row r="306" customFormat="false" ht="15" hidden="false" customHeight="false" outlineLevel="0" collapsed="false">
      <c r="A306" s="6" t="s">
        <v>468</v>
      </c>
      <c r="B306" s="6" t="n">
        <v>28</v>
      </c>
      <c r="C306" s="6" t="s">
        <v>159</v>
      </c>
      <c r="D306" s="6" t="s">
        <v>140</v>
      </c>
      <c r="E306" s="6" t="s">
        <v>89</v>
      </c>
      <c r="F306" s="6" t="s">
        <v>151</v>
      </c>
      <c r="G306" s="6" t="n">
        <v>3</v>
      </c>
      <c r="H306" s="6" t="s">
        <v>80</v>
      </c>
      <c r="I306" s="6" t="s">
        <v>80</v>
      </c>
      <c r="J306" s="6" t="s">
        <v>58</v>
      </c>
      <c r="K306" s="6" t="n">
        <v>71568</v>
      </c>
      <c r="L306" s="6" t="n">
        <v>73458</v>
      </c>
      <c r="M306" s="6" t="s">
        <v>142</v>
      </c>
      <c r="N306" s="6" t="n">
        <v>51</v>
      </c>
      <c r="O306" s="6" t="s">
        <v>58</v>
      </c>
      <c r="P306" s="6" t="n">
        <v>7</v>
      </c>
      <c r="Q306" s="6" t="n">
        <v>39.8</v>
      </c>
      <c r="R306" s="20" t="n">
        <f aca="false">(L306-K306)/K306</f>
        <v>0.0264084507042254</v>
      </c>
    </row>
    <row r="307" customFormat="false" ht="15" hidden="false" customHeight="false" outlineLevel="0" collapsed="false">
      <c r="A307" s="6" t="s">
        <v>469</v>
      </c>
      <c r="B307" s="6" t="n">
        <v>50</v>
      </c>
      <c r="C307" s="6" t="s">
        <v>139</v>
      </c>
      <c r="D307" s="6" t="s">
        <v>135</v>
      </c>
      <c r="E307" s="6" t="s">
        <v>93</v>
      </c>
      <c r="F307" s="6" t="s">
        <v>164</v>
      </c>
      <c r="G307" s="6" t="n">
        <v>25</v>
      </c>
      <c r="H307" s="6" t="s">
        <v>82</v>
      </c>
      <c r="I307" s="6" t="s">
        <v>81</v>
      </c>
      <c r="J307" s="6" t="s">
        <v>60</v>
      </c>
      <c r="K307" s="6" t="n">
        <v>42411</v>
      </c>
      <c r="L307" s="6" t="n">
        <v>55507</v>
      </c>
      <c r="M307" s="6" t="s">
        <v>146</v>
      </c>
      <c r="N307" s="6" t="n">
        <v>39</v>
      </c>
      <c r="O307" s="6" t="s">
        <v>60</v>
      </c>
      <c r="P307" s="6" t="n">
        <v>6</v>
      </c>
      <c r="Q307" s="6" t="n">
        <v>23.46</v>
      </c>
      <c r="R307" s="20" t="n">
        <f aca="false">(L307-K307)/K307</f>
        <v>0.308787814482092</v>
      </c>
    </row>
    <row r="308" customFormat="false" ht="15" hidden="false" customHeight="false" outlineLevel="0" collapsed="false">
      <c r="A308" s="6" t="s">
        <v>470</v>
      </c>
      <c r="B308" s="6" t="n">
        <v>56</v>
      </c>
      <c r="C308" s="6" t="s">
        <v>159</v>
      </c>
      <c r="D308" s="6" t="s">
        <v>135</v>
      </c>
      <c r="E308" s="6" t="s">
        <v>92</v>
      </c>
      <c r="F308" s="6" t="s">
        <v>136</v>
      </c>
      <c r="G308" s="6" t="n">
        <v>32</v>
      </c>
      <c r="H308" s="6" t="s">
        <v>80</v>
      </c>
      <c r="I308" s="6" t="s">
        <v>81</v>
      </c>
      <c r="J308" s="6" t="s">
        <v>60</v>
      </c>
      <c r="K308" s="6" t="n">
        <v>56715</v>
      </c>
      <c r="L308" s="6" t="n">
        <v>57976</v>
      </c>
      <c r="M308" s="6" t="s">
        <v>146</v>
      </c>
      <c r="N308" s="6" t="n">
        <v>39</v>
      </c>
      <c r="O308" s="6" t="s">
        <v>58</v>
      </c>
      <c r="P308" s="6" t="n">
        <v>8</v>
      </c>
      <c r="Q308" s="6" t="n">
        <v>-9.39</v>
      </c>
      <c r="R308" s="20" t="n">
        <f aca="false">(L308-K308)/K308</f>
        <v>0.0222339769020541</v>
      </c>
    </row>
    <row r="309" customFormat="false" ht="15" hidden="false" customHeight="false" outlineLevel="0" collapsed="false">
      <c r="A309" s="6" t="s">
        <v>471</v>
      </c>
      <c r="B309" s="6" t="n">
        <v>23</v>
      </c>
      <c r="C309" s="6" t="s">
        <v>139</v>
      </c>
      <c r="D309" s="6" t="s">
        <v>135</v>
      </c>
      <c r="E309" s="6" t="s">
        <v>91</v>
      </c>
      <c r="F309" s="6" t="s">
        <v>206</v>
      </c>
      <c r="G309" s="6" t="n">
        <v>0</v>
      </c>
      <c r="H309" s="6" t="s">
        <v>80</v>
      </c>
      <c r="I309" s="6" t="s">
        <v>81</v>
      </c>
      <c r="J309" s="6" t="s">
        <v>58</v>
      </c>
      <c r="K309" s="6" t="n">
        <v>36548</v>
      </c>
      <c r="L309" s="6" t="n">
        <v>34825</v>
      </c>
      <c r="M309" s="6" t="s">
        <v>146</v>
      </c>
      <c r="N309" s="6" t="n">
        <v>44</v>
      </c>
      <c r="O309" s="6" t="s">
        <v>60</v>
      </c>
      <c r="P309" s="6" t="n">
        <v>9</v>
      </c>
      <c r="Q309" s="6" t="n">
        <v>-4.41</v>
      </c>
      <c r="R309" s="20" t="n">
        <f aca="false">(L309-K309)/K309</f>
        <v>-0.0471434825435044</v>
      </c>
    </row>
    <row r="310" customFormat="false" ht="15" hidden="false" customHeight="false" outlineLevel="0" collapsed="false">
      <c r="A310" s="6" t="s">
        <v>472</v>
      </c>
      <c r="B310" s="6" t="n">
        <v>26</v>
      </c>
      <c r="C310" s="6" t="s">
        <v>139</v>
      </c>
      <c r="D310" s="6" t="s">
        <v>148</v>
      </c>
      <c r="E310" s="6" t="s">
        <v>88</v>
      </c>
      <c r="F310" s="6" t="s">
        <v>179</v>
      </c>
      <c r="G310" s="6" t="n">
        <v>4</v>
      </c>
      <c r="H310" s="6" t="s">
        <v>80</v>
      </c>
      <c r="I310" s="6" t="s">
        <v>81</v>
      </c>
      <c r="J310" s="6" t="s">
        <v>60</v>
      </c>
      <c r="K310" s="6" t="n">
        <v>90428</v>
      </c>
      <c r="L310" s="6" t="n">
        <v>86071</v>
      </c>
      <c r="M310" s="6" t="s">
        <v>146</v>
      </c>
      <c r="N310" s="6" t="n">
        <v>52</v>
      </c>
      <c r="O310" s="6" t="s">
        <v>60</v>
      </c>
      <c r="P310" s="6" t="n">
        <v>7</v>
      </c>
      <c r="Q310" s="6" t="n">
        <v>-5.53</v>
      </c>
      <c r="R310" s="20" t="n">
        <f aca="false">(L310-K310)/K310</f>
        <v>-0.0481819790330429</v>
      </c>
    </row>
    <row r="311" customFormat="false" ht="15" hidden="false" customHeight="false" outlineLevel="0" collapsed="false">
      <c r="A311" s="6" t="s">
        <v>473</v>
      </c>
      <c r="B311" s="6" t="n">
        <v>53</v>
      </c>
      <c r="C311" s="6" t="s">
        <v>134</v>
      </c>
      <c r="D311" s="6" t="s">
        <v>135</v>
      </c>
      <c r="E311" s="6" t="s">
        <v>87</v>
      </c>
      <c r="F311" s="6" t="s">
        <v>160</v>
      </c>
      <c r="G311" s="6" t="n">
        <v>28</v>
      </c>
      <c r="H311" s="6" t="s">
        <v>82</v>
      </c>
      <c r="I311" s="6" t="s">
        <v>82</v>
      </c>
      <c r="J311" s="6" t="s">
        <v>60</v>
      </c>
      <c r="K311" s="6" t="n">
        <v>71424</v>
      </c>
      <c r="L311" s="6" t="n">
        <v>61841</v>
      </c>
      <c r="M311" s="6" t="s">
        <v>137</v>
      </c>
      <c r="N311" s="6" t="n">
        <v>54</v>
      </c>
      <c r="O311" s="6" t="s">
        <v>58</v>
      </c>
      <c r="P311" s="6" t="n">
        <v>9</v>
      </c>
      <c r="Q311" s="6" t="n">
        <v>12.88</v>
      </c>
      <c r="R311" s="20" t="n">
        <f aca="false">(L311-K311)/K311</f>
        <v>-0.134170586917563</v>
      </c>
    </row>
    <row r="312" customFormat="false" ht="15" hidden="false" customHeight="false" outlineLevel="0" collapsed="false">
      <c r="A312" s="6" t="s">
        <v>474</v>
      </c>
      <c r="B312" s="6" t="n">
        <v>47</v>
      </c>
      <c r="C312" s="6" t="s">
        <v>134</v>
      </c>
      <c r="D312" s="6" t="s">
        <v>148</v>
      </c>
      <c r="E312" s="6" t="s">
        <v>90</v>
      </c>
      <c r="F312" s="6" t="s">
        <v>236</v>
      </c>
      <c r="G312" s="6" t="n">
        <v>22</v>
      </c>
      <c r="H312" s="6" t="s">
        <v>81</v>
      </c>
      <c r="I312" s="6" t="s">
        <v>80</v>
      </c>
      <c r="J312" s="6" t="s">
        <v>58</v>
      </c>
      <c r="K312" s="6" t="n">
        <v>55121</v>
      </c>
      <c r="L312" s="6" t="n">
        <v>54977</v>
      </c>
      <c r="M312" s="6" t="s">
        <v>142</v>
      </c>
      <c r="N312" s="6" t="n">
        <v>42</v>
      </c>
      <c r="O312" s="6" t="s">
        <v>58</v>
      </c>
      <c r="P312" s="6" t="n">
        <v>5</v>
      </c>
      <c r="Q312" s="6" t="n">
        <v>24.24</v>
      </c>
      <c r="R312" s="20" t="n">
        <f aca="false">(L312-K312)/K312</f>
        <v>-0.00261243446236462</v>
      </c>
    </row>
    <row r="313" customFormat="false" ht="15" hidden="false" customHeight="false" outlineLevel="0" collapsed="false">
      <c r="A313" s="6" t="s">
        <v>475</v>
      </c>
      <c r="B313" s="6" t="n">
        <v>50</v>
      </c>
      <c r="C313" s="6" t="s">
        <v>134</v>
      </c>
      <c r="D313" s="6" t="s">
        <v>148</v>
      </c>
      <c r="E313" s="6" t="s">
        <v>88</v>
      </c>
      <c r="F313" s="6" t="s">
        <v>179</v>
      </c>
      <c r="G313" s="6" t="n">
        <v>25</v>
      </c>
      <c r="H313" s="6" t="s">
        <v>80</v>
      </c>
      <c r="I313" s="6" t="s">
        <v>82</v>
      </c>
      <c r="J313" s="6" t="s">
        <v>60</v>
      </c>
      <c r="K313" s="6" t="n">
        <v>60620</v>
      </c>
      <c r="L313" s="6" t="n">
        <v>61766</v>
      </c>
      <c r="M313" s="6" t="s">
        <v>142</v>
      </c>
      <c r="N313" s="6" t="n">
        <v>47</v>
      </c>
      <c r="O313" s="6" t="s">
        <v>58</v>
      </c>
      <c r="P313" s="6" t="n">
        <v>3</v>
      </c>
      <c r="Q313" s="6" t="n">
        <v>27.1</v>
      </c>
      <c r="R313" s="20" t="n">
        <f aca="false">(L313-K313)/K313</f>
        <v>0.0189046519300561</v>
      </c>
    </row>
    <row r="314" customFormat="false" ht="15" hidden="false" customHeight="false" outlineLevel="0" collapsed="false">
      <c r="A314" s="6" t="s">
        <v>476</v>
      </c>
      <c r="B314" s="6" t="n">
        <v>38</v>
      </c>
      <c r="C314" s="6" t="s">
        <v>139</v>
      </c>
      <c r="D314" s="6" t="s">
        <v>135</v>
      </c>
      <c r="E314" s="6" t="s">
        <v>91</v>
      </c>
      <c r="F314" s="6" t="s">
        <v>206</v>
      </c>
      <c r="G314" s="6" t="n">
        <v>16</v>
      </c>
      <c r="H314" s="6" t="s">
        <v>81</v>
      </c>
      <c r="I314" s="6" t="s">
        <v>80</v>
      </c>
      <c r="J314" s="6" t="s">
        <v>60</v>
      </c>
      <c r="K314" s="6" t="n">
        <v>94641</v>
      </c>
      <c r="L314" s="6" t="n">
        <v>97601</v>
      </c>
      <c r="M314" s="6" t="s">
        <v>142</v>
      </c>
      <c r="N314" s="6" t="n">
        <v>44</v>
      </c>
      <c r="O314" s="6" t="s">
        <v>58</v>
      </c>
      <c r="P314" s="6" t="n">
        <v>4</v>
      </c>
      <c r="Q314" s="6" t="n">
        <v>-4.72</v>
      </c>
      <c r="R314" s="20" t="n">
        <f aca="false">(L314-K314)/K314</f>
        <v>0.0312760854175252</v>
      </c>
    </row>
    <row r="315" customFormat="false" ht="15" hidden="false" customHeight="false" outlineLevel="0" collapsed="false">
      <c r="A315" s="6" t="s">
        <v>477</v>
      </c>
      <c r="B315" s="6" t="n">
        <v>42</v>
      </c>
      <c r="C315" s="6" t="s">
        <v>134</v>
      </c>
      <c r="D315" s="6" t="s">
        <v>135</v>
      </c>
      <c r="E315" s="6" t="s">
        <v>90</v>
      </c>
      <c r="F315" s="6" t="s">
        <v>236</v>
      </c>
      <c r="G315" s="6" t="n">
        <v>17</v>
      </c>
      <c r="H315" s="6" t="s">
        <v>80</v>
      </c>
      <c r="I315" s="6" t="s">
        <v>82</v>
      </c>
      <c r="J315" s="6" t="s">
        <v>60</v>
      </c>
      <c r="K315" s="6" t="n">
        <v>58602</v>
      </c>
      <c r="L315" s="6" t="n">
        <v>59628</v>
      </c>
      <c r="M315" s="6" t="s">
        <v>142</v>
      </c>
      <c r="N315" s="6" t="n">
        <v>51</v>
      </c>
      <c r="O315" s="6" t="s">
        <v>60</v>
      </c>
      <c r="P315" s="6" t="n">
        <v>6</v>
      </c>
      <c r="Q315" s="6" t="n">
        <v>-6.38</v>
      </c>
      <c r="R315" s="20" t="n">
        <f aca="false">(L315-K315)/K315</f>
        <v>0.0175079348827685</v>
      </c>
    </row>
    <row r="316" customFormat="false" ht="15" hidden="false" customHeight="false" outlineLevel="0" collapsed="false">
      <c r="A316" s="6" t="s">
        <v>478</v>
      </c>
      <c r="B316" s="6" t="n">
        <v>44</v>
      </c>
      <c r="C316" s="6" t="s">
        <v>139</v>
      </c>
      <c r="D316" s="6" t="s">
        <v>148</v>
      </c>
      <c r="E316" s="6" t="s">
        <v>89</v>
      </c>
      <c r="F316" s="6" t="s">
        <v>151</v>
      </c>
      <c r="G316" s="6" t="n">
        <v>18</v>
      </c>
      <c r="H316" s="6" t="s">
        <v>80</v>
      </c>
      <c r="I316" s="6" t="s">
        <v>82</v>
      </c>
      <c r="J316" s="6" t="s">
        <v>58</v>
      </c>
      <c r="K316" s="6" t="n">
        <v>77684</v>
      </c>
      <c r="L316" s="6" t="n">
        <v>82392</v>
      </c>
      <c r="M316" s="6" t="s">
        <v>142</v>
      </c>
      <c r="N316" s="6" t="n">
        <v>39</v>
      </c>
      <c r="O316" s="6" t="s">
        <v>60</v>
      </c>
      <c r="P316" s="6" t="n">
        <v>7</v>
      </c>
      <c r="Q316" s="6" t="n">
        <v>10.73</v>
      </c>
      <c r="R316" s="20" t="n">
        <f aca="false">(L316-K316)/K316</f>
        <v>0.0606045002831986</v>
      </c>
    </row>
    <row r="317" customFormat="false" ht="15" hidden="false" customHeight="false" outlineLevel="0" collapsed="false">
      <c r="A317" s="6" t="s">
        <v>479</v>
      </c>
      <c r="B317" s="6" t="n">
        <v>29</v>
      </c>
      <c r="C317" s="6" t="s">
        <v>139</v>
      </c>
      <c r="D317" s="6" t="s">
        <v>140</v>
      </c>
      <c r="E317" s="6" t="s">
        <v>87</v>
      </c>
      <c r="F317" s="6" t="s">
        <v>155</v>
      </c>
      <c r="G317" s="6" t="n">
        <v>7</v>
      </c>
      <c r="H317" s="6" t="s">
        <v>81</v>
      </c>
      <c r="I317" s="6" t="s">
        <v>81</v>
      </c>
      <c r="J317" s="6" t="s">
        <v>60</v>
      </c>
      <c r="K317" s="6" t="n">
        <v>93530</v>
      </c>
      <c r="L317" s="6" t="n">
        <v>102668</v>
      </c>
      <c r="M317" s="6" t="s">
        <v>146</v>
      </c>
      <c r="N317" s="6" t="n">
        <v>37</v>
      </c>
      <c r="O317" s="6" t="s">
        <v>58</v>
      </c>
      <c r="P317" s="6" t="n">
        <v>3</v>
      </c>
      <c r="Q317" s="6" t="n">
        <v>28.13</v>
      </c>
      <c r="R317" s="20" t="n">
        <f aca="false">(L317-K317)/K317</f>
        <v>0.097701272319042</v>
      </c>
    </row>
    <row r="318" customFormat="false" ht="15" hidden="false" customHeight="false" outlineLevel="0" collapsed="false">
      <c r="A318" s="6" t="s">
        <v>480</v>
      </c>
      <c r="B318" s="6" t="n">
        <v>26</v>
      </c>
      <c r="C318" s="6" t="s">
        <v>159</v>
      </c>
      <c r="D318" s="6" t="s">
        <v>144</v>
      </c>
      <c r="E318" s="6" t="s">
        <v>93</v>
      </c>
      <c r="F318" s="6" t="s">
        <v>164</v>
      </c>
      <c r="G318" s="6" t="n">
        <v>1</v>
      </c>
      <c r="H318" s="6" t="s">
        <v>80</v>
      </c>
      <c r="I318" s="6" t="s">
        <v>81</v>
      </c>
      <c r="J318" s="6" t="s">
        <v>60</v>
      </c>
      <c r="K318" s="6" t="n">
        <v>118340</v>
      </c>
      <c r="L318" s="6" t="n">
        <v>119303</v>
      </c>
      <c r="M318" s="6" t="s">
        <v>146</v>
      </c>
      <c r="N318" s="6" t="n">
        <v>38</v>
      </c>
      <c r="O318" s="6" t="s">
        <v>58</v>
      </c>
      <c r="P318" s="6" t="n">
        <v>5</v>
      </c>
      <c r="Q318" s="6" t="n">
        <v>7.72</v>
      </c>
      <c r="R318" s="20" t="n">
        <f aca="false">(L318-K318)/K318</f>
        <v>0.00813756971438229</v>
      </c>
    </row>
    <row r="319" customFormat="false" ht="15" hidden="false" customHeight="false" outlineLevel="0" collapsed="false">
      <c r="A319" s="6" t="s">
        <v>481</v>
      </c>
      <c r="B319" s="6" t="n">
        <v>36</v>
      </c>
      <c r="C319" s="6" t="s">
        <v>134</v>
      </c>
      <c r="D319" s="6" t="s">
        <v>144</v>
      </c>
      <c r="E319" s="6" t="s">
        <v>93</v>
      </c>
      <c r="F319" s="6" t="s">
        <v>164</v>
      </c>
      <c r="G319" s="6" t="n">
        <v>12</v>
      </c>
      <c r="H319" s="6" t="s">
        <v>80</v>
      </c>
      <c r="I319" s="6" t="s">
        <v>80</v>
      </c>
      <c r="J319" s="6" t="s">
        <v>58</v>
      </c>
      <c r="K319" s="6" t="n">
        <v>94027</v>
      </c>
      <c r="L319" s="6" t="n">
        <v>94330</v>
      </c>
      <c r="M319" s="6" t="s">
        <v>142</v>
      </c>
      <c r="N319" s="6" t="n">
        <v>39</v>
      </c>
      <c r="O319" s="6" t="s">
        <v>58</v>
      </c>
      <c r="P319" s="6" t="n">
        <v>8</v>
      </c>
      <c r="Q319" s="6" t="n">
        <v>4.73</v>
      </c>
      <c r="R319" s="20" t="n">
        <f aca="false">(L319-K319)/K319</f>
        <v>0.00322247864974954</v>
      </c>
    </row>
    <row r="320" customFormat="false" ht="15" hidden="false" customHeight="false" outlineLevel="0" collapsed="false">
      <c r="A320" s="6" t="s">
        <v>482</v>
      </c>
      <c r="B320" s="6" t="n">
        <v>53</v>
      </c>
      <c r="C320" s="6" t="s">
        <v>139</v>
      </c>
      <c r="D320" s="6" t="s">
        <v>148</v>
      </c>
      <c r="E320" s="6" t="s">
        <v>87</v>
      </c>
      <c r="F320" s="6" t="s">
        <v>149</v>
      </c>
      <c r="G320" s="6" t="n">
        <v>30</v>
      </c>
      <c r="H320" s="6" t="s">
        <v>81</v>
      </c>
      <c r="I320" s="6" t="s">
        <v>82</v>
      </c>
      <c r="J320" s="6" t="s">
        <v>58</v>
      </c>
      <c r="K320" s="6" t="n">
        <v>72533</v>
      </c>
      <c r="L320" s="6" t="n">
        <v>67077</v>
      </c>
      <c r="M320" s="6" t="s">
        <v>142</v>
      </c>
      <c r="N320" s="6" t="n">
        <v>51</v>
      </c>
      <c r="O320" s="6" t="s">
        <v>58</v>
      </c>
      <c r="P320" s="6" t="n">
        <v>9</v>
      </c>
      <c r="Q320" s="6" t="n">
        <v>10.88</v>
      </c>
      <c r="R320" s="20" t="n">
        <f aca="false">(L320-K320)/K320</f>
        <v>-0.0752209339197331</v>
      </c>
    </row>
    <row r="321" customFormat="false" ht="15" hidden="false" customHeight="false" outlineLevel="0" collapsed="false">
      <c r="A321" s="6" t="s">
        <v>483</v>
      </c>
      <c r="B321" s="6" t="n">
        <v>29</v>
      </c>
      <c r="C321" s="6" t="s">
        <v>134</v>
      </c>
      <c r="D321" s="6" t="s">
        <v>144</v>
      </c>
      <c r="E321" s="6" t="s">
        <v>92</v>
      </c>
      <c r="F321" s="6" t="s">
        <v>222</v>
      </c>
      <c r="G321" s="6" t="n">
        <v>7</v>
      </c>
      <c r="H321" s="6" t="s">
        <v>82</v>
      </c>
      <c r="I321" s="6" t="s">
        <v>82</v>
      </c>
      <c r="J321" s="6" t="s">
        <v>58</v>
      </c>
      <c r="K321" s="6" t="n">
        <v>65144</v>
      </c>
      <c r="L321" s="6" t="n">
        <v>67043</v>
      </c>
      <c r="M321" s="6" t="s">
        <v>146</v>
      </c>
      <c r="N321" s="6" t="n">
        <v>51</v>
      </c>
      <c r="O321" s="6" t="s">
        <v>58</v>
      </c>
      <c r="P321" s="6" t="n">
        <v>6</v>
      </c>
      <c r="Q321" s="6" t="n">
        <v>-7.66</v>
      </c>
      <c r="R321" s="20" t="n">
        <f aca="false">(L321-K321)/K321</f>
        <v>0.0291508043718531</v>
      </c>
    </row>
    <row r="322" customFormat="false" ht="15" hidden="false" customHeight="false" outlineLevel="0" collapsed="false">
      <c r="A322" s="6" t="s">
        <v>484</v>
      </c>
      <c r="B322" s="6" t="n">
        <v>25</v>
      </c>
      <c r="C322" s="6" t="s">
        <v>159</v>
      </c>
      <c r="D322" s="6" t="s">
        <v>148</v>
      </c>
      <c r="E322" s="6" t="s">
        <v>88</v>
      </c>
      <c r="F322" s="6" t="s">
        <v>157</v>
      </c>
      <c r="G322" s="6" t="n">
        <v>3</v>
      </c>
      <c r="H322" s="6" t="s">
        <v>81</v>
      </c>
      <c r="I322" s="6" t="s">
        <v>82</v>
      </c>
      <c r="J322" s="6" t="s">
        <v>58</v>
      </c>
      <c r="K322" s="6" t="n">
        <v>89560</v>
      </c>
      <c r="L322" s="6" t="n">
        <v>106392</v>
      </c>
      <c r="M322" s="6" t="s">
        <v>142</v>
      </c>
      <c r="N322" s="6" t="n">
        <v>52</v>
      </c>
      <c r="O322" s="6" t="s">
        <v>58</v>
      </c>
      <c r="P322" s="6" t="n">
        <v>4</v>
      </c>
      <c r="Q322" s="6" t="n">
        <v>8.7</v>
      </c>
      <c r="R322" s="20" t="n">
        <f aca="false">(L322-K322)/K322</f>
        <v>0.187941045109424</v>
      </c>
    </row>
    <row r="323" customFormat="false" ht="15" hidden="false" customHeight="false" outlineLevel="0" collapsed="false">
      <c r="A323" s="6" t="s">
        <v>485</v>
      </c>
      <c r="B323" s="6" t="n">
        <v>42</v>
      </c>
      <c r="C323" s="6" t="s">
        <v>159</v>
      </c>
      <c r="D323" s="6" t="s">
        <v>148</v>
      </c>
      <c r="E323" s="6" t="s">
        <v>92</v>
      </c>
      <c r="F323" s="6" t="s">
        <v>192</v>
      </c>
      <c r="G323" s="6" t="n">
        <v>17</v>
      </c>
      <c r="H323" s="6" t="s">
        <v>80</v>
      </c>
      <c r="I323" s="6" t="s">
        <v>82</v>
      </c>
      <c r="J323" s="6" t="s">
        <v>60</v>
      </c>
      <c r="K323" s="6" t="n">
        <v>55227</v>
      </c>
      <c r="L323" s="6" t="n">
        <v>56395</v>
      </c>
      <c r="M323" s="6" t="s">
        <v>142</v>
      </c>
      <c r="N323" s="6" t="n">
        <v>47</v>
      </c>
      <c r="O323" s="6" t="s">
        <v>58</v>
      </c>
      <c r="P323" s="6" t="n">
        <v>7</v>
      </c>
      <c r="Q323" s="6" t="n">
        <v>-13.16</v>
      </c>
      <c r="R323" s="20" t="n">
        <f aca="false">(L323-K323)/K323</f>
        <v>0.0211490756332953</v>
      </c>
    </row>
    <row r="324" customFormat="false" ht="15" hidden="false" customHeight="false" outlineLevel="0" collapsed="false">
      <c r="A324" s="6" t="s">
        <v>486</v>
      </c>
      <c r="B324" s="6" t="n">
        <v>53</v>
      </c>
      <c r="C324" s="6" t="s">
        <v>159</v>
      </c>
      <c r="D324" s="6" t="s">
        <v>140</v>
      </c>
      <c r="E324" s="6" t="s">
        <v>87</v>
      </c>
      <c r="F324" s="6" t="s">
        <v>149</v>
      </c>
      <c r="G324" s="6" t="n">
        <v>28</v>
      </c>
      <c r="H324" s="6" t="s">
        <v>82</v>
      </c>
      <c r="I324" s="6" t="s">
        <v>81</v>
      </c>
      <c r="J324" s="6" t="s">
        <v>58</v>
      </c>
      <c r="K324" s="6" t="n">
        <v>87866</v>
      </c>
      <c r="L324" s="6" t="n">
        <v>72598</v>
      </c>
      <c r="M324" s="6" t="s">
        <v>146</v>
      </c>
      <c r="N324" s="6" t="n">
        <v>52</v>
      </c>
      <c r="O324" s="6" t="s">
        <v>60</v>
      </c>
      <c r="P324" s="6" t="n">
        <v>9</v>
      </c>
      <c r="Q324" s="6" t="n">
        <v>-13.35</v>
      </c>
      <c r="R324" s="20" t="n">
        <f aca="false">(L324-K324)/K324</f>
        <v>-0.1737645960895</v>
      </c>
    </row>
    <row r="325" customFormat="false" ht="15" hidden="false" customHeight="false" outlineLevel="0" collapsed="false">
      <c r="A325" s="6" t="s">
        <v>487</v>
      </c>
      <c r="B325" s="6" t="n">
        <v>30</v>
      </c>
      <c r="C325" s="6" t="s">
        <v>134</v>
      </c>
      <c r="D325" s="6" t="s">
        <v>144</v>
      </c>
      <c r="E325" s="6" t="s">
        <v>91</v>
      </c>
      <c r="F325" s="6" t="s">
        <v>208</v>
      </c>
      <c r="G325" s="6" t="n">
        <v>8</v>
      </c>
      <c r="H325" s="6" t="s">
        <v>82</v>
      </c>
      <c r="I325" s="6" t="s">
        <v>81</v>
      </c>
      <c r="J325" s="6" t="s">
        <v>58</v>
      </c>
      <c r="K325" s="6" t="n">
        <v>100119</v>
      </c>
      <c r="L325" s="6" t="n">
        <v>106050</v>
      </c>
      <c r="M325" s="6" t="s">
        <v>146</v>
      </c>
      <c r="N325" s="6" t="n">
        <v>52</v>
      </c>
      <c r="O325" s="6" t="s">
        <v>60</v>
      </c>
      <c r="P325" s="6" t="n">
        <v>8</v>
      </c>
      <c r="Q325" s="6" t="n">
        <v>6.36</v>
      </c>
      <c r="R325" s="20" t="n">
        <f aca="false">(L325-K325)/K325</f>
        <v>0.059239504989063</v>
      </c>
    </row>
    <row r="326" customFormat="false" ht="15" hidden="false" customHeight="false" outlineLevel="0" collapsed="false">
      <c r="A326" s="6" t="s">
        <v>488</v>
      </c>
      <c r="B326" s="6" t="n">
        <v>51</v>
      </c>
      <c r="C326" s="6" t="s">
        <v>134</v>
      </c>
      <c r="D326" s="6" t="s">
        <v>148</v>
      </c>
      <c r="E326" s="6" t="s">
        <v>92</v>
      </c>
      <c r="F326" s="6" t="s">
        <v>192</v>
      </c>
      <c r="G326" s="6" t="n">
        <v>26</v>
      </c>
      <c r="H326" s="6" t="s">
        <v>80</v>
      </c>
      <c r="I326" s="6" t="s">
        <v>81</v>
      </c>
      <c r="J326" s="6" t="s">
        <v>60</v>
      </c>
      <c r="K326" s="6" t="n">
        <v>76804</v>
      </c>
      <c r="L326" s="6" t="n">
        <v>80751</v>
      </c>
      <c r="M326" s="6" t="s">
        <v>146</v>
      </c>
      <c r="N326" s="6" t="n">
        <v>51</v>
      </c>
      <c r="O326" s="6" t="s">
        <v>58</v>
      </c>
      <c r="P326" s="6" t="n">
        <v>7</v>
      </c>
      <c r="Q326" s="6" t="n">
        <v>9.76</v>
      </c>
      <c r="R326" s="20" t="n">
        <f aca="false">(L326-K326)/K326</f>
        <v>0.0513905525753867</v>
      </c>
    </row>
    <row r="327" customFormat="false" ht="15" hidden="false" customHeight="false" outlineLevel="0" collapsed="false">
      <c r="A327" s="6" t="s">
        <v>489</v>
      </c>
      <c r="B327" s="6" t="n">
        <v>56</v>
      </c>
      <c r="C327" s="6" t="s">
        <v>139</v>
      </c>
      <c r="D327" s="6" t="s">
        <v>144</v>
      </c>
      <c r="E327" s="6" t="s">
        <v>91</v>
      </c>
      <c r="F327" s="6" t="s">
        <v>206</v>
      </c>
      <c r="G327" s="6" t="n">
        <v>33</v>
      </c>
      <c r="H327" s="6" t="s">
        <v>82</v>
      </c>
      <c r="I327" s="6" t="s">
        <v>81</v>
      </c>
      <c r="J327" s="6" t="s">
        <v>58</v>
      </c>
      <c r="K327" s="6" t="n">
        <v>78758</v>
      </c>
      <c r="L327" s="6" t="n">
        <v>104556</v>
      </c>
      <c r="M327" s="6" t="s">
        <v>146</v>
      </c>
      <c r="N327" s="6" t="n">
        <v>49</v>
      </c>
      <c r="O327" s="6" t="s">
        <v>58</v>
      </c>
      <c r="P327" s="6" t="n">
        <v>4</v>
      </c>
      <c r="Q327" s="6" t="n">
        <v>-4.49</v>
      </c>
      <c r="R327" s="20" t="n">
        <f aca="false">(L327-K327)/K327</f>
        <v>0.327560374819066</v>
      </c>
    </row>
    <row r="328" customFormat="false" ht="15" hidden="false" customHeight="false" outlineLevel="0" collapsed="false">
      <c r="A328" s="6" t="s">
        <v>490</v>
      </c>
      <c r="B328" s="6" t="n">
        <v>42</v>
      </c>
      <c r="C328" s="6" t="s">
        <v>159</v>
      </c>
      <c r="D328" s="6" t="s">
        <v>144</v>
      </c>
      <c r="E328" s="6" t="s">
        <v>93</v>
      </c>
      <c r="F328" s="6" t="s">
        <v>164</v>
      </c>
      <c r="G328" s="6" t="n">
        <v>16</v>
      </c>
      <c r="H328" s="6" t="s">
        <v>80</v>
      </c>
      <c r="I328" s="6" t="s">
        <v>82</v>
      </c>
      <c r="J328" s="6" t="s">
        <v>58</v>
      </c>
      <c r="K328" s="6" t="n">
        <v>45997</v>
      </c>
      <c r="L328" s="6" t="n">
        <v>49506</v>
      </c>
      <c r="M328" s="6" t="s">
        <v>142</v>
      </c>
      <c r="N328" s="6" t="n">
        <v>41</v>
      </c>
      <c r="O328" s="6" t="s">
        <v>58</v>
      </c>
      <c r="P328" s="6" t="n">
        <v>9</v>
      </c>
      <c r="Q328" s="6" t="n">
        <v>23.71</v>
      </c>
      <c r="R328" s="20" t="n">
        <f aca="false">(L328-K328)/K328</f>
        <v>0.0762875839728678</v>
      </c>
    </row>
    <row r="329" customFormat="false" ht="15" hidden="false" customHeight="false" outlineLevel="0" collapsed="false">
      <c r="A329" s="6" t="s">
        <v>491</v>
      </c>
      <c r="B329" s="6" t="n">
        <v>53</v>
      </c>
      <c r="C329" s="6" t="s">
        <v>139</v>
      </c>
      <c r="D329" s="6" t="s">
        <v>140</v>
      </c>
      <c r="E329" s="6" t="s">
        <v>90</v>
      </c>
      <c r="F329" s="6" t="s">
        <v>236</v>
      </c>
      <c r="G329" s="6" t="n">
        <v>29</v>
      </c>
      <c r="H329" s="6" t="s">
        <v>81</v>
      </c>
      <c r="I329" s="6" t="s">
        <v>80</v>
      </c>
      <c r="J329" s="6" t="s">
        <v>58</v>
      </c>
      <c r="K329" s="6" t="n">
        <v>87941</v>
      </c>
      <c r="L329" s="6" t="n">
        <v>99017</v>
      </c>
      <c r="M329" s="6" t="s">
        <v>142</v>
      </c>
      <c r="N329" s="6" t="n">
        <v>47</v>
      </c>
      <c r="O329" s="6" t="s">
        <v>58</v>
      </c>
      <c r="P329" s="6" t="n">
        <v>4</v>
      </c>
      <c r="Q329" s="6" t="n">
        <v>-3.84</v>
      </c>
      <c r="R329" s="20" t="n">
        <f aca="false">(L329-K329)/K329</f>
        <v>0.125948078825576</v>
      </c>
    </row>
    <row r="330" customFormat="false" ht="15" hidden="false" customHeight="false" outlineLevel="0" collapsed="false">
      <c r="A330" s="6" t="s">
        <v>492</v>
      </c>
      <c r="B330" s="6" t="n">
        <v>23</v>
      </c>
      <c r="C330" s="6" t="s">
        <v>139</v>
      </c>
      <c r="D330" s="6" t="s">
        <v>148</v>
      </c>
      <c r="E330" s="6" t="s">
        <v>88</v>
      </c>
      <c r="F330" s="6" t="s">
        <v>234</v>
      </c>
      <c r="G330" s="6" t="n">
        <v>0</v>
      </c>
      <c r="H330" s="6" t="s">
        <v>80</v>
      </c>
      <c r="I330" s="6" t="s">
        <v>81</v>
      </c>
      <c r="J330" s="6" t="s">
        <v>58</v>
      </c>
      <c r="K330" s="6" t="n">
        <v>85731</v>
      </c>
      <c r="L330" s="6" t="n">
        <v>91960</v>
      </c>
      <c r="M330" s="6" t="s">
        <v>146</v>
      </c>
      <c r="N330" s="6" t="n">
        <v>53</v>
      </c>
      <c r="O330" s="6" t="s">
        <v>60</v>
      </c>
      <c r="P330" s="6" t="n">
        <v>9</v>
      </c>
      <c r="Q330" s="6" t="n">
        <v>-7.19</v>
      </c>
      <c r="R330" s="20" t="n">
        <f aca="false">(L330-K330)/K330</f>
        <v>0.0726574984544681</v>
      </c>
    </row>
    <row r="331" customFormat="false" ht="15" hidden="false" customHeight="false" outlineLevel="0" collapsed="false">
      <c r="A331" s="6" t="s">
        <v>493</v>
      </c>
      <c r="B331" s="6" t="n">
        <v>45</v>
      </c>
      <c r="C331" s="6" t="s">
        <v>134</v>
      </c>
      <c r="D331" s="6" t="s">
        <v>144</v>
      </c>
      <c r="E331" s="6" t="s">
        <v>87</v>
      </c>
      <c r="F331" s="6" t="s">
        <v>149</v>
      </c>
      <c r="G331" s="6" t="n">
        <v>20</v>
      </c>
      <c r="H331" s="6" t="s">
        <v>82</v>
      </c>
      <c r="I331" s="6" t="s">
        <v>82</v>
      </c>
      <c r="J331" s="6" t="s">
        <v>58</v>
      </c>
      <c r="K331" s="6" t="n">
        <v>87804</v>
      </c>
      <c r="L331" s="6" t="n">
        <v>92022</v>
      </c>
      <c r="M331" s="6" t="s">
        <v>137</v>
      </c>
      <c r="N331" s="6" t="n">
        <v>35</v>
      </c>
      <c r="O331" s="6" t="s">
        <v>60</v>
      </c>
      <c r="P331" s="6" t="n">
        <v>5</v>
      </c>
      <c r="Q331" s="6" t="n">
        <v>25.49</v>
      </c>
      <c r="R331" s="20" t="n">
        <f aca="false">(L331-K331)/K331</f>
        <v>0.0480388137214706</v>
      </c>
    </row>
    <row r="332" customFormat="false" ht="15" hidden="false" customHeight="false" outlineLevel="0" collapsed="false">
      <c r="A332" s="6" t="s">
        <v>494</v>
      </c>
      <c r="B332" s="6" t="n">
        <v>40</v>
      </c>
      <c r="C332" s="6" t="s">
        <v>134</v>
      </c>
      <c r="D332" s="6" t="s">
        <v>144</v>
      </c>
      <c r="E332" s="6" t="s">
        <v>92</v>
      </c>
      <c r="F332" s="6" t="s">
        <v>192</v>
      </c>
      <c r="G332" s="6" t="n">
        <v>14</v>
      </c>
      <c r="H332" s="6" t="s">
        <v>82</v>
      </c>
      <c r="I332" s="6" t="s">
        <v>82</v>
      </c>
      <c r="J332" s="6" t="s">
        <v>60</v>
      </c>
      <c r="K332" s="6" t="n">
        <v>59725</v>
      </c>
      <c r="L332" s="6" t="n">
        <v>79075</v>
      </c>
      <c r="M332" s="6" t="s">
        <v>137</v>
      </c>
      <c r="N332" s="6" t="n">
        <v>39</v>
      </c>
      <c r="O332" s="6" t="s">
        <v>60</v>
      </c>
      <c r="P332" s="6" t="n">
        <v>9</v>
      </c>
      <c r="Q332" s="6" t="n">
        <v>18.18</v>
      </c>
      <c r="R332" s="20" t="n">
        <f aca="false">(L332-K332)/K332</f>
        <v>0.323984930933445</v>
      </c>
    </row>
    <row r="333" customFormat="false" ht="15" hidden="false" customHeight="false" outlineLevel="0" collapsed="false">
      <c r="A333" s="6" t="s">
        <v>495</v>
      </c>
      <c r="B333" s="6" t="n">
        <v>29</v>
      </c>
      <c r="C333" s="6" t="s">
        <v>159</v>
      </c>
      <c r="D333" s="6" t="s">
        <v>144</v>
      </c>
      <c r="E333" s="6" t="s">
        <v>88</v>
      </c>
      <c r="F333" s="6" t="s">
        <v>234</v>
      </c>
      <c r="G333" s="6" t="n">
        <v>6</v>
      </c>
      <c r="H333" s="6" t="s">
        <v>82</v>
      </c>
      <c r="I333" s="6" t="s">
        <v>80</v>
      </c>
      <c r="J333" s="6" t="s">
        <v>58</v>
      </c>
      <c r="K333" s="6" t="n">
        <v>95095</v>
      </c>
      <c r="L333" s="6" t="n">
        <v>90150</v>
      </c>
      <c r="M333" s="6" t="s">
        <v>142</v>
      </c>
      <c r="N333" s="6" t="n">
        <v>35</v>
      </c>
      <c r="O333" s="6" t="s">
        <v>58</v>
      </c>
      <c r="P333" s="6" t="n">
        <v>6</v>
      </c>
      <c r="Q333" s="6" t="n">
        <v>23.59</v>
      </c>
      <c r="R333" s="20" t="n">
        <f aca="false">(L333-K333)/K333</f>
        <v>-0.0520006309479994</v>
      </c>
    </row>
    <row r="334" customFormat="false" ht="15" hidden="false" customHeight="false" outlineLevel="0" collapsed="false">
      <c r="A334" s="6" t="s">
        <v>496</v>
      </c>
      <c r="B334" s="6" t="n">
        <v>56</v>
      </c>
      <c r="C334" s="6" t="s">
        <v>139</v>
      </c>
      <c r="D334" s="6" t="s">
        <v>144</v>
      </c>
      <c r="E334" s="6" t="s">
        <v>89</v>
      </c>
      <c r="F334" s="6" t="s">
        <v>151</v>
      </c>
      <c r="G334" s="6" t="n">
        <v>33</v>
      </c>
      <c r="H334" s="6" t="s">
        <v>82</v>
      </c>
      <c r="I334" s="6" t="s">
        <v>81</v>
      </c>
      <c r="J334" s="6" t="s">
        <v>58</v>
      </c>
      <c r="K334" s="6" t="n">
        <v>98056</v>
      </c>
      <c r="L334" s="6" t="n">
        <v>111102</v>
      </c>
      <c r="M334" s="6" t="s">
        <v>146</v>
      </c>
      <c r="N334" s="6" t="n">
        <v>41</v>
      </c>
      <c r="O334" s="6" t="s">
        <v>58</v>
      </c>
      <c r="P334" s="6" t="n">
        <v>5</v>
      </c>
      <c r="Q334" s="6" t="n">
        <v>23.98</v>
      </c>
      <c r="R334" s="20" t="n">
        <f aca="false">(L334-K334)/K334</f>
        <v>0.133046422452476</v>
      </c>
    </row>
    <row r="335" customFormat="false" ht="15" hidden="false" customHeight="false" outlineLevel="0" collapsed="false">
      <c r="A335" s="6" t="s">
        <v>497</v>
      </c>
      <c r="B335" s="6" t="n">
        <v>48</v>
      </c>
      <c r="C335" s="6" t="s">
        <v>139</v>
      </c>
      <c r="D335" s="6" t="s">
        <v>140</v>
      </c>
      <c r="E335" s="6" t="s">
        <v>87</v>
      </c>
      <c r="F335" s="6" t="s">
        <v>155</v>
      </c>
      <c r="G335" s="6" t="n">
        <v>25</v>
      </c>
      <c r="H335" s="6" t="s">
        <v>82</v>
      </c>
      <c r="I335" s="6" t="s">
        <v>80</v>
      </c>
      <c r="J335" s="6" t="s">
        <v>58</v>
      </c>
      <c r="K335" s="6" t="n">
        <v>61656</v>
      </c>
      <c r="L335" s="6" t="n">
        <v>63207</v>
      </c>
      <c r="M335" s="6" t="s">
        <v>142</v>
      </c>
      <c r="N335" s="6" t="n">
        <v>38</v>
      </c>
      <c r="O335" s="6" t="s">
        <v>60</v>
      </c>
      <c r="P335" s="6" t="n">
        <v>8</v>
      </c>
      <c r="Q335" s="6" t="n">
        <v>12.32</v>
      </c>
      <c r="R335" s="20" t="n">
        <f aca="false">(L335-K335)/K335</f>
        <v>0.0251557026080187</v>
      </c>
    </row>
    <row r="336" customFormat="false" ht="15" hidden="false" customHeight="false" outlineLevel="0" collapsed="false">
      <c r="A336" s="6" t="s">
        <v>498</v>
      </c>
      <c r="B336" s="6" t="n">
        <v>47</v>
      </c>
      <c r="C336" s="6" t="s">
        <v>134</v>
      </c>
      <c r="D336" s="6" t="s">
        <v>140</v>
      </c>
      <c r="E336" s="6" t="s">
        <v>92</v>
      </c>
      <c r="F336" s="6" t="s">
        <v>192</v>
      </c>
      <c r="G336" s="6" t="n">
        <v>24</v>
      </c>
      <c r="H336" s="6" t="s">
        <v>80</v>
      </c>
      <c r="I336" s="6" t="s">
        <v>81</v>
      </c>
      <c r="J336" s="6" t="s">
        <v>58</v>
      </c>
      <c r="K336" s="6" t="n">
        <v>40805</v>
      </c>
      <c r="L336" s="6" t="n">
        <v>43861</v>
      </c>
      <c r="M336" s="6" t="s">
        <v>146</v>
      </c>
      <c r="N336" s="6" t="n">
        <v>36</v>
      </c>
      <c r="O336" s="6" t="s">
        <v>60</v>
      </c>
      <c r="P336" s="6" t="n">
        <v>7</v>
      </c>
      <c r="Q336" s="6" t="n">
        <v>-19.34</v>
      </c>
      <c r="R336" s="20" t="n">
        <f aca="false">(L336-K336)/K336</f>
        <v>0.0748927827472124</v>
      </c>
    </row>
    <row r="337" customFormat="false" ht="15" hidden="false" customHeight="false" outlineLevel="0" collapsed="false">
      <c r="A337" s="6" t="s">
        <v>499</v>
      </c>
      <c r="B337" s="6" t="n">
        <v>41</v>
      </c>
      <c r="C337" s="6" t="s">
        <v>134</v>
      </c>
      <c r="D337" s="6" t="s">
        <v>144</v>
      </c>
      <c r="E337" s="6" t="s">
        <v>88</v>
      </c>
      <c r="F337" s="6" t="s">
        <v>179</v>
      </c>
      <c r="G337" s="6" t="n">
        <v>17</v>
      </c>
      <c r="H337" s="6" t="s">
        <v>81</v>
      </c>
      <c r="I337" s="6" t="s">
        <v>81</v>
      </c>
      <c r="J337" s="6" t="s">
        <v>60</v>
      </c>
      <c r="K337" s="6" t="n">
        <v>66751</v>
      </c>
      <c r="L337" s="6" t="n">
        <v>63057</v>
      </c>
      <c r="M337" s="6" t="s">
        <v>146</v>
      </c>
      <c r="N337" s="6" t="n">
        <v>53</v>
      </c>
      <c r="O337" s="6" t="s">
        <v>58</v>
      </c>
      <c r="P337" s="6" t="n">
        <v>7</v>
      </c>
      <c r="Q337" s="6" t="n">
        <v>-1.66</v>
      </c>
      <c r="R337" s="20" t="n">
        <f aca="false">(L337-K337)/K337</f>
        <v>-0.0553399949064434</v>
      </c>
    </row>
    <row r="338" customFormat="false" ht="15" hidden="false" customHeight="false" outlineLevel="0" collapsed="false">
      <c r="A338" s="6" t="s">
        <v>500</v>
      </c>
      <c r="B338" s="6" t="n">
        <v>25</v>
      </c>
      <c r="C338" s="6" t="s">
        <v>159</v>
      </c>
      <c r="D338" s="6" t="s">
        <v>140</v>
      </c>
      <c r="E338" s="6" t="s">
        <v>93</v>
      </c>
      <c r="F338" s="6" t="s">
        <v>164</v>
      </c>
      <c r="G338" s="6" t="n">
        <v>0</v>
      </c>
      <c r="H338" s="6" t="s">
        <v>82</v>
      </c>
      <c r="I338" s="6" t="s">
        <v>81</v>
      </c>
      <c r="J338" s="6" t="s">
        <v>58</v>
      </c>
      <c r="K338" s="6" t="n">
        <v>48313</v>
      </c>
      <c r="L338" s="6" t="n">
        <v>64339</v>
      </c>
      <c r="M338" s="6" t="s">
        <v>146</v>
      </c>
      <c r="N338" s="6" t="n">
        <v>39</v>
      </c>
      <c r="O338" s="6" t="s">
        <v>58</v>
      </c>
      <c r="P338" s="6" t="n">
        <v>8</v>
      </c>
      <c r="Q338" s="6" t="n">
        <v>15.58</v>
      </c>
      <c r="R338" s="20" t="n">
        <f aca="false">(L338-K338)/K338</f>
        <v>0.331711961583839</v>
      </c>
    </row>
    <row r="339" customFormat="false" ht="15" hidden="false" customHeight="false" outlineLevel="0" collapsed="false">
      <c r="A339" s="6" t="s">
        <v>501</v>
      </c>
      <c r="B339" s="6" t="n">
        <v>42</v>
      </c>
      <c r="C339" s="6" t="s">
        <v>139</v>
      </c>
      <c r="D339" s="6" t="s">
        <v>148</v>
      </c>
      <c r="E339" s="6" t="s">
        <v>93</v>
      </c>
      <c r="F339" s="6" t="s">
        <v>181</v>
      </c>
      <c r="G339" s="6" t="n">
        <v>16</v>
      </c>
      <c r="H339" s="6" t="s">
        <v>81</v>
      </c>
      <c r="I339" s="6" t="s">
        <v>82</v>
      </c>
      <c r="J339" s="6" t="s">
        <v>58</v>
      </c>
      <c r="K339" s="6" t="n">
        <v>110073</v>
      </c>
      <c r="L339" s="6" t="n">
        <v>119525</v>
      </c>
      <c r="M339" s="6" t="s">
        <v>142</v>
      </c>
      <c r="N339" s="6" t="n">
        <v>47</v>
      </c>
      <c r="O339" s="6" t="s">
        <v>58</v>
      </c>
      <c r="P339" s="6" t="n">
        <v>6</v>
      </c>
      <c r="Q339" s="6" t="n">
        <v>1.33</v>
      </c>
      <c r="R339" s="20" t="n">
        <f aca="false">(L339-K339)/K339</f>
        <v>0.0858702860828723</v>
      </c>
    </row>
    <row r="340" customFormat="false" ht="15" hidden="false" customHeight="false" outlineLevel="0" collapsed="false">
      <c r="A340" s="6" t="s">
        <v>502</v>
      </c>
      <c r="B340" s="6" t="n">
        <v>38</v>
      </c>
      <c r="C340" s="6" t="s">
        <v>159</v>
      </c>
      <c r="D340" s="6" t="s">
        <v>144</v>
      </c>
      <c r="E340" s="6" t="s">
        <v>88</v>
      </c>
      <c r="F340" s="6" t="s">
        <v>179</v>
      </c>
      <c r="G340" s="6" t="n">
        <v>13</v>
      </c>
      <c r="H340" s="6" t="s">
        <v>81</v>
      </c>
      <c r="I340" s="6" t="s">
        <v>82</v>
      </c>
      <c r="J340" s="6" t="s">
        <v>58</v>
      </c>
      <c r="K340" s="6" t="n">
        <v>66060</v>
      </c>
      <c r="L340" s="6" t="n">
        <v>72183</v>
      </c>
      <c r="M340" s="6" t="s">
        <v>142</v>
      </c>
      <c r="N340" s="6" t="n">
        <v>50</v>
      </c>
      <c r="O340" s="6" t="s">
        <v>58</v>
      </c>
      <c r="P340" s="6" t="n">
        <v>4</v>
      </c>
      <c r="Q340" s="6" t="n">
        <v>-16.11</v>
      </c>
      <c r="R340" s="20" t="n">
        <f aca="false">(L340-K340)/K340</f>
        <v>0.0926884650317893</v>
      </c>
    </row>
    <row r="341" customFormat="false" ht="15" hidden="false" customHeight="false" outlineLevel="0" collapsed="false">
      <c r="A341" s="6" t="s">
        <v>503</v>
      </c>
      <c r="B341" s="6" t="n">
        <v>25</v>
      </c>
      <c r="C341" s="6" t="s">
        <v>134</v>
      </c>
      <c r="D341" s="6" t="s">
        <v>148</v>
      </c>
      <c r="E341" s="6" t="s">
        <v>88</v>
      </c>
      <c r="F341" s="6" t="s">
        <v>234</v>
      </c>
      <c r="G341" s="6" t="n">
        <v>2</v>
      </c>
      <c r="H341" s="6" t="s">
        <v>81</v>
      </c>
      <c r="I341" s="6" t="s">
        <v>80</v>
      </c>
      <c r="J341" s="6" t="s">
        <v>58</v>
      </c>
      <c r="K341" s="6" t="n">
        <v>46029</v>
      </c>
      <c r="L341" s="6" t="n">
        <v>52541</v>
      </c>
      <c r="M341" s="6" t="s">
        <v>142</v>
      </c>
      <c r="N341" s="6" t="n">
        <v>53</v>
      </c>
      <c r="O341" s="6" t="s">
        <v>60</v>
      </c>
      <c r="P341" s="6" t="n">
        <v>3</v>
      </c>
      <c r="Q341" s="6" t="n">
        <v>-3.81</v>
      </c>
      <c r="R341" s="20" t="n">
        <f aca="false">(L341-K341)/K341</f>
        <v>0.141476025983619</v>
      </c>
    </row>
    <row r="342" customFormat="false" ht="15" hidden="false" customHeight="false" outlineLevel="0" collapsed="false">
      <c r="A342" s="6" t="s">
        <v>504</v>
      </c>
      <c r="B342" s="6" t="n">
        <v>40</v>
      </c>
      <c r="C342" s="6" t="s">
        <v>159</v>
      </c>
      <c r="D342" s="6" t="s">
        <v>135</v>
      </c>
      <c r="E342" s="6" t="s">
        <v>93</v>
      </c>
      <c r="F342" s="6" t="s">
        <v>164</v>
      </c>
      <c r="G342" s="6" t="n">
        <v>14</v>
      </c>
      <c r="H342" s="6" t="s">
        <v>81</v>
      </c>
      <c r="I342" s="6" t="s">
        <v>82</v>
      </c>
      <c r="J342" s="6" t="s">
        <v>60</v>
      </c>
      <c r="K342" s="6" t="n">
        <v>92539</v>
      </c>
      <c r="L342" s="6" t="n">
        <v>105075</v>
      </c>
      <c r="M342" s="6" t="s">
        <v>142</v>
      </c>
      <c r="N342" s="6" t="n">
        <v>38</v>
      </c>
      <c r="O342" s="6" t="s">
        <v>60</v>
      </c>
      <c r="P342" s="6" t="n">
        <v>5</v>
      </c>
      <c r="Q342" s="6" t="n">
        <v>22.46</v>
      </c>
      <c r="R342" s="20" t="n">
        <f aca="false">(L342-K342)/K342</f>
        <v>0.135467208420234</v>
      </c>
    </row>
    <row r="343" customFormat="false" ht="15" hidden="false" customHeight="false" outlineLevel="0" collapsed="false">
      <c r="A343" s="6" t="s">
        <v>505</v>
      </c>
      <c r="B343" s="6" t="n">
        <v>57</v>
      </c>
      <c r="C343" s="6" t="s">
        <v>139</v>
      </c>
      <c r="D343" s="6" t="s">
        <v>135</v>
      </c>
      <c r="E343" s="6" t="s">
        <v>89</v>
      </c>
      <c r="F343" s="6" t="s">
        <v>162</v>
      </c>
      <c r="G343" s="6" t="n">
        <v>35</v>
      </c>
      <c r="H343" s="6" t="s">
        <v>81</v>
      </c>
      <c r="I343" s="6" t="s">
        <v>81</v>
      </c>
      <c r="J343" s="6" t="s">
        <v>60</v>
      </c>
      <c r="K343" s="6" t="n">
        <v>106256</v>
      </c>
      <c r="L343" s="6" t="n">
        <v>98454</v>
      </c>
      <c r="M343" s="6" t="s">
        <v>146</v>
      </c>
      <c r="N343" s="6" t="n">
        <v>49</v>
      </c>
      <c r="O343" s="6" t="s">
        <v>60</v>
      </c>
      <c r="P343" s="6" t="n">
        <v>5</v>
      </c>
      <c r="Q343" s="6" t="n">
        <v>-6.76</v>
      </c>
      <c r="R343" s="20" t="n">
        <f aca="false">(L343-K343)/K343</f>
        <v>-0.0734264418009336</v>
      </c>
    </row>
    <row r="344" customFormat="false" ht="15" hidden="false" customHeight="false" outlineLevel="0" collapsed="false">
      <c r="A344" s="6" t="s">
        <v>506</v>
      </c>
      <c r="B344" s="6" t="n">
        <v>54</v>
      </c>
      <c r="C344" s="6" t="s">
        <v>159</v>
      </c>
      <c r="D344" s="6" t="s">
        <v>135</v>
      </c>
      <c r="E344" s="6" t="s">
        <v>91</v>
      </c>
      <c r="F344" s="6" t="s">
        <v>208</v>
      </c>
      <c r="G344" s="6" t="n">
        <v>32</v>
      </c>
      <c r="H344" s="6" t="s">
        <v>82</v>
      </c>
      <c r="I344" s="6" t="s">
        <v>81</v>
      </c>
      <c r="J344" s="6" t="s">
        <v>58</v>
      </c>
      <c r="K344" s="6" t="n">
        <v>75253</v>
      </c>
      <c r="L344" s="6" t="n">
        <v>88926</v>
      </c>
      <c r="M344" s="6" t="s">
        <v>146</v>
      </c>
      <c r="N344" s="6" t="n">
        <v>49</v>
      </c>
      <c r="O344" s="6" t="s">
        <v>58</v>
      </c>
      <c r="P344" s="6" t="n">
        <v>8</v>
      </c>
      <c r="Q344" s="6" t="n">
        <v>27.14</v>
      </c>
      <c r="R344" s="20" t="n">
        <f aca="false">(L344-K344)/K344</f>
        <v>0.181693753072967</v>
      </c>
    </row>
    <row r="345" customFormat="false" ht="15" hidden="false" customHeight="false" outlineLevel="0" collapsed="false">
      <c r="A345" s="6" t="s">
        <v>507</v>
      </c>
      <c r="B345" s="6" t="n">
        <v>35</v>
      </c>
      <c r="C345" s="6" t="s">
        <v>134</v>
      </c>
      <c r="D345" s="6" t="s">
        <v>140</v>
      </c>
      <c r="E345" s="6" t="s">
        <v>89</v>
      </c>
      <c r="F345" s="6" t="s">
        <v>162</v>
      </c>
      <c r="G345" s="6" t="n">
        <v>10</v>
      </c>
      <c r="H345" s="6" t="s">
        <v>80</v>
      </c>
      <c r="I345" s="6" t="s">
        <v>82</v>
      </c>
      <c r="J345" s="6" t="s">
        <v>60</v>
      </c>
      <c r="K345" s="6" t="n">
        <v>87418</v>
      </c>
      <c r="L345" s="6" t="n">
        <v>92750</v>
      </c>
      <c r="M345" s="6" t="s">
        <v>142</v>
      </c>
      <c r="N345" s="6" t="n">
        <v>39</v>
      </c>
      <c r="O345" s="6" t="s">
        <v>60</v>
      </c>
      <c r="P345" s="6" t="n">
        <v>3</v>
      </c>
      <c r="Q345" s="6" t="n">
        <v>37.02</v>
      </c>
      <c r="R345" s="20" t="n">
        <f aca="false">(L345-K345)/K345</f>
        <v>0.0609943032327438</v>
      </c>
    </row>
    <row r="346" customFormat="false" ht="15" hidden="false" customHeight="false" outlineLevel="0" collapsed="false">
      <c r="A346" s="6" t="s">
        <v>508</v>
      </c>
      <c r="B346" s="6" t="n">
        <v>31</v>
      </c>
      <c r="C346" s="6" t="s">
        <v>139</v>
      </c>
      <c r="D346" s="6" t="s">
        <v>144</v>
      </c>
      <c r="E346" s="6" t="s">
        <v>89</v>
      </c>
      <c r="F346" s="6" t="s">
        <v>153</v>
      </c>
      <c r="G346" s="6" t="n">
        <v>8</v>
      </c>
      <c r="H346" s="6" t="s">
        <v>81</v>
      </c>
      <c r="I346" s="6" t="s">
        <v>80</v>
      </c>
      <c r="J346" s="6" t="s">
        <v>60</v>
      </c>
      <c r="K346" s="6" t="n">
        <v>76850</v>
      </c>
      <c r="L346" s="6" t="n">
        <v>69768</v>
      </c>
      <c r="M346" s="6" t="s">
        <v>142</v>
      </c>
      <c r="N346" s="6" t="n">
        <v>47</v>
      </c>
      <c r="O346" s="6" t="s">
        <v>60</v>
      </c>
      <c r="P346" s="6" t="n">
        <v>8</v>
      </c>
      <c r="Q346" s="6" t="n">
        <v>-18.55</v>
      </c>
      <c r="R346" s="20" t="n">
        <f aca="false">(L346-K346)/K346</f>
        <v>-0.0921535458685752</v>
      </c>
    </row>
    <row r="347" customFormat="false" ht="15" hidden="false" customHeight="false" outlineLevel="0" collapsed="false">
      <c r="A347" s="6" t="s">
        <v>509</v>
      </c>
      <c r="B347" s="6" t="n">
        <v>38</v>
      </c>
      <c r="C347" s="6" t="s">
        <v>134</v>
      </c>
      <c r="D347" s="6" t="s">
        <v>135</v>
      </c>
      <c r="E347" s="6" t="s">
        <v>89</v>
      </c>
      <c r="F347" s="6" t="s">
        <v>162</v>
      </c>
      <c r="G347" s="6" t="n">
        <v>14</v>
      </c>
      <c r="H347" s="6" t="s">
        <v>82</v>
      </c>
      <c r="I347" s="6" t="s">
        <v>80</v>
      </c>
      <c r="J347" s="6" t="s">
        <v>60</v>
      </c>
      <c r="K347" s="6" t="n">
        <v>113820</v>
      </c>
      <c r="L347" s="6" t="n">
        <v>144500</v>
      </c>
      <c r="M347" s="6" t="s">
        <v>142</v>
      </c>
      <c r="N347" s="6" t="n">
        <v>37</v>
      </c>
      <c r="O347" s="6" t="s">
        <v>58</v>
      </c>
      <c r="P347" s="6" t="n">
        <v>8</v>
      </c>
      <c r="Q347" s="6" t="n">
        <v>-16.63</v>
      </c>
      <c r="R347" s="20" t="n">
        <f aca="false">(L347-K347)/K347</f>
        <v>0.269548409769812</v>
      </c>
    </row>
    <row r="348" customFormat="false" ht="15" hidden="false" customHeight="false" outlineLevel="0" collapsed="false">
      <c r="A348" s="6" t="s">
        <v>510</v>
      </c>
      <c r="B348" s="6" t="n">
        <v>47</v>
      </c>
      <c r="C348" s="6" t="s">
        <v>159</v>
      </c>
      <c r="D348" s="6" t="s">
        <v>144</v>
      </c>
      <c r="E348" s="6" t="s">
        <v>89</v>
      </c>
      <c r="F348" s="6" t="s">
        <v>151</v>
      </c>
      <c r="G348" s="6" t="n">
        <v>23</v>
      </c>
      <c r="H348" s="6" t="s">
        <v>80</v>
      </c>
      <c r="I348" s="6" t="s">
        <v>81</v>
      </c>
      <c r="J348" s="6" t="s">
        <v>58</v>
      </c>
      <c r="K348" s="6" t="n">
        <v>92812</v>
      </c>
      <c r="L348" s="6" t="n">
        <v>94599</v>
      </c>
      <c r="M348" s="6" t="s">
        <v>146</v>
      </c>
      <c r="N348" s="6" t="n">
        <v>44</v>
      </c>
      <c r="O348" s="6" t="s">
        <v>60</v>
      </c>
      <c r="P348" s="6" t="n">
        <v>7</v>
      </c>
      <c r="Q348" s="6" t="n">
        <v>8.85</v>
      </c>
      <c r="R348" s="20" t="n">
        <f aca="false">(L348-K348)/K348</f>
        <v>0.0192539757789941</v>
      </c>
    </row>
    <row r="349" customFormat="false" ht="15" hidden="false" customHeight="false" outlineLevel="0" collapsed="false">
      <c r="A349" s="6" t="s">
        <v>511</v>
      </c>
      <c r="B349" s="6" t="n">
        <v>57</v>
      </c>
      <c r="C349" s="6" t="s">
        <v>159</v>
      </c>
      <c r="D349" s="6" t="s">
        <v>148</v>
      </c>
      <c r="E349" s="6" t="s">
        <v>90</v>
      </c>
      <c r="F349" s="6" t="s">
        <v>202</v>
      </c>
      <c r="G349" s="6" t="n">
        <v>34</v>
      </c>
      <c r="H349" s="6" t="s">
        <v>82</v>
      </c>
      <c r="I349" s="6" t="s">
        <v>80</v>
      </c>
      <c r="J349" s="6" t="s">
        <v>58</v>
      </c>
      <c r="K349" s="6" t="n">
        <v>49715</v>
      </c>
      <c r="L349" s="6" t="n">
        <v>41258</v>
      </c>
      <c r="M349" s="6" t="s">
        <v>142</v>
      </c>
      <c r="N349" s="6" t="n">
        <v>37</v>
      </c>
      <c r="O349" s="6" t="s">
        <v>60</v>
      </c>
      <c r="P349" s="6" t="n">
        <v>3</v>
      </c>
      <c r="Q349" s="6" t="n">
        <v>34.23</v>
      </c>
      <c r="R349" s="20" t="n">
        <f aca="false">(L349-K349)/K349</f>
        <v>-0.170109624861712</v>
      </c>
    </row>
    <row r="350" customFormat="false" ht="15" hidden="false" customHeight="false" outlineLevel="0" collapsed="false">
      <c r="A350" s="6" t="s">
        <v>512</v>
      </c>
      <c r="B350" s="6" t="n">
        <v>45</v>
      </c>
      <c r="C350" s="6" t="s">
        <v>134</v>
      </c>
      <c r="D350" s="6" t="s">
        <v>135</v>
      </c>
      <c r="E350" s="6" t="s">
        <v>88</v>
      </c>
      <c r="F350" s="6" t="s">
        <v>157</v>
      </c>
      <c r="G350" s="6" t="n">
        <v>23</v>
      </c>
      <c r="H350" s="6" t="s">
        <v>80</v>
      </c>
      <c r="I350" s="6" t="s">
        <v>81</v>
      </c>
      <c r="J350" s="6" t="s">
        <v>60</v>
      </c>
      <c r="K350" s="6" t="n">
        <v>73619</v>
      </c>
      <c r="L350" s="6" t="n">
        <v>78391</v>
      </c>
      <c r="M350" s="6" t="s">
        <v>146</v>
      </c>
      <c r="N350" s="6" t="n">
        <v>46</v>
      </c>
      <c r="O350" s="6" t="s">
        <v>58</v>
      </c>
      <c r="P350" s="6" t="n">
        <v>6</v>
      </c>
      <c r="Q350" s="6" t="n">
        <v>-10.47</v>
      </c>
      <c r="R350" s="20" t="n">
        <f aca="false">(L350-K350)/K350</f>
        <v>0.0648202230402478</v>
      </c>
    </row>
    <row r="351" customFormat="false" ht="15" hidden="false" customHeight="false" outlineLevel="0" collapsed="false">
      <c r="A351" s="6" t="s">
        <v>513</v>
      </c>
      <c r="B351" s="6" t="n">
        <v>52</v>
      </c>
      <c r="C351" s="6" t="s">
        <v>139</v>
      </c>
      <c r="D351" s="6" t="s">
        <v>140</v>
      </c>
      <c r="E351" s="6" t="s">
        <v>93</v>
      </c>
      <c r="F351" s="6" t="s">
        <v>181</v>
      </c>
      <c r="G351" s="6" t="n">
        <v>27</v>
      </c>
      <c r="H351" s="6" t="s">
        <v>80</v>
      </c>
      <c r="I351" s="6" t="s">
        <v>81</v>
      </c>
      <c r="J351" s="6" t="s">
        <v>60</v>
      </c>
      <c r="K351" s="6" t="n">
        <v>43975</v>
      </c>
      <c r="L351" s="6" t="n">
        <v>44890</v>
      </c>
      <c r="M351" s="6" t="s">
        <v>146</v>
      </c>
      <c r="N351" s="6" t="n">
        <v>46</v>
      </c>
      <c r="O351" s="6" t="s">
        <v>58</v>
      </c>
      <c r="P351" s="6" t="n">
        <v>4</v>
      </c>
      <c r="Q351" s="6" t="n">
        <v>-19.2</v>
      </c>
      <c r="R351" s="20" t="n">
        <f aca="false">(L351-K351)/K351</f>
        <v>0.0208072768618533</v>
      </c>
    </row>
    <row r="352" customFormat="false" ht="15" hidden="false" customHeight="false" outlineLevel="0" collapsed="false">
      <c r="A352" s="6" t="s">
        <v>514</v>
      </c>
      <c r="B352" s="6" t="n">
        <v>51</v>
      </c>
      <c r="C352" s="6" t="s">
        <v>159</v>
      </c>
      <c r="D352" s="6" t="s">
        <v>148</v>
      </c>
      <c r="E352" s="6" t="s">
        <v>90</v>
      </c>
      <c r="F352" s="6" t="s">
        <v>202</v>
      </c>
      <c r="G352" s="6" t="n">
        <v>26</v>
      </c>
      <c r="H352" s="6" t="s">
        <v>82</v>
      </c>
      <c r="I352" s="6" t="s">
        <v>80</v>
      </c>
      <c r="J352" s="6" t="s">
        <v>58</v>
      </c>
      <c r="K352" s="6" t="n">
        <v>30162</v>
      </c>
      <c r="L352" s="6" t="n">
        <v>29117</v>
      </c>
      <c r="M352" s="6" t="s">
        <v>142</v>
      </c>
      <c r="N352" s="6" t="n">
        <v>44</v>
      </c>
      <c r="O352" s="6" t="s">
        <v>58</v>
      </c>
      <c r="P352" s="6" t="n">
        <v>8</v>
      </c>
      <c r="Q352" s="6" t="n">
        <v>27.23</v>
      </c>
      <c r="R352" s="20" t="n">
        <f aca="false">(L352-K352)/K352</f>
        <v>-0.0346462436177972</v>
      </c>
    </row>
    <row r="353" customFormat="false" ht="15" hidden="false" customHeight="false" outlineLevel="0" collapsed="false">
      <c r="A353" s="6" t="s">
        <v>515</v>
      </c>
      <c r="B353" s="6" t="n">
        <v>52</v>
      </c>
      <c r="C353" s="6" t="s">
        <v>159</v>
      </c>
      <c r="D353" s="6" t="s">
        <v>140</v>
      </c>
      <c r="E353" s="6" t="s">
        <v>92</v>
      </c>
      <c r="F353" s="6" t="s">
        <v>192</v>
      </c>
      <c r="G353" s="6" t="n">
        <v>29</v>
      </c>
      <c r="H353" s="6" t="s">
        <v>81</v>
      </c>
      <c r="I353" s="6" t="s">
        <v>81</v>
      </c>
      <c r="J353" s="6" t="s">
        <v>60</v>
      </c>
      <c r="K353" s="6" t="n">
        <v>37896</v>
      </c>
      <c r="L353" s="6" t="n">
        <v>42936</v>
      </c>
      <c r="M353" s="6" t="s">
        <v>146</v>
      </c>
      <c r="N353" s="6" t="n">
        <v>47</v>
      </c>
      <c r="O353" s="6" t="s">
        <v>58</v>
      </c>
      <c r="P353" s="6" t="n">
        <v>6</v>
      </c>
      <c r="Q353" s="6" t="n">
        <v>-16.08</v>
      </c>
      <c r="R353" s="20" t="n">
        <f aca="false">(L353-K353)/K353</f>
        <v>0.13299556681444</v>
      </c>
    </row>
    <row r="354" customFormat="false" ht="15" hidden="false" customHeight="false" outlineLevel="0" collapsed="false">
      <c r="A354" s="6" t="s">
        <v>516</v>
      </c>
      <c r="B354" s="6" t="n">
        <v>41</v>
      </c>
      <c r="C354" s="6" t="s">
        <v>134</v>
      </c>
      <c r="D354" s="6" t="s">
        <v>135</v>
      </c>
      <c r="E354" s="6" t="s">
        <v>92</v>
      </c>
      <c r="F354" s="6" t="s">
        <v>222</v>
      </c>
      <c r="G354" s="6" t="n">
        <v>18</v>
      </c>
      <c r="H354" s="6" t="s">
        <v>82</v>
      </c>
      <c r="I354" s="6" t="s">
        <v>82</v>
      </c>
      <c r="J354" s="6" t="s">
        <v>58</v>
      </c>
      <c r="K354" s="6" t="n">
        <v>48681</v>
      </c>
      <c r="L354" s="6" t="n">
        <v>55359</v>
      </c>
      <c r="M354" s="6" t="s">
        <v>137</v>
      </c>
      <c r="N354" s="6" t="n">
        <v>52</v>
      </c>
      <c r="O354" s="6" t="s">
        <v>60</v>
      </c>
      <c r="P354" s="6" t="n">
        <v>3</v>
      </c>
      <c r="Q354" s="6" t="n">
        <v>0.76</v>
      </c>
      <c r="R354" s="20" t="n">
        <f aca="false">(L354-K354)/K354</f>
        <v>0.137178776113884</v>
      </c>
    </row>
    <row r="355" customFormat="false" ht="15" hidden="false" customHeight="false" outlineLevel="0" collapsed="false">
      <c r="A355" s="6" t="s">
        <v>517</v>
      </c>
      <c r="B355" s="6" t="n">
        <v>48</v>
      </c>
      <c r="C355" s="6" t="s">
        <v>159</v>
      </c>
      <c r="D355" s="6" t="s">
        <v>135</v>
      </c>
      <c r="E355" s="6" t="s">
        <v>88</v>
      </c>
      <c r="F355" s="6" t="s">
        <v>179</v>
      </c>
      <c r="G355" s="6" t="n">
        <v>25</v>
      </c>
      <c r="H355" s="6" t="s">
        <v>80</v>
      </c>
      <c r="I355" s="6" t="s">
        <v>81</v>
      </c>
      <c r="J355" s="6" t="s">
        <v>60</v>
      </c>
      <c r="K355" s="6" t="n">
        <v>37927</v>
      </c>
      <c r="L355" s="6" t="n">
        <v>39150</v>
      </c>
      <c r="M355" s="6" t="s">
        <v>146</v>
      </c>
      <c r="N355" s="6" t="n">
        <v>50</v>
      </c>
      <c r="O355" s="6" t="s">
        <v>58</v>
      </c>
      <c r="P355" s="6" t="n">
        <v>9</v>
      </c>
      <c r="Q355" s="6" t="n">
        <v>-12.32</v>
      </c>
      <c r="R355" s="20" t="n">
        <f aca="false">(L355-K355)/K355</f>
        <v>0.0322461570912543</v>
      </c>
    </row>
    <row r="356" customFormat="false" ht="15" hidden="false" customHeight="false" outlineLevel="0" collapsed="false">
      <c r="A356" s="6" t="s">
        <v>518</v>
      </c>
      <c r="B356" s="6" t="n">
        <v>42</v>
      </c>
      <c r="C356" s="6" t="s">
        <v>134</v>
      </c>
      <c r="D356" s="6" t="s">
        <v>148</v>
      </c>
      <c r="E356" s="6" t="s">
        <v>91</v>
      </c>
      <c r="F356" s="6" t="s">
        <v>206</v>
      </c>
      <c r="G356" s="6" t="n">
        <v>19</v>
      </c>
      <c r="H356" s="6" t="s">
        <v>80</v>
      </c>
      <c r="I356" s="6" t="s">
        <v>81</v>
      </c>
      <c r="J356" s="6" t="s">
        <v>60</v>
      </c>
      <c r="K356" s="6" t="n">
        <v>107465</v>
      </c>
      <c r="L356" s="6" t="n">
        <v>108842</v>
      </c>
      <c r="M356" s="6" t="s">
        <v>146</v>
      </c>
      <c r="N356" s="6" t="n">
        <v>39</v>
      </c>
      <c r="O356" s="6" t="s">
        <v>60</v>
      </c>
      <c r="P356" s="6" t="n">
        <v>4</v>
      </c>
      <c r="Q356" s="6" t="n">
        <v>-4.39</v>
      </c>
      <c r="R356" s="20" t="n">
        <f aca="false">(L356-K356)/K356</f>
        <v>0.0128134741543758</v>
      </c>
    </row>
    <row r="357" customFormat="false" ht="15" hidden="false" customHeight="false" outlineLevel="0" collapsed="false">
      <c r="A357" s="6" t="s">
        <v>519</v>
      </c>
      <c r="B357" s="6" t="n">
        <v>42</v>
      </c>
      <c r="C357" s="6" t="s">
        <v>134</v>
      </c>
      <c r="D357" s="6" t="s">
        <v>135</v>
      </c>
      <c r="E357" s="6" t="s">
        <v>93</v>
      </c>
      <c r="F357" s="6" t="s">
        <v>197</v>
      </c>
      <c r="G357" s="6" t="n">
        <v>19</v>
      </c>
      <c r="H357" s="6" t="s">
        <v>81</v>
      </c>
      <c r="I357" s="6" t="s">
        <v>82</v>
      </c>
      <c r="J357" s="6" t="s">
        <v>58</v>
      </c>
      <c r="K357" s="6" t="n">
        <v>58228</v>
      </c>
      <c r="L357" s="6" t="n">
        <v>63832</v>
      </c>
      <c r="M357" s="6" t="s">
        <v>142</v>
      </c>
      <c r="N357" s="6" t="n">
        <v>51</v>
      </c>
      <c r="O357" s="6" t="s">
        <v>60</v>
      </c>
      <c r="P357" s="6" t="n">
        <v>5</v>
      </c>
      <c r="Q357" s="6" t="n">
        <v>-8.11</v>
      </c>
      <c r="R357" s="20" t="n">
        <f aca="false">(L357-K357)/K357</f>
        <v>0.0962423576286323</v>
      </c>
    </row>
    <row r="358" customFormat="false" ht="15" hidden="false" customHeight="false" outlineLevel="0" collapsed="false">
      <c r="A358" s="6" t="s">
        <v>520</v>
      </c>
      <c r="B358" s="6" t="n">
        <v>46</v>
      </c>
      <c r="C358" s="6" t="s">
        <v>159</v>
      </c>
      <c r="D358" s="6" t="s">
        <v>148</v>
      </c>
      <c r="E358" s="6" t="s">
        <v>89</v>
      </c>
      <c r="F358" s="6" t="s">
        <v>153</v>
      </c>
      <c r="G358" s="6" t="n">
        <v>20</v>
      </c>
      <c r="H358" s="6" t="s">
        <v>81</v>
      </c>
      <c r="I358" s="6" t="s">
        <v>81</v>
      </c>
      <c r="J358" s="6" t="s">
        <v>60</v>
      </c>
      <c r="K358" s="6" t="n">
        <v>59055</v>
      </c>
      <c r="L358" s="6" t="n">
        <v>70287</v>
      </c>
      <c r="M358" s="6" t="s">
        <v>146</v>
      </c>
      <c r="N358" s="6" t="n">
        <v>35</v>
      </c>
      <c r="O358" s="6" t="s">
        <v>58</v>
      </c>
      <c r="P358" s="6" t="n">
        <v>4</v>
      </c>
      <c r="Q358" s="6" t="n">
        <v>-9.02</v>
      </c>
      <c r="R358" s="20" t="n">
        <f aca="false">(L358-K358)/K358</f>
        <v>0.190195580391161</v>
      </c>
    </row>
    <row r="359" customFormat="false" ht="15" hidden="false" customHeight="false" outlineLevel="0" collapsed="false">
      <c r="A359" s="6" t="s">
        <v>521</v>
      </c>
      <c r="B359" s="6" t="n">
        <v>25</v>
      </c>
      <c r="C359" s="6" t="s">
        <v>139</v>
      </c>
      <c r="D359" s="6" t="s">
        <v>135</v>
      </c>
      <c r="E359" s="6" t="s">
        <v>93</v>
      </c>
      <c r="F359" s="6" t="s">
        <v>164</v>
      </c>
      <c r="G359" s="6" t="n">
        <v>2</v>
      </c>
      <c r="H359" s="6" t="s">
        <v>80</v>
      </c>
      <c r="I359" s="6" t="s">
        <v>82</v>
      </c>
      <c r="J359" s="6" t="s">
        <v>60</v>
      </c>
      <c r="K359" s="6" t="n">
        <v>45352</v>
      </c>
      <c r="L359" s="6" t="n">
        <v>48870</v>
      </c>
      <c r="M359" s="6" t="s">
        <v>142</v>
      </c>
      <c r="N359" s="6" t="n">
        <v>51</v>
      </c>
      <c r="O359" s="6" t="s">
        <v>58</v>
      </c>
      <c r="P359" s="6" t="n">
        <v>7</v>
      </c>
      <c r="Q359" s="6" t="n">
        <v>13.67</v>
      </c>
      <c r="R359" s="20" t="n">
        <f aca="false">(L359-K359)/K359</f>
        <v>0.077571000176398</v>
      </c>
    </row>
    <row r="360" customFormat="false" ht="15" hidden="false" customHeight="false" outlineLevel="0" collapsed="false">
      <c r="A360" s="6" t="s">
        <v>522</v>
      </c>
      <c r="B360" s="6" t="n">
        <v>55</v>
      </c>
      <c r="C360" s="6" t="s">
        <v>159</v>
      </c>
      <c r="D360" s="6" t="s">
        <v>144</v>
      </c>
      <c r="E360" s="6" t="s">
        <v>93</v>
      </c>
      <c r="F360" s="6" t="s">
        <v>181</v>
      </c>
      <c r="G360" s="6" t="n">
        <v>30</v>
      </c>
      <c r="H360" s="6" t="s">
        <v>80</v>
      </c>
      <c r="I360" s="6" t="s">
        <v>81</v>
      </c>
      <c r="J360" s="6" t="s">
        <v>58</v>
      </c>
      <c r="K360" s="6" t="n">
        <v>53481</v>
      </c>
      <c r="L360" s="6" t="n">
        <v>55159</v>
      </c>
      <c r="M360" s="6" t="s">
        <v>146</v>
      </c>
      <c r="N360" s="6" t="n">
        <v>51</v>
      </c>
      <c r="O360" s="6" t="s">
        <v>58</v>
      </c>
      <c r="P360" s="6" t="n">
        <v>3</v>
      </c>
      <c r="Q360" s="6" t="n">
        <v>27.5</v>
      </c>
      <c r="R360" s="20" t="n">
        <f aca="false">(L360-K360)/K360</f>
        <v>0.0313756287279595</v>
      </c>
    </row>
    <row r="361" customFormat="false" ht="15" hidden="false" customHeight="false" outlineLevel="0" collapsed="false">
      <c r="A361" s="6" t="s">
        <v>523</v>
      </c>
      <c r="B361" s="6" t="n">
        <v>55</v>
      </c>
      <c r="C361" s="6" t="s">
        <v>134</v>
      </c>
      <c r="D361" s="6" t="s">
        <v>135</v>
      </c>
      <c r="E361" s="6" t="s">
        <v>93</v>
      </c>
      <c r="F361" s="6" t="s">
        <v>181</v>
      </c>
      <c r="G361" s="6" t="n">
        <v>32</v>
      </c>
      <c r="H361" s="6" t="s">
        <v>82</v>
      </c>
      <c r="I361" s="6" t="s">
        <v>81</v>
      </c>
      <c r="J361" s="6" t="s">
        <v>60</v>
      </c>
      <c r="K361" s="6" t="n">
        <v>99184</v>
      </c>
      <c r="L361" s="6" t="n">
        <v>104855</v>
      </c>
      <c r="M361" s="6" t="s">
        <v>146</v>
      </c>
      <c r="N361" s="6" t="n">
        <v>50</v>
      </c>
      <c r="O361" s="6" t="s">
        <v>60</v>
      </c>
      <c r="P361" s="6" t="n">
        <v>3</v>
      </c>
      <c r="Q361" s="6" t="n">
        <v>-11.54</v>
      </c>
      <c r="R361" s="20" t="n">
        <f aca="false">(L361-K361)/K361</f>
        <v>0.0571765607356025</v>
      </c>
    </row>
    <row r="362" customFormat="false" ht="15" hidden="false" customHeight="false" outlineLevel="0" collapsed="false">
      <c r="A362" s="6" t="s">
        <v>524</v>
      </c>
      <c r="B362" s="6" t="n">
        <v>23</v>
      </c>
      <c r="C362" s="6" t="s">
        <v>159</v>
      </c>
      <c r="D362" s="6" t="s">
        <v>144</v>
      </c>
      <c r="E362" s="6" t="s">
        <v>93</v>
      </c>
      <c r="F362" s="6" t="s">
        <v>164</v>
      </c>
      <c r="G362" s="6" t="n">
        <v>0</v>
      </c>
      <c r="H362" s="6" t="s">
        <v>81</v>
      </c>
      <c r="I362" s="6" t="s">
        <v>80</v>
      </c>
      <c r="J362" s="6" t="s">
        <v>58</v>
      </c>
      <c r="K362" s="6" t="n">
        <v>95633</v>
      </c>
      <c r="L362" s="6" t="n">
        <v>110800</v>
      </c>
      <c r="M362" s="6" t="s">
        <v>142</v>
      </c>
      <c r="N362" s="6" t="n">
        <v>41</v>
      </c>
      <c r="O362" s="6" t="s">
        <v>58</v>
      </c>
      <c r="P362" s="6" t="n">
        <v>8</v>
      </c>
      <c r="Q362" s="6" t="n">
        <v>7.61</v>
      </c>
      <c r="R362" s="20" t="n">
        <f aca="false">(L362-K362)/K362</f>
        <v>0.158595882174563</v>
      </c>
    </row>
    <row r="363" customFormat="false" ht="15" hidden="false" customHeight="false" outlineLevel="0" collapsed="false">
      <c r="A363" s="6" t="s">
        <v>525</v>
      </c>
      <c r="B363" s="6" t="n">
        <v>33</v>
      </c>
      <c r="C363" s="6" t="s">
        <v>134</v>
      </c>
      <c r="D363" s="6" t="s">
        <v>135</v>
      </c>
      <c r="E363" s="6" t="s">
        <v>93</v>
      </c>
      <c r="F363" s="6" t="s">
        <v>181</v>
      </c>
      <c r="G363" s="6" t="n">
        <v>8</v>
      </c>
      <c r="H363" s="6" t="s">
        <v>81</v>
      </c>
      <c r="I363" s="6" t="s">
        <v>82</v>
      </c>
      <c r="J363" s="6" t="s">
        <v>60</v>
      </c>
      <c r="K363" s="6" t="n">
        <v>100202</v>
      </c>
      <c r="L363" s="6" t="n">
        <v>103986</v>
      </c>
      <c r="M363" s="6" t="s">
        <v>142</v>
      </c>
      <c r="N363" s="6" t="n">
        <v>51</v>
      </c>
      <c r="O363" s="6" t="s">
        <v>58</v>
      </c>
      <c r="P363" s="6" t="n">
        <v>9</v>
      </c>
      <c r="Q363" s="6" t="n">
        <v>-16.88</v>
      </c>
      <c r="R363" s="20" t="n">
        <f aca="false">(L363-K363)/K363</f>
        <v>0.037763717291072</v>
      </c>
    </row>
    <row r="364" customFormat="false" ht="15" hidden="false" customHeight="false" outlineLevel="0" collapsed="false">
      <c r="A364" s="6" t="s">
        <v>526</v>
      </c>
      <c r="B364" s="6" t="n">
        <v>42</v>
      </c>
      <c r="C364" s="6" t="s">
        <v>159</v>
      </c>
      <c r="D364" s="6" t="s">
        <v>135</v>
      </c>
      <c r="E364" s="6" t="s">
        <v>90</v>
      </c>
      <c r="F364" s="6" t="s">
        <v>145</v>
      </c>
      <c r="G364" s="6" t="n">
        <v>17</v>
      </c>
      <c r="H364" s="6" t="s">
        <v>81</v>
      </c>
      <c r="I364" s="6" t="s">
        <v>80</v>
      </c>
      <c r="J364" s="6" t="s">
        <v>58</v>
      </c>
      <c r="K364" s="6" t="n">
        <v>104905</v>
      </c>
      <c r="L364" s="6" t="n">
        <v>104806</v>
      </c>
      <c r="M364" s="6" t="s">
        <v>142</v>
      </c>
      <c r="N364" s="6" t="n">
        <v>49</v>
      </c>
      <c r="O364" s="6" t="s">
        <v>58</v>
      </c>
      <c r="P364" s="6" t="n">
        <v>7</v>
      </c>
      <c r="Q364" s="6" t="n">
        <v>25.41</v>
      </c>
      <c r="R364" s="20" t="n">
        <f aca="false">(L364-K364)/K364</f>
        <v>-0.000943710976597874</v>
      </c>
    </row>
    <row r="365" customFormat="false" ht="15" hidden="false" customHeight="false" outlineLevel="0" collapsed="false">
      <c r="A365" s="6" t="s">
        <v>527</v>
      </c>
      <c r="B365" s="6" t="n">
        <v>36</v>
      </c>
      <c r="C365" s="6" t="s">
        <v>139</v>
      </c>
      <c r="D365" s="6" t="s">
        <v>140</v>
      </c>
      <c r="E365" s="6" t="s">
        <v>91</v>
      </c>
      <c r="F365" s="6" t="s">
        <v>206</v>
      </c>
      <c r="G365" s="6" t="n">
        <v>11</v>
      </c>
      <c r="H365" s="6" t="s">
        <v>82</v>
      </c>
      <c r="I365" s="6" t="s">
        <v>81</v>
      </c>
      <c r="J365" s="6" t="s">
        <v>60</v>
      </c>
      <c r="K365" s="6" t="n">
        <v>44939</v>
      </c>
      <c r="L365" s="6" t="n">
        <v>42840</v>
      </c>
      <c r="M365" s="6" t="s">
        <v>146</v>
      </c>
      <c r="N365" s="6" t="n">
        <v>42</v>
      </c>
      <c r="O365" s="6" t="s">
        <v>58</v>
      </c>
      <c r="P365" s="6" t="n">
        <v>4</v>
      </c>
      <c r="Q365" s="6" t="n">
        <v>36.8</v>
      </c>
      <c r="R365" s="20" t="n">
        <f aca="false">(L365-K365)/K365</f>
        <v>-0.0467077594071964</v>
      </c>
    </row>
    <row r="366" customFormat="false" ht="15" hidden="false" customHeight="false" outlineLevel="0" collapsed="false">
      <c r="A366" s="6" t="s">
        <v>528</v>
      </c>
      <c r="B366" s="6" t="n">
        <v>49</v>
      </c>
      <c r="C366" s="6" t="s">
        <v>159</v>
      </c>
      <c r="D366" s="6" t="s">
        <v>148</v>
      </c>
      <c r="E366" s="6" t="s">
        <v>88</v>
      </c>
      <c r="F366" s="6" t="s">
        <v>234</v>
      </c>
      <c r="G366" s="6" t="n">
        <v>26</v>
      </c>
      <c r="H366" s="6" t="s">
        <v>81</v>
      </c>
      <c r="I366" s="6" t="s">
        <v>82</v>
      </c>
      <c r="J366" s="6" t="s">
        <v>58</v>
      </c>
      <c r="K366" s="6" t="n">
        <v>59118</v>
      </c>
      <c r="L366" s="6" t="n">
        <v>63005</v>
      </c>
      <c r="M366" s="6" t="s">
        <v>142</v>
      </c>
      <c r="N366" s="6" t="n">
        <v>37</v>
      </c>
      <c r="O366" s="6" t="s">
        <v>58</v>
      </c>
      <c r="P366" s="6" t="n">
        <v>6</v>
      </c>
      <c r="Q366" s="6" t="n">
        <v>-14.35</v>
      </c>
      <c r="R366" s="20" t="n">
        <f aca="false">(L366-K366)/K366</f>
        <v>0.0657498562197639</v>
      </c>
    </row>
    <row r="367" customFormat="false" ht="15" hidden="false" customHeight="false" outlineLevel="0" collapsed="false">
      <c r="A367" s="6" t="s">
        <v>529</v>
      </c>
      <c r="B367" s="6" t="n">
        <v>54</v>
      </c>
      <c r="C367" s="6" t="s">
        <v>139</v>
      </c>
      <c r="D367" s="6" t="s">
        <v>135</v>
      </c>
      <c r="E367" s="6" t="s">
        <v>87</v>
      </c>
      <c r="F367" s="6" t="s">
        <v>155</v>
      </c>
      <c r="G367" s="6" t="n">
        <v>31</v>
      </c>
      <c r="H367" s="6" t="s">
        <v>82</v>
      </c>
      <c r="I367" s="6" t="s">
        <v>81</v>
      </c>
      <c r="J367" s="6" t="s">
        <v>58</v>
      </c>
      <c r="K367" s="6" t="n">
        <v>71971</v>
      </c>
      <c r="L367" s="6" t="n">
        <v>92051</v>
      </c>
      <c r="M367" s="6" t="s">
        <v>146</v>
      </c>
      <c r="N367" s="6" t="n">
        <v>52</v>
      </c>
      <c r="O367" s="6" t="s">
        <v>60</v>
      </c>
      <c r="P367" s="6" t="n">
        <v>5</v>
      </c>
      <c r="Q367" s="6" t="n">
        <v>2.32</v>
      </c>
      <c r="R367" s="20" t="n">
        <f aca="false">(L367-K367)/K367</f>
        <v>0.27900126439816</v>
      </c>
    </row>
    <row r="368" customFormat="false" ht="15" hidden="false" customHeight="false" outlineLevel="0" collapsed="false">
      <c r="A368" s="6" t="s">
        <v>530</v>
      </c>
      <c r="B368" s="6" t="n">
        <v>40</v>
      </c>
      <c r="C368" s="6" t="s">
        <v>139</v>
      </c>
      <c r="D368" s="6" t="s">
        <v>148</v>
      </c>
      <c r="E368" s="6" t="s">
        <v>93</v>
      </c>
      <c r="F368" s="6" t="s">
        <v>197</v>
      </c>
      <c r="G368" s="6" t="n">
        <v>14</v>
      </c>
      <c r="H368" s="6" t="s">
        <v>80</v>
      </c>
      <c r="I368" s="6" t="s">
        <v>81</v>
      </c>
      <c r="J368" s="6" t="s">
        <v>60</v>
      </c>
      <c r="K368" s="6" t="n">
        <v>32551</v>
      </c>
      <c r="L368" s="6" t="n">
        <v>31835</v>
      </c>
      <c r="M368" s="6" t="s">
        <v>146</v>
      </c>
      <c r="N368" s="6" t="n">
        <v>43</v>
      </c>
      <c r="O368" s="6" t="s">
        <v>60</v>
      </c>
      <c r="P368" s="6" t="n">
        <v>6</v>
      </c>
      <c r="Q368" s="6" t="n">
        <v>-14.36</v>
      </c>
      <c r="R368" s="20" t="n">
        <f aca="false">(L368-K368)/K368</f>
        <v>-0.0219962520352677</v>
      </c>
    </row>
    <row r="369" customFormat="false" ht="15" hidden="false" customHeight="false" outlineLevel="0" collapsed="false">
      <c r="A369" s="6" t="s">
        <v>531</v>
      </c>
      <c r="B369" s="6" t="n">
        <v>58</v>
      </c>
      <c r="C369" s="6" t="s">
        <v>139</v>
      </c>
      <c r="D369" s="6" t="s">
        <v>148</v>
      </c>
      <c r="E369" s="6" t="s">
        <v>90</v>
      </c>
      <c r="F369" s="6" t="s">
        <v>202</v>
      </c>
      <c r="G369" s="6" t="n">
        <v>32</v>
      </c>
      <c r="H369" s="6" t="s">
        <v>81</v>
      </c>
      <c r="I369" s="6" t="s">
        <v>81</v>
      </c>
      <c r="J369" s="6" t="s">
        <v>58</v>
      </c>
      <c r="K369" s="6" t="n">
        <v>37239</v>
      </c>
      <c r="L369" s="6" t="n">
        <v>42429</v>
      </c>
      <c r="M369" s="6" t="s">
        <v>146</v>
      </c>
      <c r="N369" s="6" t="n">
        <v>50</v>
      </c>
      <c r="O369" s="6" t="s">
        <v>60</v>
      </c>
      <c r="P369" s="6" t="n">
        <v>8</v>
      </c>
      <c r="Q369" s="6" t="n">
        <v>3.76</v>
      </c>
      <c r="R369" s="20" t="n">
        <f aca="false">(L369-K369)/K369</f>
        <v>0.139370015306533</v>
      </c>
    </row>
    <row r="370" customFormat="false" ht="15" hidden="false" customHeight="false" outlineLevel="0" collapsed="false">
      <c r="A370" s="6" t="s">
        <v>532</v>
      </c>
      <c r="B370" s="6" t="n">
        <v>39</v>
      </c>
      <c r="C370" s="6" t="s">
        <v>159</v>
      </c>
      <c r="D370" s="6" t="s">
        <v>148</v>
      </c>
      <c r="E370" s="6" t="s">
        <v>90</v>
      </c>
      <c r="F370" s="6" t="s">
        <v>236</v>
      </c>
      <c r="G370" s="6" t="n">
        <v>16</v>
      </c>
      <c r="H370" s="6" t="s">
        <v>81</v>
      </c>
      <c r="I370" s="6" t="s">
        <v>80</v>
      </c>
      <c r="J370" s="6" t="s">
        <v>60</v>
      </c>
      <c r="K370" s="6" t="n">
        <v>36971</v>
      </c>
      <c r="L370" s="6" t="n">
        <v>40992</v>
      </c>
      <c r="M370" s="6" t="s">
        <v>142</v>
      </c>
      <c r="N370" s="6" t="n">
        <v>41</v>
      </c>
      <c r="O370" s="6" t="s">
        <v>58</v>
      </c>
      <c r="P370" s="6" t="n">
        <v>5</v>
      </c>
      <c r="Q370" s="6" t="n">
        <v>27.6</v>
      </c>
      <c r="R370" s="20" t="n">
        <f aca="false">(L370-K370)/K370</f>
        <v>0.108760920721647</v>
      </c>
    </row>
    <row r="371" customFormat="false" ht="15" hidden="false" customHeight="false" outlineLevel="0" collapsed="false">
      <c r="A371" s="6" t="s">
        <v>533</v>
      </c>
      <c r="B371" s="6" t="n">
        <v>24</v>
      </c>
      <c r="C371" s="6" t="s">
        <v>139</v>
      </c>
      <c r="D371" s="6" t="s">
        <v>148</v>
      </c>
      <c r="E371" s="6" t="s">
        <v>87</v>
      </c>
      <c r="F371" s="6" t="s">
        <v>160</v>
      </c>
      <c r="G371" s="6" t="n">
        <v>0</v>
      </c>
      <c r="H371" s="6" t="s">
        <v>80</v>
      </c>
      <c r="I371" s="6" t="s">
        <v>80</v>
      </c>
      <c r="J371" s="6" t="s">
        <v>58</v>
      </c>
      <c r="K371" s="6" t="n">
        <v>109473</v>
      </c>
      <c r="L371" s="6" t="n">
        <v>106772</v>
      </c>
      <c r="M371" s="6" t="s">
        <v>142</v>
      </c>
      <c r="N371" s="6" t="n">
        <v>35</v>
      </c>
      <c r="O371" s="6" t="s">
        <v>58</v>
      </c>
      <c r="P371" s="6" t="n">
        <v>9</v>
      </c>
      <c r="Q371" s="6" t="n">
        <v>10.42</v>
      </c>
      <c r="R371" s="20" t="n">
        <f aca="false">(L371-K371)/K371</f>
        <v>-0.0246727503585359</v>
      </c>
    </row>
    <row r="372" customFormat="false" ht="15" hidden="false" customHeight="false" outlineLevel="0" collapsed="false">
      <c r="A372" s="6" t="s">
        <v>534</v>
      </c>
      <c r="B372" s="6" t="n">
        <v>29</v>
      </c>
      <c r="C372" s="6" t="s">
        <v>139</v>
      </c>
      <c r="D372" s="6" t="s">
        <v>135</v>
      </c>
      <c r="E372" s="6" t="s">
        <v>89</v>
      </c>
      <c r="F372" s="6" t="s">
        <v>162</v>
      </c>
      <c r="G372" s="6" t="n">
        <v>3</v>
      </c>
      <c r="H372" s="6" t="s">
        <v>80</v>
      </c>
      <c r="I372" s="6" t="s">
        <v>82</v>
      </c>
      <c r="J372" s="6" t="s">
        <v>58</v>
      </c>
      <c r="K372" s="6" t="n">
        <v>47071</v>
      </c>
      <c r="L372" s="6" t="n">
        <v>45791</v>
      </c>
      <c r="M372" s="6" t="s">
        <v>142</v>
      </c>
      <c r="N372" s="6" t="n">
        <v>40</v>
      </c>
      <c r="O372" s="6" t="s">
        <v>58</v>
      </c>
      <c r="P372" s="6" t="n">
        <v>8</v>
      </c>
      <c r="Q372" s="6" t="n">
        <v>6.42</v>
      </c>
      <c r="R372" s="20" t="n">
        <f aca="false">(L372-K372)/K372</f>
        <v>-0.0271929638206114</v>
      </c>
    </row>
    <row r="373" customFormat="false" ht="15" hidden="false" customHeight="false" outlineLevel="0" collapsed="false">
      <c r="A373" s="6" t="s">
        <v>535</v>
      </c>
      <c r="B373" s="6" t="n">
        <v>40</v>
      </c>
      <c r="C373" s="6" t="s">
        <v>159</v>
      </c>
      <c r="D373" s="6" t="s">
        <v>135</v>
      </c>
      <c r="E373" s="6" t="s">
        <v>93</v>
      </c>
      <c r="F373" s="6" t="s">
        <v>181</v>
      </c>
      <c r="G373" s="6" t="n">
        <v>18</v>
      </c>
      <c r="H373" s="6" t="s">
        <v>81</v>
      </c>
      <c r="I373" s="6" t="s">
        <v>81</v>
      </c>
      <c r="J373" s="6" t="s">
        <v>58</v>
      </c>
      <c r="K373" s="6" t="n">
        <v>92987</v>
      </c>
      <c r="L373" s="6" t="n">
        <v>104323</v>
      </c>
      <c r="M373" s="6" t="s">
        <v>146</v>
      </c>
      <c r="N373" s="6" t="n">
        <v>35</v>
      </c>
      <c r="O373" s="6" t="s">
        <v>58</v>
      </c>
      <c r="P373" s="6" t="n">
        <v>9</v>
      </c>
      <c r="Q373" s="6" t="n">
        <v>-0.82</v>
      </c>
      <c r="R373" s="20" t="n">
        <f aca="false">(L373-K373)/K373</f>
        <v>0.121909514233172</v>
      </c>
    </row>
    <row r="374" customFormat="false" ht="15" hidden="false" customHeight="false" outlineLevel="0" collapsed="false">
      <c r="A374" s="6" t="s">
        <v>536</v>
      </c>
      <c r="B374" s="6" t="n">
        <v>42</v>
      </c>
      <c r="C374" s="6" t="s">
        <v>159</v>
      </c>
      <c r="D374" s="6" t="s">
        <v>144</v>
      </c>
      <c r="E374" s="6" t="s">
        <v>92</v>
      </c>
      <c r="F374" s="6" t="s">
        <v>136</v>
      </c>
      <c r="G374" s="6" t="n">
        <v>16</v>
      </c>
      <c r="H374" s="6" t="s">
        <v>80</v>
      </c>
      <c r="I374" s="6" t="s">
        <v>80</v>
      </c>
      <c r="J374" s="6" t="s">
        <v>58</v>
      </c>
      <c r="K374" s="6" t="n">
        <v>86481</v>
      </c>
      <c r="L374" s="6" t="n">
        <v>84309</v>
      </c>
      <c r="M374" s="6" t="s">
        <v>142</v>
      </c>
      <c r="N374" s="6" t="n">
        <v>39</v>
      </c>
      <c r="O374" s="6" t="s">
        <v>58</v>
      </c>
      <c r="P374" s="6" t="n">
        <v>3</v>
      </c>
      <c r="Q374" s="6" t="n">
        <v>32.92</v>
      </c>
      <c r="R374" s="20" t="n">
        <f aca="false">(L374-K374)/K374</f>
        <v>-0.0251153432545877</v>
      </c>
    </row>
    <row r="375" customFormat="false" ht="15" hidden="false" customHeight="false" outlineLevel="0" collapsed="false">
      <c r="A375" s="6" t="s">
        <v>537</v>
      </c>
      <c r="B375" s="6" t="n">
        <v>24</v>
      </c>
      <c r="C375" s="6" t="s">
        <v>159</v>
      </c>
      <c r="D375" s="6" t="s">
        <v>144</v>
      </c>
      <c r="E375" s="6" t="s">
        <v>93</v>
      </c>
      <c r="F375" s="6" t="s">
        <v>164</v>
      </c>
      <c r="G375" s="6" t="n">
        <v>2</v>
      </c>
      <c r="H375" s="6" t="s">
        <v>80</v>
      </c>
      <c r="I375" s="6" t="s">
        <v>80</v>
      </c>
      <c r="J375" s="6" t="s">
        <v>60</v>
      </c>
      <c r="K375" s="6" t="n">
        <v>56819</v>
      </c>
      <c r="L375" s="6" t="n">
        <v>60108</v>
      </c>
      <c r="M375" s="6" t="s">
        <v>142</v>
      </c>
      <c r="N375" s="6" t="n">
        <v>39</v>
      </c>
      <c r="O375" s="6" t="s">
        <v>60</v>
      </c>
      <c r="P375" s="6" t="n">
        <v>5</v>
      </c>
      <c r="Q375" s="6" t="n">
        <v>33.42</v>
      </c>
      <c r="R375" s="20" t="n">
        <f aca="false">(L375-K375)/K375</f>
        <v>0.0578855664478432</v>
      </c>
    </row>
    <row r="376" customFormat="false" ht="15" hidden="false" customHeight="false" outlineLevel="0" collapsed="false">
      <c r="A376" s="6" t="s">
        <v>538</v>
      </c>
      <c r="B376" s="6" t="n">
        <v>49</v>
      </c>
      <c r="C376" s="6" t="s">
        <v>134</v>
      </c>
      <c r="D376" s="6" t="s">
        <v>135</v>
      </c>
      <c r="E376" s="6" t="s">
        <v>87</v>
      </c>
      <c r="F376" s="6" t="s">
        <v>155</v>
      </c>
      <c r="G376" s="6" t="n">
        <v>23</v>
      </c>
      <c r="H376" s="6" t="s">
        <v>80</v>
      </c>
      <c r="I376" s="6" t="s">
        <v>80</v>
      </c>
      <c r="J376" s="6" t="s">
        <v>60</v>
      </c>
      <c r="K376" s="6" t="n">
        <v>79416</v>
      </c>
      <c r="L376" s="6" t="n">
        <v>85202</v>
      </c>
      <c r="M376" s="6" t="s">
        <v>142</v>
      </c>
      <c r="N376" s="6" t="n">
        <v>53</v>
      </c>
      <c r="O376" s="6" t="s">
        <v>60</v>
      </c>
      <c r="P376" s="6" t="n">
        <v>6</v>
      </c>
      <c r="Q376" s="6" t="n">
        <v>12.45</v>
      </c>
      <c r="R376" s="20" t="n">
        <f aca="false">(L376-K376)/K376</f>
        <v>0.0728568550418052</v>
      </c>
    </row>
    <row r="377" customFormat="false" ht="15" hidden="false" customHeight="false" outlineLevel="0" collapsed="false">
      <c r="A377" s="6" t="s">
        <v>539</v>
      </c>
      <c r="B377" s="6" t="n">
        <v>32</v>
      </c>
      <c r="C377" s="6" t="s">
        <v>159</v>
      </c>
      <c r="D377" s="6" t="s">
        <v>135</v>
      </c>
      <c r="E377" s="6" t="s">
        <v>89</v>
      </c>
      <c r="F377" s="6" t="s">
        <v>151</v>
      </c>
      <c r="G377" s="6" t="n">
        <v>9</v>
      </c>
      <c r="H377" s="6" t="s">
        <v>80</v>
      </c>
      <c r="I377" s="6" t="s">
        <v>80</v>
      </c>
      <c r="J377" s="6" t="s">
        <v>58</v>
      </c>
      <c r="K377" s="6" t="n">
        <v>82142</v>
      </c>
      <c r="L377" s="6" t="n">
        <v>86064</v>
      </c>
      <c r="M377" s="6" t="s">
        <v>142</v>
      </c>
      <c r="N377" s="6" t="n">
        <v>36</v>
      </c>
      <c r="O377" s="6" t="s">
        <v>60</v>
      </c>
      <c r="P377" s="6" t="n">
        <v>8</v>
      </c>
      <c r="Q377" s="6" t="n">
        <v>-1.16</v>
      </c>
      <c r="R377" s="20" t="n">
        <f aca="false">(L377-K377)/K377</f>
        <v>0.0477465851817584</v>
      </c>
    </row>
    <row r="378" customFormat="false" ht="15" hidden="false" customHeight="false" outlineLevel="0" collapsed="false">
      <c r="A378" s="6" t="s">
        <v>540</v>
      </c>
      <c r="B378" s="6" t="n">
        <v>24</v>
      </c>
      <c r="C378" s="6" t="s">
        <v>134</v>
      </c>
      <c r="D378" s="6" t="s">
        <v>140</v>
      </c>
      <c r="E378" s="6" t="s">
        <v>88</v>
      </c>
      <c r="F378" s="6" t="s">
        <v>157</v>
      </c>
      <c r="G378" s="6" t="n">
        <v>0</v>
      </c>
      <c r="H378" s="6" t="s">
        <v>82</v>
      </c>
      <c r="I378" s="6" t="s">
        <v>80</v>
      </c>
      <c r="J378" s="6" t="s">
        <v>58</v>
      </c>
      <c r="K378" s="6" t="n">
        <v>42763</v>
      </c>
      <c r="L378" s="6" t="n">
        <v>47691</v>
      </c>
      <c r="M378" s="6" t="s">
        <v>142</v>
      </c>
      <c r="N378" s="6" t="n">
        <v>35</v>
      </c>
      <c r="O378" s="6" t="s">
        <v>60</v>
      </c>
      <c r="P378" s="6" t="n">
        <v>7</v>
      </c>
      <c r="Q378" s="6" t="n">
        <v>-5.34</v>
      </c>
      <c r="R378" s="20" t="n">
        <f aca="false">(L378-K378)/K378</f>
        <v>0.115239810116222</v>
      </c>
    </row>
    <row r="379" customFormat="false" ht="15" hidden="false" customHeight="false" outlineLevel="0" collapsed="false">
      <c r="A379" s="6" t="s">
        <v>541</v>
      </c>
      <c r="B379" s="6" t="n">
        <v>56</v>
      </c>
      <c r="C379" s="6" t="s">
        <v>159</v>
      </c>
      <c r="D379" s="6" t="s">
        <v>135</v>
      </c>
      <c r="E379" s="6" t="s">
        <v>89</v>
      </c>
      <c r="F379" s="6" t="s">
        <v>162</v>
      </c>
      <c r="G379" s="6" t="n">
        <v>31</v>
      </c>
      <c r="H379" s="6" t="s">
        <v>80</v>
      </c>
      <c r="I379" s="6" t="s">
        <v>80</v>
      </c>
      <c r="J379" s="6" t="s">
        <v>60</v>
      </c>
      <c r="K379" s="6" t="n">
        <v>75096</v>
      </c>
      <c r="L379" s="6" t="n">
        <v>79673</v>
      </c>
      <c r="M379" s="6" t="s">
        <v>142</v>
      </c>
      <c r="N379" s="6" t="n">
        <v>45</v>
      </c>
      <c r="O379" s="6" t="s">
        <v>58</v>
      </c>
      <c r="P379" s="6" t="n">
        <v>3</v>
      </c>
      <c r="Q379" s="6" t="n">
        <v>-8.52</v>
      </c>
      <c r="R379" s="20" t="n">
        <f aca="false">(L379-K379)/K379</f>
        <v>0.0609486523916054</v>
      </c>
    </row>
    <row r="380" customFormat="false" ht="15" hidden="false" customHeight="false" outlineLevel="0" collapsed="false">
      <c r="A380" s="6" t="s">
        <v>542</v>
      </c>
      <c r="B380" s="6" t="n">
        <v>44</v>
      </c>
      <c r="C380" s="6" t="s">
        <v>139</v>
      </c>
      <c r="D380" s="6" t="s">
        <v>135</v>
      </c>
      <c r="E380" s="6" t="s">
        <v>88</v>
      </c>
      <c r="F380" s="6" t="s">
        <v>157</v>
      </c>
      <c r="G380" s="6" t="n">
        <v>22</v>
      </c>
      <c r="H380" s="6" t="s">
        <v>80</v>
      </c>
      <c r="I380" s="6" t="s">
        <v>82</v>
      </c>
      <c r="J380" s="6" t="s">
        <v>58</v>
      </c>
      <c r="K380" s="6" t="n">
        <v>102516</v>
      </c>
      <c r="L380" s="6" t="n">
        <v>109787</v>
      </c>
      <c r="M380" s="6" t="s">
        <v>142</v>
      </c>
      <c r="N380" s="6" t="n">
        <v>37</v>
      </c>
      <c r="O380" s="6" t="s">
        <v>58</v>
      </c>
      <c r="P380" s="6" t="n">
        <v>3</v>
      </c>
      <c r="Q380" s="6" t="n">
        <v>30.62</v>
      </c>
      <c r="R380" s="20" t="n">
        <f aca="false">(L380-K380)/K380</f>
        <v>0.070925514066097</v>
      </c>
    </row>
    <row r="381" customFormat="false" ht="15" hidden="false" customHeight="false" outlineLevel="0" collapsed="false">
      <c r="A381" s="6" t="s">
        <v>543</v>
      </c>
      <c r="B381" s="6" t="n">
        <v>41</v>
      </c>
      <c r="C381" s="6" t="s">
        <v>159</v>
      </c>
      <c r="D381" s="6" t="s">
        <v>140</v>
      </c>
      <c r="E381" s="6" t="s">
        <v>88</v>
      </c>
      <c r="F381" s="6" t="s">
        <v>157</v>
      </c>
      <c r="G381" s="6" t="n">
        <v>15</v>
      </c>
      <c r="H381" s="6" t="s">
        <v>81</v>
      </c>
      <c r="I381" s="6" t="s">
        <v>81</v>
      </c>
      <c r="J381" s="6" t="s">
        <v>58</v>
      </c>
      <c r="K381" s="6" t="n">
        <v>117969</v>
      </c>
      <c r="L381" s="6" t="n">
        <v>117677</v>
      </c>
      <c r="M381" s="6" t="s">
        <v>146</v>
      </c>
      <c r="N381" s="6" t="n">
        <v>49</v>
      </c>
      <c r="O381" s="6" t="s">
        <v>60</v>
      </c>
      <c r="P381" s="6" t="n">
        <v>9</v>
      </c>
      <c r="Q381" s="6" t="n">
        <v>21.18</v>
      </c>
      <c r="R381" s="20" t="n">
        <f aca="false">(L381-K381)/K381</f>
        <v>-0.00247522654256627</v>
      </c>
    </row>
    <row r="382" customFormat="false" ht="15" hidden="false" customHeight="false" outlineLevel="0" collapsed="false">
      <c r="A382" s="6" t="s">
        <v>544</v>
      </c>
      <c r="B382" s="6" t="n">
        <v>27</v>
      </c>
      <c r="C382" s="6" t="s">
        <v>134</v>
      </c>
      <c r="D382" s="6" t="s">
        <v>144</v>
      </c>
      <c r="E382" s="6" t="s">
        <v>92</v>
      </c>
      <c r="F382" s="6" t="s">
        <v>192</v>
      </c>
      <c r="G382" s="6" t="n">
        <v>5</v>
      </c>
      <c r="H382" s="6" t="s">
        <v>81</v>
      </c>
      <c r="I382" s="6" t="s">
        <v>80</v>
      </c>
      <c r="J382" s="6" t="s">
        <v>60</v>
      </c>
      <c r="K382" s="6" t="n">
        <v>68547</v>
      </c>
      <c r="L382" s="6" t="n">
        <v>66364</v>
      </c>
      <c r="M382" s="6" t="s">
        <v>142</v>
      </c>
      <c r="N382" s="6" t="n">
        <v>37</v>
      </c>
      <c r="O382" s="6" t="s">
        <v>58</v>
      </c>
      <c r="P382" s="6" t="n">
        <v>6</v>
      </c>
      <c r="Q382" s="6" t="n">
        <v>30.22</v>
      </c>
      <c r="R382" s="20" t="n">
        <f aca="false">(L382-K382)/K382</f>
        <v>-0.0318467620756561</v>
      </c>
    </row>
    <row r="383" customFormat="false" ht="15" hidden="false" customHeight="false" outlineLevel="0" collapsed="false">
      <c r="A383" s="6" t="s">
        <v>545</v>
      </c>
      <c r="B383" s="6" t="n">
        <v>46</v>
      </c>
      <c r="C383" s="6" t="s">
        <v>134</v>
      </c>
      <c r="D383" s="6" t="s">
        <v>140</v>
      </c>
      <c r="E383" s="6" t="s">
        <v>87</v>
      </c>
      <c r="F383" s="6" t="s">
        <v>155</v>
      </c>
      <c r="G383" s="6" t="n">
        <v>20</v>
      </c>
      <c r="H383" s="6" t="s">
        <v>80</v>
      </c>
      <c r="I383" s="6" t="s">
        <v>82</v>
      </c>
      <c r="J383" s="6" t="s">
        <v>60</v>
      </c>
      <c r="K383" s="6" t="n">
        <v>101906</v>
      </c>
      <c r="L383" s="6" t="n">
        <v>108476</v>
      </c>
      <c r="M383" s="6" t="s">
        <v>142</v>
      </c>
      <c r="N383" s="6" t="n">
        <v>54</v>
      </c>
      <c r="O383" s="6" t="s">
        <v>58</v>
      </c>
      <c r="P383" s="6" t="n">
        <v>8</v>
      </c>
      <c r="Q383" s="6" t="n">
        <v>4.5</v>
      </c>
      <c r="R383" s="20" t="n">
        <f aca="false">(L383-K383)/K383</f>
        <v>0.0644711793221204</v>
      </c>
    </row>
    <row r="384" customFormat="false" ht="15" hidden="false" customHeight="false" outlineLevel="0" collapsed="false">
      <c r="A384" s="6" t="s">
        <v>546</v>
      </c>
      <c r="B384" s="6" t="n">
        <v>57</v>
      </c>
      <c r="C384" s="6" t="s">
        <v>134</v>
      </c>
      <c r="D384" s="6" t="s">
        <v>148</v>
      </c>
      <c r="E384" s="6" t="s">
        <v>87</v>
      </c>
      <c r="F384" s="6" t="s">
        <v>155</v>
      </c>
      <c r="G384" s="6" t="n">
        <v>32</v>
      </c>
      <c r="H384" s="6" t="s">
        <v>82</v>
      </c>
      <c r="I384" s="6" t="s">
        <v>80</v>
      </c>
      <c r="J384" s="6" t="s">
        <v>60</v>
      </c>
      <c r="K384" s="6" t="n">
        <v>53952</v>
      </c>
      <c r="L384" s="6" t="n">
        <v>67960</v>
      </c>
      <c r="M384" s="6" t="s">
        <v>142</v>
      </c>
      <c r="N384" s="6" t="n">
        <v>47</v>
      </c>
      <c r="O384" s="6" t="s">
        <v>60</v>
      </c>
      <c r="P384" s="6" t="n">
        <v>9</v>
      </c>
      <c r="Q384" s="6" t="n">
        <v>27.31</v>
      </c>
      <c r="R384" s="20" t="n">
        <f aca="false">(L384-K384)/K384</f>
        <v>0.259638196915777</v>
      </c>
    </row>
    <row r="385" customFormat="false" ht="15" hidden="false" customHeight="false" outlineLevel="0" collapsed="false">
      <c r="A385" s="6" t="s">
        <v>547</v>
      </c>
      <c r="B385" s="6" t="n">
        <v>39</v>
      </c>
      <c r="C385" s="6" t="s">
        <v>159</v>
      </c>
      <c r="D385" s="6" t="s">
        <v>144</v>
      </c>
      <c r="E385" s="6" t="s">
        <v>93</v>
      </c>
      <c r="F385" s="6" t="s">
        <v>164</v>
      </c>
      <c r="G385" s="6" t="n">
        <v>15</v>
      </c>
      <c r="H385" s="6" t="s">
        <v>80</v>
      </c>
      <c r="I385" s="6" t="s">
        <v>81</v>
      </c>
      <c r="J385" s="6" t="s">
        <v>60</v>
      </c>
      <c r="K385" s="6" t="n">
        <v>116661</v>
      </c>
      <c r="L385" s="6" t="n">
        <v>122565</v>
      </c>
      <c r="M385" s="6" t="s">
        <v>146</v>
      </c>
      <c r="N385" s="6" t="n">
        <v>36</v>
      </c>
      <c r="O385" s="6" t="s">
        <v>60</v>
      </c>
      <c r="P385" s="6" t="n">
        <v>8</v>
      </c>
      <c r="Q385" s="6" t="n">
        <v>13.63</v>
      </c>
      <c r="R385" s="20" t="n">
        <f aca="false">(L385-K385)/K385</f>
        <v>0.050608172396945</v>
      </c>
    </row>
    <row r="386" customFormat="false" ht="15" hidden="false" customHeight="false" outlineLevel="0" collapsed="false">
      <c r="A386" s="6" t="s">
        <v>548</v>
      </c>
      <c r="B386" s="6" t="n">
        <v>59</v>
      </c>
      <c r="C386" s="6" t="s">
        <v>134</v>
      </c>
      <c r="D386" s="6" t="s">
        <v>144</v>
      </c>
      <c r="E386" s="6" t="s">
        <v>93</v>
      </c>
      <c r="F386" s="6" t="s">
        <v>181</v>
      </c>
      <c r="G386" s="6" t="n">
        <v>34</v>
      </c>
      <c r="H386" s="6" t="s">
        <v>81</v>
      </c>
      <c r="I386" s="6" t="s">
        <v>80</v>
      </c>
      <c r="J386" s="6" t="s">
        <v>58</v>
      </c>
      <c r="K386" s="6" t="n">
        <v>116516</v>
      </c>
      <c r="L386" s="6" t="n">
        <v>123972</v>
      </c>
      <c r="M386" s="6" t="s">
        <v>142</v>
      </c>
      <c r="N386" s="6" t="n">
        <v>48</v>
      </c>
      <c r="O386" s="6" t="s">
        <v>60</v>
      </c>
      <c r="P386" s="6" t="n">
        <v>5</v>
      </c>
      <c r="Q386" s="6" t="n">
        <v>2.82</v>
      </c>
      <c r="R386" s="20" t="n">
        <f aca="false">(L386-K386)/K386</f>
        <v>0.0639912115074325</v>
      </c>
    </row>
    <row r="387" customFormat="false" ht="15" hidden="false" customHeight="false" outlineLevel="0" collapsed="false">
      <c r="A387" s="6" t="s">
        <v>549</v>
      </c>
      <c r="B387" s="6" t="n">
        <v>41</v>
      </c>
      <c r="C387" s="6" t="s">
        <v>159</v>
      </c>
      <c r="D387" s="6" t="s">
        <v>144</v>
      </c>
      <c r="E387" s="6" t="s">
        <v>87</v>
      </c>
      <c r="F387" s="6" t="s">
        <v>155</v>
      </c>
      <c r="G387" s="6" t="n">
        <v>19</v>
      </c>
      <c r="H387" s="6" t="s">
        <v>82</v>
      </c>
      <c r="I387" s="6" t="s">
        <v>82</v>
      </c>
      <c r="J387" s="6" t="s">
        <v>58</v>
      </c>
      <c r="K387" s="6" t="n">
        <v>38472</v>
      </c>
      <c r="L387" s="6" t="n">
        <v>40505</v>
      </c>
      <c r="M387" s="6" t="s">
        <v>137</v>
      </c>
      <c r="N387" s="6" t="n">
        <v>40</v>
      </c>
      <c r="O387" s="6" t="s">
        <v>60</v>
      </c>
      <c r="P387" s="6" t="n">
        <v>9</v>
      </c>
      <c r="Q387" s="6" t="n">
        <v>-18.37</v>
      </c>
      <c r="R387" s="20" t="n">
        <f aca="false">(L387-K387)/K387</f>
        <v>0.0528436265335829</v>
      </c>
    </row>
    <row r="388" customFormat="false" ht="15" hidden="false" customHeight="false" outlineLevel="0" collapsed="false">
      <c r="A388" s="6" t="s">
        <v>550</v>
      </c>
      <c r="B388" s="6" t="n">
        <v>43</v>
      </c>
      <c r="C388" s="6" t="s">
        <v>159</v>
      </c>
      <c r="D388" s="6" t="s">
        <v>140</v>
      </c>
      <c r="E388" s="6" t="s">
        <v>87</v>
      </c>
      <c r="F388" s="6" t="s">
        <v>155</v>
      </c>
      <c r="G388" s="6" t="n">
        <v>21</v>
      </c>
      <c r="H388" s="6" t="s">
        <v>81</v>
      </c>
      <c r="I388" s="6" t="s">
        <v>82</v>
      </c>
      <c r="J388" s="6" t="s">
        <v>58</v>
      </c>
      <c r="K388" s="6" t="n">
        <v>83330</v>
      </c>
      <c r="L388" s="6" t="n">
        <v>99315</v>
      </c>
      <c r="M388" s="6" t="s">
        <v>142</v>
      </c>
      <c r="N388" s="6" t="n">
        <v>53</v>
      </c>
      <c r="O388" s="6" t="s">
        <v>60</v>
      </c>
      <c r="P388" s="6" t="n">
        <v>3</v>
      </c>
      <c r="Q388" s="6" t="n">
        <v>29.56</v>
      </c>
      <c r="R388" s="20" t="n">
        <f aca="false">(L388-K388)/K388</f>
        <v>0.191827673106924</v>
      </c>
    </row>
    <row r="389" customFormat="false" ht="15" hidden="false" customHeight="false" outlineLevel="0" collapsed="false">
      <c r="A389" s="6" t="s">
        <v>551</v>
      </c>
      <c r="B389" s="6" t="n">
        <v>49</v>
      </c>
      <c r="C389" s="6" t="s">
        <v>139</v>
      </c>
      <c r="D389" s="6" t="s">
        <v>144</v>
      </c>
      <c r="E389" s="6" t="s">
        <v>93</v>
      </c>
      <c r="F389" s="6" t="s">
        <v>181</v>
      </c>
      <c r="G389" s="6" t="n">
        <v>24</v>
      </c>
      <c r="H389" s="6" t="s">
        <v>82</v>
      </c>
      <c r="I389" s="6" t="s">
        <v>80</v>
      </c>
      <c r="J389" s="6" t="s">
        <v>60</v>
      </c>
      <c r="K389" s="6" t="n">
        <v>105948</v>
      </c>
      <c r="L389" s="6" t="n">
        <v>145963</v>
      </c>
      <c r="M389" s="6" t="s">
        <v>142</v>
      </c>
      <c r="N389" s="6" t="n">
        <v>53</v>
      </c>
      <c r="O389" s="6" t="s">
        <v>58</v>
      </c>
      <c r="P389" s="6" t="n">
        <v>9</v>
      </c>
      <c r="Q389" s="6" t="n">
        <v>23.6</v>
      </c>
      <c r="R389" s="20" t="n">
        <f aca="false">(L389-K389)/K389</f>
        <v>0.37768527957111</v>
      </c>
    </row>
    <row r="390" customFormat="false" ht="15" hidden="false" customHeight="false" outlineLevel="0" collapsed="false">
      <c r="A390" s="6" t="s">
        <v>552</v>
      </c>
      <c r="B390" s="6" t="n">
        <v>35</v>
      </c>
      <c r="C390" s="6" t="s">
        <v>159</v>
      </c>
      <c r="D390" s="6" t="s">
        <v>148</v>
      </c>
      <c r="E390" s="6" t="s">
        <v>92</v>
      </c>
      <c r="F390" s="6" t="s">
        <v>136</v>
      </c>
      <c r="G390" s="6" t="n">
        <v>9</v>
      </c>
      <c r="H390" s="6" t="s">
        <v>80</v>
      </c>
      <c r="I390" s="6" t="s">
        <v>80</v>
      </c>
      <c r="J390" s="6" t="s">
        <v>60</v>
      </c>
      <c r="K390" s="6" t="n">
        <v>109676</v>
      </c>
      <c r="L390" s="6" t="n">
        <v>105316</v>
      </c>
      <c r="M390" s="6" t="s">
        <v>142</v>
      </c>
      <c r="N390" s="6" t="n">
        <v>43</v>
      </c>
      <c r="O390" s="6" t="s">
        <v>58</v>
      </c>
      <c r="P390" s="6" t="n">
        <v>3</v>
      </c>
      <c r="Q390" s="6" t="n">
        <v>-4.2</v>
      </c>
      <c r="R390" s="20" t="n">
        <f aca="false">(L390-K390)/K390</f>
        <v>-0.0397534556329553</v>
      </c>
    </row>
    <row r="391" customFormat="false" ht="15" hidden="false" customHeight="false" outlineLevel="0" collapsed="false">
      <c r="A391" s="6" t="s">
        <v>553</v>
      </c>
      <c r="B391" s="6" t="n">
        <v>46</v>
      </c>
      <c r="C391" s="6" t="s">
        <v>139</v>
      </c>
      <c r="D391" s="6" t="s">
        <v>144</v>
      </c>
      <c r="E391" s="6" t="s">
        <v>88</v>
      </c>
      <c r="F391" s="6" t="s">
        <v>234</v>
      </c>
      <c r="G391" s="6" t="n">
        <v>22</v>
      </c>
      <c r="H391" s="6" t="s">
        <v>82</v>
      </c>
      <c r="I391" s="6" t="s">
        <v>82</v>
      </c>
      <c r="J391" s="6" t="s">
        <v>60</v>
      </c>
      <c r="K391" s="6" t="n">
        <v>41240</v>
      </c>
      <c r="L391" s="6" t="n">
        <v>40413</v>
      </c>
      <c r="M391" s="6" t="s">
        <v>146</v>
      </c>
      <c r="N391" s="6" t="n">
        <v>38</v>
      </c>
      <c r="O391" s="6" t="s">
        <v>58</v>
      </c>
      <c r="P391" s="6" t="n">
        <v>5</v>
      </c>
      <c r="Q391" s="6" t="n">
        <v>24.59</v>
      </c>
      <c r="R391" s="20" t="n">
        <f aca="false">(L391-K391)/K391</f>
        <v>-0.0200533462657614</v>
      </c>
    </row>
    <row r="392" customFormat="false" ht="15" hidden="false" customHeight="false" outlineLevel="0" collapsed="false">
      <c r="A392" s="6" t="s">
        <v>554</v>
      </c>
      <c r="B392" s="6" t="n">
        <v>25</v>
      </c>
      <c r="C392" s="6" t="s">
        <v>139</v>
      </c>
      <c r="D392" s="6" t="s">
        <v>140</v>
      </c>
      <c r="E392" s="6" t="s">
        <v>89</v>
      </c>
      <c r="F392" s="6" t="s">
        <v>153</v>
      </c>
      <c r="G392" s="6" t="n">
        <v>0</v>
      </c>
      <c r="H392" s="6" t="s">
        <v>82</v>
      </c>
      <c r="I392" s="6" t="s">
        <v>81</v>
      </c>
      <c r="J392" s="6" t="s">
        <v>58</v>
      </c>
      <c r="K392" s="6" t="n">
        <v>44849</v>
      </c>
      <c r="L392" s="6" t="n">
        <v>53849</v>
      </c>
      <c r="M392" s="6" t="s">
        <v>146</v>
      </c>
      <c r="N392" s="6" t="n">
        <v>43</v>
      </c>
      <c r="O392" s="6" t="s">
        <v>58</v>
      </c>
      <c r="P392" s="6" t="n">
        <v>9</v>
      </c>
      <c r="Q392" s="6" t="n">
        <v>15.59</v>
      </c>
      <c r="R392" s="20" t="n">
        <f aca="false">(L392-K392)/K392</f>
        <v>0.200673370643716</v>
      </c>
    </row>
    <row r="393" customFormat="false" ht="15" hidden="false" customHeight="false" outlineLevel="0" collapsed="false">
      <c r="A393" s="6" t="s">
        <v>555</v>
      </c>
      <c r="B393" s="6" t="n">
        <v>37</v>
      </c>
      <c r="C393" s="6" t="s">
        <v>159</v>
      </c>
      <c r="D393" s="6" t="s">
        <v>144</v>
      </c>
      <c r="E393" s="6" t="s">
        <v>93</v>
      </c>
      <c r="F393" s="6" t="s">
        <v>164</v>
      </c>
      <c r="G393" s="6" t="n">
        <v>11</v>
      </c>
      <c r="H393" s="6" t="s">
        <v>82</v>
      </c>
      <c r="I393" s="6" t="s">
        <v>82</v>
      </c>
      <c r="J393" s="6" t="s">
        <v>60</v>
      </c>
      <c r="K393" s="6" t="n">
        <v>104813</v>
      </c>
      <c r="L393" s="6" t="n">
        <v>133819</v>
      </c>
      <c r="M393" s="6" t="s">
        <v>146</v>
      </c>
      <c r="N393" s="6" t="n">
        <v>37</v>
      </c>
      <c r="O393" s="6" t="s">
        <v>60</v>
      </c>
      <c r="P393" s="6" t="n">
        <v>5</v>
      </c>
      <c r="Q393" s="6" t="n">
        <v>-17.92</v>
      </c>
      <c r="R393" s="20" t="n">
        <f aca="false">(L393-K393)/K393</f>
        <v>0.276740480665566</v>
      </c>
    </row>
    <row r="394" customFormat="false" ht="15" hidden="false" customHeight="false" outlineLevel="0" collapsed="false">
      <c r="A394" s="6" t="s">
        <v>556</v>
      </c>
      <c r="B394" s="6" t="n">
        <v>42</v>
      </c>
      <c r="C394" s="6" t="s">
        <v>134</v>
      </c>
      <c r="D394" s="6" t="s">
        <v>144</v>
      </c>
      <c r="E394" s="6" t="s">
        <v>89</v>
      </c>
      <c r="F394" s="6" t="s">
        <v>162</v>
      </c>
      <c r="G394" s="6" t="n">
        <v>16</v>
      </c>
      <c r="H394" s="6" t="s">
        <v>81</v>
      </c>
      <c r="I394" s="6" t="s">
        <v>80</v>
      </c>
      <c r="J394" s="6" t="s">
        <v>60</v>
      </c>
      <c r="K394" s="6" t="n">
        <v>80500</v>
      </c>
      <c r="L394" s="6" t="n">
        <v>78543</v>
      </c>
      <c r="M394" s="6" t="s">
        <v>142</v>
      </c>
      <c r="N394" s="6" t="n">
        <v>46</v>
      </c>
      <c r="O394" s="6" t="s">
        <v>60</v>
      </c>
      <c r="P394" s="6" t="n">
        <v>3</v>
      </c>
      <c r="Q394" s="6" t="n">
        <v>-6.79</v>
      </c>
      <c r="R394" s="20" t="n">
        <f aca="false">(L394-K394)/K394</f>
        <v>-0.0243105590062112</v>
      </c>
    </row>
    <row r="395" customFormat="false" ht="15" hidden="false" customHeight="false" outlineLevel="0" collapsed="false">
      <c r="A395" s="6" t="s">
        <v>557</v>
      </c>
      <c r="B395" s="6" t="n">
        <v>30</v>
      </c>
      <c r="C395" s="6" t="s">
        <v>134</v>
      </c>
      <c r="D395" s="6" t="s">
        <v>135</v>
      </c>
      <c r="E395" s="6" t="s">
        <v>88</v>
      </c>
      <c r="F395" s="6" t="s">
        <v>179</v>
      </c>
      <c r="G395" s="6" t="n">
        <v>4</v>
      </c>
      <c r="H395" s="6" t="s">
        <v>81</v>
      </c>
      <c r="I395" s="6" t="s">
        <v>80</v>
      </c>
      <c r="J395" s="6" t="s">
        <v>60</v>
      </c>
      <c r="K395" s="6" t="n">
        <v>76403</v>
      </c>
      <c r="L395" s="6" t="n">
        <v>88670</v>
      </c>
      <c r="M395" s="6" t="s">
        <v>142</v>
      </c>
      <c r="N395" s="6" t="n">
        <v>35</v>
      </c>
      <c r="O395" s="6" t="s">
        <v>58</v>
      </c>
      <c r="P395" s="6" t="n">
        <v>7</v>
      </c>
      <c r="Q395" s="6" t="n">
        <v>-16.12</v>
      </c>
      <c r="R395" s="20" t="n">
        <f aca="false">(L395-K395)/K395</f>
        <v>0.160556522649634</v>
      </c>
    </row>
    <row r="396" customFormat="false" ht="15" hidden="false" customHeight="false" outlineLevel="0" collapsed="false">
      <c r="A396" s="6" t="s">
        <v>558</v>
      </c>
      <c r="B396" s="6" t="n">
        <v>44</v>
      </c>
      <c r="C396" s="6" t="s">
        <v>134</v>
      </c>
      <c r="D396" s="6" t="s">
        <v>148</v>
      </c>
      <c r="E396" s="6" t="s">
        <v>90</v>
      </c>
      <c r="F396" s="6" t="s">
        <v>236</v>
      </c>
      <c r="G396" s="6" t="n">
        <v>19</v>
      </c>
      <c r="H396" s="6" t="s">
        <v>81</v>
      </c>
      <c r="I396" s="6" t="s">
        <v>80</v>
      </c>
      <c r="J396" s="6" t="s">
        <v>58</v>
      </c>
      <c r="K396" s="6" t="n">
        <v>36581</v>
      </c>
      <c r="L396" s="6" t="n">
        <v>37692</v>
      </c>
      <c r="M396" s="6" t="s">
        <v>142</v>
      </c>
      <c r="N396" s="6" t="n">
        <v>43</v>
      </c>
      <c r="O396" s="6" t="s">
        <v>60</v>
      </c>
      <c r="P396" s="6" t="n">
        <v>5</v>
      </c>
      <c r="Q396" s="6" t="n">
        <v>26.43</v>
      </c>
      <c r="R396" s="20" t="n">
        <f aca="false">(L396-K396)/K396</f>
        <v>0.0303709576009404</v>
      </c>
    </row>
    <row r="397" customFormat="false" ht="15" hidden="false" customHeight="false" outlineLevel="0" collapsed="false">
      <c r="A397" s="6" t="s">
        <v>559</v>
      </c>
      <c r="B397" s="6" t="n">
        <v>47</v>
      </c>
      <c r="C397" s="6" t="s">
        <v>134</v>
      </c>
      <c r="D397" s="6" t="s">
        <v>140</v>
      </c>
      <c r="E397" s="6" t="s">
        <v>88</v>
      </c>
      <c r="F397" s="6" t="s">
        <v>157</v>
      </c>
      <c r="G397" s="6" t="n">
        <v>22</v>
      </c>
      <c r="H397" s="6" t="s">
        <v>82</v>
      </c>
      <c r="I397" s="6" t="s">
        <v>82</v>
      </c>
      <c r="J397" s="6" t="s">
        <v>58</v>
      </c>
      <c r="K397" s="6" t="n">
        <v>118668</v>
      </c>
      <c r="L397" s="6" t="n">
        <v>107079</v>
      </c>
      <c r="M397" s="6" t="s">
        <v>137</v>
      </c>
      <c r="N397" s="6" t="n">
        <v>40</v>
      </c>
      <c r="O397" s="6" t="s">
        <v>58</v>
      </c>
      <c r="P397" s="6" t="n">
        <v>6</v>
      </c>
      <c r="Q397" s="6" t="n">
        <v>36.89</v>
      </c>
      <c r="R397" s="20" t="n">
        <f aca="false">(L397-K397)/K397</f>
        <v>-0.0976590150672464</v>
      </c>
    </row>
    <row r="398" customFormat="false" ht="15" hidden="false" customHeight="false" outlineLevel="0" collapsed="false">
      <c r="A398" s="6" t="s">
        <v>560</v>
      </c>
      <c r="B398" s="6" t="n">
        <v>50</v>
      </c>
      <c r="C398" s="6" t="s">
        <v>139</v>
      </c>
      <c r="D398" s="6" t="s">
        <v>148</v>
      </c>
      <c r="E398" s="6" t="s">
        <v>93</v>
      </c>
      <c r="F398" s="6" t="s">
        <v>197</v>
      </c>
      <c r="G398" s="6" t="n">
        <v>26</v>
      </c>
      <c r="H398" s="6" t="s">
        <v>81</v>
      </c>
      <c r="I398" s="6" t="s">
        <v>80</v>
      </c>
      <c r="J398" s="6" t="s">
        <v>60</v>
      </c>
      <c r="K398" s="6" t="n">
        <v>58803</v>
      </c>
      <c r="L398" s="6" t="n">
        <v>64855</v>
      </c>
      <c r="M398" s="6" t="s">
        <v>142</v>
      </c>
      <c r="N398" s="6" t="n">
        <v>38</v>
      </c>
      <c r="O398" s="6" t="s">
        <v>60</v>
      </c>
      <c r="P398" s="6" t="n">
        <v>8</v>
      </c>
      <c r="Q398" s="6" t="n">
        <v>-12.1</v>
      </c>
      <c r="R398" s="20" t="n">
        <f aca="false">(L398-K398)/K398</f>
        <v>0.102919919051749</v>
      </c>
    </row>
    <row r="399" customFormat="false" ht="15" hidden="false" customHeight="false" outlineLevel="0" collapsed="false">
      <c r="A399" s="6" t="s">
        <v>561</v>
      </c>
      <c r="B399" s="6" t="n">
        <v>33</v>
      </c>
      <c r="C399" s="6" t="s">
        <v>134</v>
      </c>
      <c r="D399" s="6" t="s">
        <v>140</v>
      </c>
      <c r="E399" s="6" t="s">
        <v>93</v>
      </c>
      <c r="F399" s="6" t="s">
        <v>181</v>
      </c>
      <c r="G399" s="6" t="n">
        <v>7</v>
      </c>
      <c r="H399" s="6" t="s">
        <v>82</v>
      </c>
      <c r="I399" s="6" t="s">
        <v>82</v>
      </c>
      <c r="J399" s="6" t="s">
        <v>58</v>
      </c>
      <c r="K399" s="6" t="n">
        <v>38770</v>
      </c>
      <c r="L399" s="6" t="n">
        <v>46188</v>
      </c>
      <c r="M399" s="6" t="s">
        <v>137</v>
      </c>
      <c r="N399" s="6" t="n">
        <v>36</v>
      </c>
      <c r="O399" s="6" t="s">
        <v>60</v>
      </c>
      <c r="P399" s="6" t="n">
        <v>5</v>
      </c>
      <c r="Q399" s="6" t="n">
        <v>37.03</v>
      </c>
      <c r="R399" s="20" t="n">
        <f aca="false">(L399-K399)/K399</f>
        <v>0.191333505287594</v>
      </c>
    </row>
    <row r="400" customFormat="false" ht="15" hidden="false" customHeight="false" outlineLevel="0" collapsed="false">
      <c r="A400" s="6" t="s">
        <v>562</v>
      </c>
      <c r="B400" s="6" t="n">
        <v>22</v>
      </c>
      <c r="C400" s="6" t="s">
        <v>159</v>
      </c>
      <c r="D400" s="6" t="s">
        <v>148</v>
      </c>
      <c r="E400" s="6" t="s">
        <v>93</v>
      </c>
      <c r="F400" s="6" t="s">
        <v>197</v>
      </c>
      <c r="G400" s="6" t="n">
        <v>0</v>
      </c>
      <c r="H400" s="6" t="s">
        <v>80</v>
      </c>
      <c r="I400" s="6" t="s">
        <v>82</v>
      </c>
      <c r="J400" s="6" t="s">
        <v>60</v>
      </c>
      <c r="K400" s="6" t="n">
        <v>56512</v>
      </c>
      <c r="L400" s="6" t="n">
        <v>54023</v>
      </c>
      <c r="M400" s="6" t="s">
        <v>142</v>
      </c>
      <c r="N400" s="6" t="n">
        <v>42</v>
      </c>
      <c r="O400" s="6" t="s">
        <v>60</v>
      </c>
      <c r="P400" s="6" t="n">
        <v>5</v>
      </c>
      <c r="Q400" s="6" t="n">
        <v>16.24</v>
      </c>
      <c r="R400" s="20" t="n">
        <f aca="false">(L400-K400)/K400</f>
        <v>-0.0440437429218573</v>
      </c>
    </row>
    <row r="401" customFormat="false" ht="15" hidden="false" customHeight="false" outlineLevel="0" collapsed="false">
      <c r="A401" s="6" t="s">
        <v>563</v>
      </c>
      <c r="B401" s="6" t="n">
        <v>22</v>
      </c>
      <c r="C401" s="6" t="s">
        <v>139</v>
      </c>
      <c r="D401" s="6" t="s">
        <v>148</v>
      </c>
      <c r="E401" s="6" t="s">
        <v>90</v>
      </c>
      <c r="F401" s="6" t="s">
        <v>145</v>
      </c>
      <c r="G401" s="6" t="n">
        <v>0</v>
      </c>
      <c r="H401" s="6" t="s">
        <v>80</v>
      </c>
      <c r="I401" s="6" t="s">
        <v>81</v>
      </c>
      <c r="J401" s="6" t="s">
        <v>60</v>
      </c>
      <c r="K401" s="6" t="n">
        <v>105868</v>
      </c>
      <c r="L401" s="6" t="n">
        <v>108085</v>
      </c>
      <c r="M401" s="6" t="s">
        <v>146</v>
      </c>
      <c r="N401" s="6" t="n">
        <v>48</v>
      </c>
      <c r="O401" s="6" t="s">
        <v>58</v>
      </c>
      <c r="P401" s="6" t="n">
        <v>5</v>
      </c>
      <c r="Q401" s="6" t="n">
        <v>17.35</v>
      </c>
      <c r="R401" s="20" t="n">
        <f aca="false">(L401-K401)/K401</f>
        <v>0.0209411720255412</v>
      </c>
    </row>
    <row r="402" customFormat="false" ht="15" hidden="false" customHeight="false" outlineLevel="0" collapsed="false">
      <c r="A402" s="6" t="s">
        <v>564</v>
      </c>
      <c r="B402" s="6" t="n">
        <v>41</v>
      </c>
      <c r="C402" s="6" t="s">
        <v>139</v>
      </c>
      <c r="D402" s="6" t="s">
        <v>148</v>
      </c>
      <c r="E402" s="6" t="s">
        <v>88</v>
      </c>
      <c r="F402" s="6" t="s">
        <v>157</v>
      </c>
      <c r="G402" s="6" t="n">
        <v>19</v>
      </c>
      <c r="H402" s="6" t="s">
        <v>82</v>
      </c>
      <c r="I402" s="6" t="s">
        <v>80</v>
      </c>
      <c r="J402" s="6" t="s">
        <v>60</v>
      </c>
      <c r="K402" s="6" t="n">
        <v>36796</v>
      </c>
      <c r="L402" s="6" t="n">
        <v>41292</v>
      </c>
      <c r="M402" s="6" t="s">
        <v>142</v>
      </c>
      <c r="N402" s="6" t="n">
        <v>51</v>
      </c>
      <c r="O402" s="6" t="s">
        <v>60</v>
      </c>
      <c r="P402" s="6" t="n">
        <v>8</v>
      </c>
      <c r="Q402" s="6" t="n">
        <v>31.25</v>
      </c>
      <c r="R402" s="20" t="n">
        <f aca="false">(L402-K402)/K402</f>
        <v>0.122187194260246</v>
      </c>
    </row>
    <row r="403" customFormat="false" ht="15" hidden="false" customHeight="false" outlineLevel="0" collapsed="false">
      <c r="A403" s="6" t="s">
        <v>565</v>
      </c>
      <c r="B403" s="6" t="n">
        <v>29</v>
      </c>
      <c r="C403" s="6" t="s">
        <v>159</v>
      </c>
      <c r="D403" s="6" t="s">
        <v>135</v>
      </c>
      <c r="E403" s="6" t="s">
        <v>91</v>
      </c>
      <c r="F403" s="6" t="s">
        <v>206</v>
      </c>
      <c r="G403" s="6" t="n">
        <v>5</v>
      </c>
      <c r="H403" s="6" t="s">
        <v>82</v>
      </c>
      <c r="I403" s="6" t="s">
        <v>80</v>
      </c>
      <c r="J403" s="6" t="s">
        <v>58</v>
      </c>
      <c r="K403" s="6" t="n">
        <v>46724</v>
      </c>
      <c r="L403" s="6" t="n">
        <v>49673</v>
      </c>
      <c r="M403" s="6" t="s">
        <v>142</v>
      </c>
      <c r="N403" s="6" t="n">
        <v>44</v>
      </c>
      <c r="O403" s="6" t="s">
        <v>60</v>
      </c>
      <c r="P403" s="6" t="n">
        <v>5</v>
      </c>
      <c r="Q403" s="6" t="n">
        <v>-6.89</v>
      </c>
      <c r="R403" s="20" t="n">
        <f aca="false">(L403-K403)/K403</f>
        <v>0.063115315469566</v>
      </c>
    </row>
    <row r="404" customFormat="false" ht="15" hidden="false" customHeight="false" outlineLevel="0" collapsed="false">
      <c r="A404" s="6" t="s">
        <v>566</v>
      </c>
      <c r="B404" s="6" t="n">
        <v>30</v>
      </c>
      <c r="C404" s="6" t="s">
        <v>159</v>
      </c>
      <c r="D404" s="6" t="s">
        <v>148</v>
      </c>
      <c r="E404" s="6" t="s">
        <v>90</v>
      </c>
      <c r="F404" s="6" t="s">
        <v>236</v>
      </c>
      <c r="G404" s="6" t="n">
        <v>4</v>
      </c>
      <c r="H404" s="6" t="s">
        <v>80</v>
      </c>
      <c r="I404" s="6" t="s">
        <v>81</v>
      </c>
      <c r="J404" s="6" t="s">
        <v>60</v>
      </c>
      <c r="K404" s="6" t="n">
        <v>100448</v>
      </c>
      <c r="L404" s="6" t="n">
        <v>104723</v>
      </c>
      <c r="M404" s="6" t="s">
        <v>146</v>
      </c>
      <c r="N404" s="6" t="n">
        <v>53</v>
      </c>
      <c r="O404" s="6" t="s">
        <v>58</v>
      </c>
      <c r="P404" s="6" t="n">
        <v>5</v>
      </c>
      <c r="Q404" s="6" t="n">
        <v>-13.17</v>
      </c>
      <c r="R404" s="20" t="n">
        <f aca="false">(L404-K404)/K404</f>
        <v>0.0425593341828608</v>
      </c>
    </row>
    <row r="405" customFormat="false" ht="15" hidden="false" customHeight="false" outlineLevel="0" collapsed="false">
      <c r="A405" s="6" t="s">
        <v>567</v>
      </c>
      <c r="B405" s="6" t="n">
        <v>34</v>
      </c>
      <c r="C405" s="6" t="s">
        <v>159</v>
      </c>
      <c r="D405" s="6" t="s">
        <v>144</v>
      </c>
      <c r="E405" s="6" t="s">
        <v>88</v>
      </c>
      <c r="F405" s="6" t="s">
        <v>234</v>
      </c>
      <c r="G405" s="6" t="n">
        <v>10</v>
      </c>
      <c r="H405" s="6" t="s">
        <v>81</v>
      </c>
      <c r="I405" s="6" t="s">
        <v>80</v>
      </c>
      <c r="J405" s="6" t="s">
        <v>60</v>
      </c>
      <c r="K405" s="6" t="n">
        <v>111554</v>
      </c>
      <c r="L405" s="6" t="n">
        <v>115478</v>
      </c>
      <c r="M405" s="6" t="s">
        <v>142</v>
      </c>
      <c r="N405" s="6" t="n">
        <v>47</v>
      </c>
      <c r="O405" s="6" t="s">
        <v>60</v>
      </c>
      <c r="P405" s="6" t="n">
        <v>3</v>
      </c>
      <c r="Q405" s="6" t="n">
        <v>35.77</v>
      </c>
      <c r="R405" s="20" t="n">
        <f aca="false">(L405-K405)/K405</f>
        <v>0.0351757893038349</v>
      </c>
    </row>
    <row r="406" customFormat="false" ht="15" hidden="false" customHeight="false" outlineLevel="0" collapsed="false">
      <c r="A406" s="6" t="s">
        <v>568</v>
      </c>
      <c r="B406" s="6" t="n">
        <v>40</v>
      </c>
      <c r="C406" s="6" t="s">
        <v>159</v>
      </c>
      <c r="D406" s="6" t="s">
        <v>140</v>
      </c>
      <c r="E406" s="6" t="s">
        <v>91</v>
      </c>
      <c r="F406" s="6" t="s">
        <v>141</v>
      </c>
      <c r="G406" s="6" t="n">
        <v>15</v>
      </c>
      <c r="H406" s="6" t="s">
        <v>81</v>
      </c>
      <c r="I406" s="6" t="s">
        <v>82</v>
      </c>
      <c r="J406" s="6" t="s">
        <v>58</v>
      </c>
      <c r="K406" s="6" t="n">
        <v>108279</v>
      </c>
      <c r="L406" s="6" t="n">
        <v>119245</v>
      </c>
      <c r="M406" s="6" t="s">
        <v>142</v>
      </c>
      <c r="N406" s="6" t="n">
        <v>50</v>
      </c>
      <c r="O406" s="6" t="s">
        <v>60</v>
      </c>
      <c r="P406" s="6" t="n">
        <v>3</v>
      </c>
      <c r="Q406" s="6" t="n">
        <v>-4.51</v>
      </c>
      <c r="R406" s="20" t="n">
        <f aca="false">(L406-K406)/K406</f>
        <v>0.101275408897385</v>
      </c>
    </row>
    <row r="407" customFormat="false" ht="15" hidden="false" customHeight="false" outlineLevel="0" collapsed="false">
      <c r="A407" s="6" t="s">
        <v>569</v>
      </c>
      <c r="B407" s="6" t="n">
        <v>47</v>
      </c>
      <c r="C407" s="6" t="s">
        <v>139</v>
      </c>
      <c r="D407" s="6" t="s">
        <v>140</v>
      </c>
      <c r="E407" s="6" t="s">
        <v>91</v>
      </c>
      <c r="F407" s="6" t="s">
        <v>141</v>
      </c>
      <c r="G407" s="6" t="n">
        <v>22</v>
      </c>
      <c r="H407" s="6" t="s">
        <v>80</v>
      </c>
      <c r="I407" s="6" t="s">
        <v>82</v>
      </c>
      <c r="J407" s="6" t="s">
        <v>60</v>
      </c>
      <c r="K407" s="6" t="n">
        <v>33321</v>
      </c>
      <c r="L407" s="6" t="n">
        <v>35260</v>
      </c>
      <c r="M407" s="6" t="s">
        <v>142</v>
      </c>
      <c r="N407" s="6" t="n">
        <v>48</v>
      </c>
      <c r="O407" s="6" t="s">
        <v>60</v>
      </c>
      <c r="P407" s="6" t="n">
        <v>9</v>
      </c>
      <c r="Q407" s="6" t="n">
        <v>31.77</v>
      </c>
      <c r="R407" s="20" t="n">
        <f aca="false">(L407-K407)/K407</f>
        <v>0.0581915308664206</v>
      </c>
    </row>
    <row r="408" customFormat="false" ht="15" hidden="false" customHeight="false" outlineLevel="0" collapsed="false">
      <c r="A408" s="6" t="s">
        <v>570</v>
      </c>
      <c r="B408" s="6" t="n">
        <v>51</v>
      </c>
      <c r="C408" s="6" t="s">
        <v>134</v>
      </c>
      <c r="D408" s="6" t="s">
        <v>140</v>
      </c>
      <c r="E408" s="6" t="s">
        <v>89</v>
      </c>
      <c r="F408" s="6" t="s">
        <v>162</v>
      </c>
      <c r="G408" s="6" t="n">
        <v>25</v>
      </c>
      <c r="H408" s="6" t="s">
        <v>81</v>
      </c>
      <c r="I408" s="6" t="s">
        <v>82</v>
      </c>
      <c r="J408" s="6" t="s">
        <v>60</v>
      </c>
      <c r="K408" s="6" t="n">
        <v>96262</v>
      </c>
      <c r="L408" s="6" t="n">
        <v>87807</v>
      </c>
      <c r="M408" s="6" t="s">
        <v>142</v>
      </c>
      <c r="N408" s="6" t="n">
        <v>52</v>
      </c>
      <c r="O408" s="6" t="s">
        <v>58</v>
      </c>
      <c r="P408" s="6" t="n">
        <v>4</v>
      </c>
      <c r="Q408" s="6" t="n">
        <v>32.3</v>
      </c>
      <c r="R408" s="20" t="n">
        <f aca="false">(L408-K408)/K408</f>
        <v>-0.0878332052107789</v>
      </c>
    </row>
    <row r="409" customFormat="false" ht="15" hidden="false" customHeight="false" outlineLevel="0" collapsed="false">
      <c r="A409" s="6" t="s">
        <v>571</v>
      </c>
      <c r="B409" s="6" t="n">
        <v>25</v>
      </c>
      <c r="C409" s="6" t="s">
        <v>159</v>
      </c>
      <c r="D409" s="6" t="s">
        <v>148</v>
      </c>
      <c r="E409" s="6" t="s">
        <v>89</v>
      </c>
      <c r="F409" s="6" t="s">
        <v>151</v>
      </c>
      <c r="G409" s="6" t="n">
        <v>3</v>
      </c>
      <c r="H409" s="6" t="s">
        <v>82</v>
      </c>
      <c r="I409" s="6" t="s">
        <v>81</v>
      </c>
      <c r="J409" s="6" t="s">
        <v>60</v>
      </c>
      <c r="K409" s="6" t="n">
        <v>54995</v>
      </c>
      <c r="L409" s="6" t="n">
        <v>56173</v>
      </c>
      <c r="M409" s="6" t="s">
        <v>146</v>
      </c>
      <c r="N409" s="6" t="n">
        <v>42</v>
      </c>
      <c r="O409" s="6" t="s">
        <v>58</v>
      </c>
      <c r="P409" s="6" t="n">
        <v>6</v>
      </c>
      <c r="Q409" s="6" t="n">
        <v>-12.74</v>
      </c>
      <c r="R409" s="20" t="n">
        <f aca="false">(L409-K409)/K409</f>
        <v>0.0214201291026457</v>
      </c>
    </row>
    <row r="410" customFormat="false" ht="15" hidden="false" customHeight="false" outlineLevel="0" collapsed="false">
      <c r="A410" s="6" t="s">
        <v>572</v>
      </c>
      <c r="B410" s="6" t="n">
        <v>54</v>
      </c>
      <c r="C410" s="6" t="s">
        <v>139</v>
      </c>
      <c r="D410" s="6" t="s">
        <v>140</v>
      </c>
      <c r="E410" s="6" t="s">
        <v>91</v>
      </c>
      <c r="F410" s="6" t="s">
        <v>206</v>
      </c>
      <c r="G410" s="6" t="n">
        <v>29</v>
      </c>
      <c r="H410" s="6" t="s">
        <v>82</v>
      </c>
      <c r="I410" s="6" t="s">
        <v>80</v>
      </c>
      <c r="J410" s="6" t="s">
        <v>60</v>
      </c>
      <c r="K410" s="6" t="n">
        <v>74409</v>
      </c>
      <c r="L410" s="6" t="n">
        <v>73861</v>
      </c>
      <c r="M410" s="6" t="s">
        <v>142</v>
      </c>
      <c r="N410" s="6" t="n">
        <v>36</v>
      </c>
      <c r="O410" s="6" t="s">
        <v>60</v>
      </c>
      <c r="P410" s="6" t="n">
        <v>9</v>
      </c>
      <c r="Q410" s="6" t="n">
        <v>24.99</v>
      </c>
      <c r="R410" s="20" t="n">
        <f aca="false">(L410-K410)/K410</f>
        <v>-0.00736470050665914</v>
      </c>
    </row>
    <row r="411" customFormat="false" ht="15" hidden="false" customHeight="false" outlineLevel="0" collapsed="false">
      <c r="A411" s="6" t="s">
        <v>573</v>
      </c>
      <c r="B411" s="6" t="n">
        <v>50</v>
      </c>
      <c r="C411" s="6" t="s">
        <v>139</v>
      </c>
      <c r="D411" s="6" t="s">
        <v>148</v>
      </c>
      <c r="E411" s="6" t="s">
        <v>88</v>
      </c>
      <c r="F411" s="6" t="s">
        <v>179</v>
      </c>
      <c r="G411" s="6" t="n">
        <v>28</v>
      </c>
      <c r="H411" s="6" t="s">
        <v>81</v>
      </c>
      <c r="I411" s="6" t="s">
        <v>81</v>
      </c>
      <c r="J411" s="6" t="s">
        <v>60</v>
      </c>
      <c r="K411" s="6" t="n">
        <v>81649</v>
      </c>
      <c r="L411" s="6" t="n">
        <v>95236</v>
      </c>
      <c r="M411" s="6" t="s">
        <v>146</v>
      </c>
      <c r="N411" s="6" t="n">
        <v>48</v>
      </c>
      <c r="O411" s="6" t="s">
        <v>58</v>
      </c>
      <c r="P411" s="6" t="n">
        <v>4</v>
      </c>
      <c r="Q411" s="6" t="n">
        <v>15.92</v>
      </c>
      <c r="R411" s="20" t="n">
        <f aca="false">(L411-K411)/K411</f>
        <v>0.166407426912761</v>
      </c>
    </row>
    <row r="412" customFormat="false" ht="15" hidden="false" customHeight="false" outlineLevel="0" collapsed="false">
      <c r="A412" s="6" t="s">
        <v>574</v>
      </c>
      <c r="B412" s="6" t="n">
        <v>30</v>
      </c>
      <c r="C412" s="6" t="s">
        <v>139</v>
      </c>
      <c r="D412" s="6" t="s">
        <v>140</v>
      </c>
      <c r="E412" s="6" t="s">
        <v>93</v>
      </c>
      <c r="F412" s="6" t="s">
        <v>181</v>
      </c>
      <c r="G412" s="6" t="n">
        <v>8</v>
      </c>
      <c r="H412" s="6" t="s">
        <v>82</v>
      </c>
      <c r="I412" s="6" t="s">
        <v>80</v>
      </c>
      <c r="J412" s="6" t="s">
        <v>58</v>
      </c>
      <c r="K412" s="6" t="n">
        <v>76619</v>
      </c>
      <c r="L412" s="6" t="n">
        <v>69195</v>
      </c>
      <c r="M412" s="6" t="s">
        <v>142</v>
      </c>
      <c r="N412" s="6" t="n">
        <v>36</v>
      </c>
      <c r="O412" s="6" t="s">
        <v>60</v>
      </c>
      <c r="P412" s="6" t="n">
        <v>7</v>
      </c>
      <c r="Q412" s="6" t="n">
        <v>18.27</v>
      </c>
      <c r="R412" s="20" t="n">
        <f aca="false">(L412-K412)/K412</f>
        <v>-0.0968950260379279</v>
      </c>
    </row>
    <row r="413" customFormat="false" ht="15" hidden="false" customHeight="false" outlineLevel="0" collapsed="false">
      <c r="A413" s="6" t="s">
        <v>575</v>
      </c>
      <c r="B413" s="6" t="n">
        <v>59</v>
      </c>
      <c r="C413" s="6" t="s">
        <v>134</v>
      </c>
      <c r="D413" s="6" t="s">
        <v>148</v>
      </c>
      <c r="E413" s="6" t="s">
        <v>88</v>
      </c>
      <c r="F413" s="6" t="s">
        <v>179</v>
      </c>
      <c r="G413" s="6" t="n">
        <v>35</v>
      </c>
      <c r="H413" s="6" t="s">
        <v>81</v>
      </c>
      <c r="I413" s="6" t="s">
        <v>82</v>
      </c>
      <c r="J413" s="6" t="s">
        <v>60</v>
      </c>
      <c r="K413" s="6" t="n">
        <v>36031</v>
      </c>
      <c r="L413" s="6" t="n">
        <v>43142</v>
      </c>
      <c r="M413" s="6" t="s">
        <v>142</v>
      </c>
      <c r="N413" s="6" t="n">
        <v>43</v>
      </c>
      <c r="O413" s="6" t="s">
        <v>58</v>
      </c>
      <c r="P413" s="6" t="n">
        <v>8</v>
      </c>
      <c r="Q413" s="6" t="n">
        <v>29.2</v>
      </c>
      <c r="R413" s="20" t="n">
        <f aca="false">(L413-K413)/K413</f>
        <v>0.197357830756848</v>
      </c>
    </row>
    <row r="414" customFormat="false" ht="15" hidden="false" customHeight="false" outlineLevel="0" collapsed="false">
      <c r="A414" s="6" t="s">
        <v>576</v>
      </c>
      <c r="B414" s="6" t="n">
        <v>33</v>
      </c>
      <c r="C414" s="6" t="s">
        <v>139</v>
      </c>
      <c r="D414" s="6" t="s">
        <v>140</v>
      </c>
      <c r="E414" s="6" t="s">
        <v>87</v>
      </c>
      <c r="F414" s="6" t="s">
        <v>160</v>
      </c>
      <c r="G414" s="6" t="n">
        <v>9</v>
      </c>
      <c r="H414" s="6" t="s">
        <v>82</v>
      </c>
      <c r="I414" s="6" t="s">
        <v>80</v>
      </c>
      <c r="J414" s="6" t="s">
        <v>60</v>
      </c>
      <c r="K414" s="6" t="n">
        <v>32282</v>
      </c>
      <c r="L414" s="6" t="n">
        <v>35239</v>
      </c>
      <c r="M414" s="6" t="s">
        <v>142</v>
      </c>
      <c r="N414" s="6" t="n">
        <v>39</v>
      </c>
      <c r="O414" s="6" t="s">
        <v>60</v>
      </c>
      <c r="P414" s="6" t="n">
        <v>7</v>
      </c>
      <c r="Q414" s="6" t="n">
        <v>14.63</v>
      </c>
      <c r="R414" s="20" t="n">
        <f aca="false">(L414-K414)/K414</f>
        <v>0.0915990335171303</v>
      </c>
    </row>
    <row r="415" customFormat="false" ht="15" hidden="false" customHeight="false" outlineLevel="0" collapsed="false">
      <c r="A415" s="6" t="s">
        <v>577</v>
      </c>
      <c r="B415" s="6" t="n">
        <v>52</v>
      </c>
      <c r="C415" s="6" t="s">
        <v>134</v>
      </c>
      <c r="D415" s="6" t="s">
        <v>140</v>
      </c>
      <c r="E415" s="6" t="s">
        <v>90</v>
      </c>
      <c r="F415" s="6" t="s">
        <v>145</v>
      </c>
      <c r="G415" s="6" t="n">
        <v>30</v>
      </c>
      <c r="H415" s="6" t="s">
        <v>80</v>
      </c>
      <c r="I415" s="6" t="s">
        <v>80</v>
      </c>
      <c r="J415" s="6" t="s">
        <v>60</v>
      </c>
      <c r="K415" s="6" t="n">
        <v>102982</v>
      </c>
      <c r="L415" s="6" t="n">
        <v>110449</v>
      </c>
      <c r="M415" s="6" t="s">
        <v>142</v>
      </c>
      <c r="N415" s="6" t="n">
        <v>45</v>
      </c>
      <c r="O415" s="6" t="s">
        <v>60</v>
      </c>
      <c r="P415" s="6" t="n">
        <v>4</v>
      </c>
      <c r="Q415" s="6" t="n">
        <v>-15.96</v>
      </c>
      <c r="R415" s="20" t="n">
        <f aca="false">(L415-K415)/K415</f>
        <v>0.0725078169000408</v>
      </c>
    </row>
    <row r="416" customFormat="false" ht="15" hidden="false" customHeight="false" outlineLevel="0" collapsed="false">
      <c r="A416" s="6" t="s">
        <v>578</v>
      </c>
      <c r="B416" s="6" t="n">
        <v>57</v>
      </c>
      <c r="C416" s="6" t="s">
        <v>159</v>
      </c>
      <c r="D416" s="6" t="s">
        <v>144</v>
      </c>
      <c r="E416" s="6" t="s">
        <v>89</v>
      </c>
      <c r="F416" s="6" t="s">
        <v>151</v>
      </c>
      <c r="G416" s="6" t="n">
        <v>33</v>
      </c>
      <c r="H416" s="6" t="s">
        <v>81</v>
      </c>
      <c r="I416" s="6" t="s">
        <v>80</v>
      </c>
      <c r="J416" s="6" t="s">
        <v>60</v>
      </c>
      <c r="K416" s="6" t="n">
        <v>66268</v>
      </c>
      <c r="L416" s="6" t="n">
        <v>65115</v>
      </c>
      <c r="M416" s="6" t="s">
        <v>142</v>
      </c>
      <c r="N416" s="6" t="n">
        <v>46</v>
      </c>
      <c r="O416" s="6" t="s">
        <v>60</v>
      </c>
      <c r="P416" s="6" t="n">
        <v>4</v>
      </c>
      <c r="Q416" s="6" t="n">
        <v>-1.62</v>
      </c>
      <c r="R416" s="20" t="n">
        <f aca="false">(L416-K416)/K416</f>
        <v>-0.0173990462968552</v>
      </c>
    </row>
    <row r="417" customFormat="false" ht="15" hidden="false" customHeight="false" outlineLevel="0" collapsed="false">
      <c r="A417" s="6" t="s">
        <v>579</v>
      </c>
      <c r="B417" s="6" t="n">
        <v>53</v>
      </c>
      <c r="C417" s="6" t="s">
        <v>134</v>
      </c>
      <c r="D417" s="6" t="s">
        <v>140</v>
      </c>
      <c r="E417" s="6" t="s">
        <v>88</v>
      </c>
      <c r="F417" s="6" t="s">
        <v>234</v>
      </c>
      <c r="G417" s="6" t="n">
        <v>29</v>
      </c>
      <c r="H417" s="6" t="s">
        <v>82</v>
      </c>
      <c r="I417" s="6" t="s">
        <v>82</v>
      </c>
      <c r="J417" s="6" t="s">
        <v>58</v>
      </c>
      <c r="K417" s="6" t="n">
        <v>114162</v>
      </c>
      <c r="L417" s="6" t="n">
        <v>150070</v>
      </c>
      <c r="M417" s="6" t="s">
        <v>137</v>
      </c>
      <c r="N417" s="6" t="n">
        <v>42</v>
      </c>
      <c r="O417" s="6" t="s">
        <v>60</v>
      </c>
      <c r="P417" s="6" t="n">
        <v>5</v>
      </c>
      <c r="Q417" s="6" t="n">
        <v>35</v>
      </c>
      <c r="R417" s="20" t="n">
        <f aca="false">(L417-K417)/K417</f>
        <v>0.314535484662147</v>
      </c>
    </row>
    <row r="418" customFormat="false" ht="15" hidden="false" customHeight="false" outlineLevel="0" collapsed="false">
      <c r="A418" s="6" t="s">
        <v>580</v>
      </c>
      <c r="B418" s="6" t="n">
        <v>53</v>
      </c>
      <c r="C418" s="6" t="s">
        <v>134</v>
      </c>
      <c r="D418" s="6" t="s">
        <v>135</v>
      </c>
      <c r="E418" s="6" t="s">
        <v>87</v>
      </c>
      <c r="F418" s="6" t="s">
        <v>155</v>
      </c>
      <c r="G418" s="6" t="n">
        <v>30</v>
      </c>
      <c r="H418" s="6" t="s">
        <v>80</v>
      </c>
      <c r="I418" s="6" t="s">
        <v>82</v>
      </c>
      <c r="J418" s="6" t="s">
        <v>58</v>
      </c>
      <c r="K418" s="6" t="n">
        <v>96677</v>
      </c>
      <c r="L418" s="6" t="n">
        <v>102075</v>
      </c>
      <c r="M418" s="6" t="s">
        <v>142</v>
      </c>
      <c r="N418" s="6" t="n">
        <v>41</v>
      </c>
      <c r="O418" s="6" t="s">
        <v>58</v>
      </c>
      <c r="P418" s="6" t="n">
        <v>4</v>
      </c>
      <c r="Q418" s="6" t="n">
        <v>21.3</v>
      </c>
      <c r="R418" s="20" t="n">
        <f aca="false">(L418-K418)/K418</f>
        <v>0.0558354106974772</v>
      </c>
    </row>
    <row r="419" customFormat="false" ht="15" hidden="false" customHeight="false" outlineLevel="0" collapsed="false">
      <c r="A419" s="6" t="s">
        <v>581</v>
      </c>
      <c r="B419" s="6" t="n">
        <v>49</v>
      </c>
      <c r="C419" s="6" t="s">
        <v>139</v>
      </c>
      <c r="D419" s="6" t="s">
        <v>140</v>
      </c>
      <c r="E419" s="6" t="s">
        <v>91</v>
      </c>
      <c r="F419" s="6" t="s">
        <v>141</v>
      </c>
      <c r="G419" s="6" t="n">
        <v>23</v>
      </c>
      <c r="H419" s="6" t="s">
        <v>82</v>
      </c>
      <c r="I419" s="6" t="s">
        <v>80</v>
      </c>
      <c r="J419" s="6" t="s">
        <v>58</v>
      </c>
      <c r="K419" s="6" t="n">
        <v>111926</v>
      </c>
      <c r="L419" s="6" t="n">
        <v>99116</v>
      </c>
      <c r="M419" s="6" t="s">
        <v>142</v>
      </c>
      <c r="N419" s="6" t="n">
        <v>35</v>
      </c>
      <c r="O419" s="6" t="s">
        <v>60</v>
      </c>
      <c r="P419" s="6" t="n">
        <v>9</v>
      </c>
      <c r="Q419" s="6" t="n">
        <v>33.41</v>
      </c>
      <c r="R419" s="20" t="n">
        <f aca="false">(L419-K419)/K419</f>
        <v>-0.114450619159087</v>
      </c>
    </row>
    <row r="420" customFormat="false" ht="15" hidden="false" customHeight="false" outlineLevel="0" collapsed="false">
      <c r="A420" s="6" t="s">
        <v>582</v>
      </c>
      <c r="B420" s="6" t="n">
        <v>41</v>
      </c>
      <c r="C420" s="6" t="s">
        <v>139</v>
      </c>
      <c r="D420" s="6" t="s">
        <v>140</v>
      </c>
      <c r="E420" s="6" t="s">
        <v>90</v>
      </c>
      <c r="F420" s="6" t="s">
        <v>202</v>
      </c>
      <c r="G420" s="6" t="n">
        <v>17</v>
      </c>
      <c r="H420" s="6" t="s">
        <v>80</v>
      </c>
      <c r="I420" s="6" t="s">
        <v>81</v>
      </c>
      <c r="J420" s="6" t="s">
        <v>60</v>
      </c>
      <c r="K420" s="6" t="n">
        <v>70379</v>
      </c>
      <c r="L420" s="6" t="n">
        <v>70860</v>
      </c>
      <c r="M420" s="6" t="s">
        <v>146</v>
      </c>
      <c r="N420" s="6" t="n">
        <v>49</v>
      </c>
      <c r="O420" s="6" t="s">
        <v>60</v>
      </c>
      <c r="P420" s="6" t="n">
        <v>9</v>
      </c>
      <c r="Q420" s="6" t="n">
        <v>-19.6</v>
      </c>
      <c r="R420" s="20" t="n">
        <f aca="false">(L420-K420)/K420</f>
        <v>0.00683442504156069</v>
      </c>
    </row>
    <row r="421" customFormat="false" ht="15" hidden="false" customHeight="false" outlineLevel="0" collapsed="false">
      <c r="A421" s="6" t="s">
        <v>583</v>
      </c>
      <c r="B421" s="6" t="n">
        <v>48</v>
      </c>
      <c r="C421" s="6" t="s">
        <v>134</v>
      </c>
      <c r="D421" s="6" t="s">
        <v>140</v>
      </c>
      <c r="E421" s="6" t="s">
        <v>88</v>
      </c>
      <c r="F421" s="6" t="s">
        <v>179</v>
      </c>
      <c r="G421" s="6" t="n">
        <v>24</v>
      </c>
      <c r="H421" s="6" t="s">
        <v>82</v>
      </c>
      <c r="I421" s="6" t="s">
        <v>81</v>
      </c>
      <c r="J421" s="6" t="s">
        <v>58</v>
      </c>
      <c r="K421" s="6" t="n">
        <v>41120</v>
      </c>
      <c r="L421" s="6" t="n">
        <v>49601</v>
      </c>
      <c r="M421" s="6" t="s">
        <v>146</v>
      </c>
      <c r="N421" s="6" t="n">
        <v>36</v>
      </c>
      <c r="O421" s="6" t="s">
        <v>58</v>
      </c>
      <c r="P421" s="6" t="n">
        <v>6</v>
      </c>
      <c r="Q421" s="6" t="n">
        <v>16.35</v>
      </c>
      <c r="R421" s="20" t="n">
        <f aca="false">(L421-K421)/K421</f>
        <v>0.20625</v>
      </c>
    </row>
    <row r="422" customFormat="false" ht="15" hidden="false" customHeight="false" outlineLevel="0" collapsed="false">
      <c r="A422" s="6" t="s">
        <v>584</v>
      </c>
      <c r="B422" s="6" t="n">
        <v>33</v>
      </c>
      <c r="C422" s="6" t="s">
        <v>139</v>
      </c>
      <c r="D422" s="6" t="s">
        <v>144</v>
      </c>
      <c r="E422" s="6" t="s">
        <v>87</v>
      </c>
      <c r="F422" s="6" t="s">
        <v>160</v>
      </c>
      <c r="G422" s="6" t="n">
        <v>11</v>
      </c>
      <c r="H422" s="6" t="s">
        <v>80</v>
      </c>
      <c r="I422" s="6" t="s">
        <v>82</v>
      </c>
      <c r="J422" s="6" t="s">
        <v>58</v>
      </c>
      <c r="K422" s="6" t="n">
        <v>47438</v>
      </c>
      <c r="L422" s="6" t="n">
        <v>49963</v>
      </c>
      <c r="M422" s="6" t="s">
        <v>142</v>
      </c>
      <c r="N422" s="6" t="n">
        <v>39</v>
      </c>
      <c r="O422" s="6" t="s">
        <v>58</v>
      </c>
      <c r="P422" s="6" t="n">
        <v>8</v>
      </c>
      <c r="Q422" s="6" t="n">
        <v>-11.57</v>
      </c>
      <c r="R422" s="20" t="n">
        <f aca="false">(L422-K422)/K422</f>
        <v>0.0532273704624984</v>
      </c>
    </row>
    <row r="423" customFormat="false" ht="15" hidden="false" customHeight="false" outlineLevel="0" collapsed="false">
      <c r="A423" s="6" t="s">
        <v>585</v>
      </c>
      <c r="B423" s="6" t="n">
        <v>45</v>
      </c>
      <c r="C423" s="6" t="s">
        <v>139</v>
      </c>
      <c r="D423" s="6" t="s">
        <v>144</v>
      </c>
      <c r="E423" s="6" t="s">
        <v>89</v>
      </c>
      <c r="F423" s="6" t="s">
        <v>151</v>
      </c>
      <c r="G423" s="6" t="n">
        <v>21</v>
      </c>
      <c r="H423" s="6" t="s">
        <v>81</v>
      </c>
      <c r="I423" s="6" t="s">
        <v>82</v>
      </c>
      <c r="J423" s="6" t="s">
        <v>58</v>
      </c>
      <c r="K423" s="6" t="n">
        <v>100188</v>
      </c>
      <c r="L423" s="6" t="n">
        <v>101717</v>
      </c>
      <c r="M423" s="6" t="s">
        <v>142</v>
      </c>
      <c r="N423" s="6" t="n">
        <v>45</v>
      </c>
      <c r="O423" s="6" t="s">
        <v>58</v>
      </c>
      <c r="P423" s="6" t="n">
        <v>5</v>
      </c>
      <c r="Q423" s="6" t="n">
        <v>-17.66</v>
      </c>
      <c r="R423" s="20" t="n">
        <f aca="false">(L423-K423)/K423</f>
        <v>0.0152613087395696</v>
      </c>
    </row>
    <row r="424" customFormat="false" ht="15" hidden="false" customHeight="false" outlineLevel="0" collapsed="false">
      <c r="A424" s="6" t="s">
        <v>586</v>
      </c>
      <c r="B424" s="6" t="n">
        <v>27</v>
      </c>
      <c r="C424" s="6" t="s">
        <v>159</v>
      </c>
      <c r="D424" s="6" t="s">
        <v>148</v>
      </c>
      <c r="E424" s="6" t="s">
        <v>91</v>
      </c>
      <c r="F424" s="6" t="s">
        <v>141</v>
      </c>
      <c r="G424" s="6" t="n">
        <v>3</v>
      </c>
      <c r="H424" s="6" t="s">
        <v>81</v>
      </c>
      <c r="I424" s="6" t="s">
        <v>82</v>
      </c>
      <c r="J424" s="6" t="s">
        <v>60</v>
      </c>
      <c r="K424" s="6" t="n">
        <v>83161</v>
      </c>
      <c r="L424" s="6" t="n">
        <v>97300</v>
      </c>
      <c r="M424" s="6" t="s">
        <v>142</v>
      </c>
      <c r="N424" s="6" t="n">
        <v>44</v>
      </c>
      <c r="O424" s="6" t="s">
        <v>60</v>
      </c>
      <c r="P424" s="6" t="n">
        <v>6</v>
      </c>
      <c r="Q424" s="6" t="n">
        <v>-13.03</v>
      </c>
      <c r="R424" s="20" t="n">
        <f aca="false">(L424-K424)/K424</f>
        <v>0.170019600533904</v>
      </c>
    </row>
    <row r="425" customFormat="false" ht="15" hidden="false" customHeight="false" outlineLevel="0" collapsed="false">
      <c r="A425" s="6" t="s">
        <v>587</v>
      </c>
      <c r="B425" s="6" t="n">
        <v>58</v>
      </c>
      <c r="C425" s="6" t="s">
        <v>139</v>
      </c>
      <c r="D425" s="6" t="s">
        <v>135</v>
      </c>
      <c r="E425" s="6" t="s">
        <v>91</v>
      </c>
      <c r="F425" s="6" t="s">
        <v>206</v>
      </c>
      <c r="G425" s="6" t="n">
        <v>34</v>
      </c>
      <c r="H425" s="6" t="s">
        <v>80</v>
      </c>
      <c r="I425" s="6" t="s">
        <v>80</v>
      </c>
      <c r="J425" s="6" t="s">
        <v>58</v>
      </c>
      <c r="K425" s="6" t="n">
        <v>57734</v>
      </c>
      <c r="L425" s="6" t="n">
        <v>58693</v>
      </c>
      <c r="M425" s="6" t="s">
        <v>142</v>
      </c>
      <c r="N425" s="6" t="n">
        <v>43</v>
      </c>
      <c r="O425" s="6" t="s">
        <v>58</v>
      </c>
      <c r="P425" s="6" t="n">
        <v>3</v>
      </c>
      <c r="Q425" s="6" t="n">
        <v>39.69</v>
      </c>
      <c r="R425" s="20" t="n">
        <f aca="false">(L425-K425)/K425</f>
        <v>0.0166106626944262</v>
      </c>
    </row>
    <row r="426" customFormat="false" ht="15" hidden="false" customHeight="false" outlineLevel="0" collapsed="false">
      <c r="A426" s="6" t="s">
        <v>588</v>
      </c>
      <c r="B426" s="6" t="n">
        <v>50</v>
      </c>
      <c r="C426" s="6" t="s">
        <v>139</v>
      </c>
      <c r="D426" s="6" t="s">
        <v>140</v>
      </c>
      <c r="E426" s="6" t="s">
        <v>87</v>
      </c>
      <c r="F426" s="6" t="s">
        <v>160</v>
      </c>
      <c r="G426" s="6" t="n">
        <v>24</v>
      </c>
      <c r="H426" s="6" t="s">
        <v>81</v>
      </c>
      <c r="I426" s="6" t="s">
        <v>82</v>
      </c>
      <c r="J426" s="6" t="s">
        <v>60</v>
      </c>
      <c r="K426" s="6" t="n">
        <v>50538</v>
      </c>
      <c r="L426" s="6" t="n">
        <v>60056</v>
      </c>
      <c r="M426" s="6" t="s">
        <v>142</v>
      </c>
      <c r="N426" s="6" t="n">
        <v>47</v>
      </c>
      <c r="O426" s="6" t="s">
        <v>58</v>
      </c>
      <c r="P426" s="6" t="n">
        <v>8</v>
      </c>
      <c r="Q426" s="6" t="n">
        <v>3.37</v>
      </c>
      <c r="R426" s="20" t="n">
        <f aca="false">(L426-K426)/K426</f>
        <v>0.188333531204242</v>
      </c>
    </row>
    <row r="427" customFormat="false" ht="15" hidden="false" customHeight="false" outlineLevel="0" collapsed="false">
      <c r="A427" s="6" t="s">
        <v>589</v>
      </c>
      <c r="B427" s="6" t="n">
        <v>25</v>
      </c>
      <c r="C427" s="6" t="s">
        <v>134</v>
      </c>
      <c r="D427" s="6" t="s">
        <v>144</v>
      </c>
      <c r="E427" s="6" t="s">
        <v>89</v>
      </c>
      <c r="F427" s="6" t="s">
        <v>151</v>
      </c>
      <c r="G427" s="6" t="n">
        <v>0</v>
      </c>
      <c r="H427" s="6" t="s">
        <v>80</v>
      </c>
      <c r="I427" s="6" t="s">
        <v>82</v>
      </c>
      <c r="J427" s="6" t="s">
        <v>60</v>
      </c>
      <c r="K427" s="6" t="n">
        <v>33236</v>
      </c>
      <c r="L427" s="6" t="n">
        <v>33956</v>
      </c>
      <c r="M427" s="6" t="s">
        <v>142</v>
      </c>
      <c r="N427" s="6" t="n">
        <v>47</v>
      </c>
      <c r="O427" s="6" t="s">
        <v>58</v>
      </c>
      <c r="P427" s="6" t="n">
        <v>8</v>
      </c>
      <c r="Q427" s="6" t="n">
        <v>11.94</v>
      </c>
      <c r="R427" s="20" t="n">
        <f aca="false">(L427-K427)/K427</f>
        <v>0.021663256709592</v>
      </c>
    </row>
    <row r="428" customFormat="false" ht="15" hidden="false" customHeight="false" outlineLevel="0" collapsed="false">
      <c r="A428" s="6" t="s">
        <v>590</v>
      </c>
      <c r="B428" s="6" t="n">
        <v>44</v>
      </c>
      <c r="C428" s="6" t="s">
        <v>159</v>
      </c>
      <c r="D428" s="6" t="s">
        <v>148</v>
      </c>
      <c r="E428" s="6" t="s">
        <v>87</v>
      </c>
      <c r="F428" s="6" t="s">
        <v>149</v>
      </c>
      <c r="G428" s="6" t="n">
        <v>20</v>
      </c>
      <c r="H428" s="6" t="s">
        <v>80</v>
      </c>
      <c r="I428" s="6" t="s">
        <v>82</v>
      </c>
      <c r="J428" s="6" t="s">
        <v>58</v>
      </c>
      <c r="K428" s="6" t="n">
        <v>94386</v>
      </c>
      <c r="L428" s="6" t="n">
        <v>93947</v>
      </c>
      <c r="M428" s="6" t="s">
        <v>142</v>
      </c>
      <c r="N428" s="6" t="n">
        <v>53</v>
      </c>
      <c r="O428" s="6" t="s">
        <v>58</v>
      </c>
      <c r="P428" s="6" t="n">
        <v>4</v>
      </c>
      <c r="Q428" s="6" t="n">
        <v>-4.44</v>
      </c>
      <c r="R428" s="20" t="n">
        <f aca="false">(L428-K428)/K428</f>
        <v>-0.00465111351259721</v>
      </c>
    </row>
    <row r="429" customFormat="false" ht="15" hidden="false" customHeight="false" outlineLevel="0" collapsed="false">
      <c r="A429" s="6" t="s">
        <v>591</v>
      </c>
      <c r="B429" s="6" t="n">
        <v>42</v>
      </c>
      <c r="C429" s="6" t="s">
        <v>134</v>
      </c>
      <c r="D429" s="6" t="s">
        <v>140</v>
      </c>
      <c r="E429" s="6" t="s">
        <v>90</v>
      </c>
      <c r="F429" s="6" t="s">
        <v>236</v>
      </c>
      <c r="G429" s="6" t="n">
        <v>17</v>
      </c>
      <c r="H429" s="6" t="s">
        <v>81</v>
      </c>
      <c r="I429" s="6" t="s">
        <v>81</v>
      </c>
      <c r="J429" s="6" t="s">
        <v>58</v>
      </c>
      <c r="K429" s="6" t="n">
        <v>104027</v>
      </c>
      <c r="L429" s="6" t="n">
        <v>119548</v>
      </c>
      <c r="M429" s="6" t="s">
        <v>146</v>
      </c>
      <c r="N429" s="6" t="n">
        <v>35</v>
      </c>
      <c r="O429" s="6" t="s">
        <v>58</v>
      </c>
      <c r="P429" s="6" t="n">
        <v>6</v>
      </c>
      <c r="Q429" s="6" t="n">
        <v>12.69</v>
      </c>
      <c r="R429" s="20" t="n">
        <f aca="false">(L429-K429)/K429</f>
        <v>0.149201649571746</v>
      </c>
    </row>
    <row r="430" customFormat="false" ht="15" hidden="false" customHeight="false" outlineLevel="0" collapsed="false">
      <c r="A430" s="6" t="s">
        <v>592</v>
      </c>
      <c r="B430" s="6" t="n">
        <v>45</v>
      </c>
      <c r="C430" s="6" t="s">
        <v>139</v>
      </c>
      <c r="D430" s="6" t="s">
        <v>144</v>
      </c>
      <c r="E430" s="6" t="s">
        <v>93</v>
      </c>
      <c r="F430" s="6" t="s">
        <v>164</v>
      </c>
      <c r="G430" s="6" t="n">
        <v>19</v>
      </c>
      <c r="H430" s="6" t="s">
        <v>81</v>
      </c>
      <c r="I430" s="6" t="s">
        <v>81</v>
      </c>
      <c r="J430" s="6" t="s">
        <v>58</v>
      </c>
      <c r="K430" s="6" t="n">
        <v>85778</v>
      </c>
      <c r="L430" s="6" t="n">
        <v>81073</v>
      </c>
      <c r="M430" s="6" t="s">
        <v>146</v>
      </c>
      <c r="N430" s="6" t="n">
        <v>38</v>
      </c>
      <c r="O430" s="6" t="s">
        <v>60</v>
      </c>
      <c r="P430" s="6" t="n">
        <v>5</v>
      </c>
      <c r="Q430" s="6" t="n">
        <v>29.01</v>
      </c>
      <c r="R430" s="20" t="n">
        <f aca="false">(L430-K430)/K430</f>
        <v>-0.054850894168668</v>
      </c>
    </row>
    <row r="431" customFormat="false" ht="15" hidden="false" customHeight="false" outlineLevel="0" collapsed="false">
      <c r="A431" s="6" t="s">
        <v>593</v>
      </c>
      <c r="B431" s="6" t="n">
        <v>38</v>
      </c>
      <c r="C431" s="6" t="s">
        <v>159</v>
      </c>
      <c r="D431" s="6" t="s">
        <v>148</v>
      </c>
      <c r="E431" s="6" t="s">
        <v>91</v>
      </c>
      <c r="F431" s="6" t="s">
        <v>141</v>
      </c>
      <c r="G431" s="6" t="n">
        <v>14</v>
      </c>
      <c r="H431" s="6" t="s">
        <v>82</v>
      </c>
      <c r="I431" s="6" t="s">
        <v>81</v>
      </c>
      <c r="J431" s="6" t="s">
        <v>60</v>
      </c>
      <c r="K431" s="6" t="n">
        <v>50219</v>
      </c>
      <c r="L431" s="6" t="n">
        <v>49229</v>
      </c>
      <c r="M431" s="6" t="s">
        <v>146</v>
      </c>
      <c r="N431" s="6" t="n">
        <v>53</v>
      </c>
      <c r="O431" s="6" t="s">
        <v>58</v>
      </c>
      <c r="P431" s="6" t="n">
        <v>7</v>
      </c>
      <c r="Q431" s="6" t="n">
        <v>-0.45</v>
      </c>
      <c r="R431" s="20" t="n">
        <f aca="false">(L431-K431)/K431</f>
        <v>-0.0197136541946275</v>
      </c>
    </row>
    <row r="432" customFormat="false" ht="15" hidden="false" customHeight="false" outlineLevel="0" collapsed="false">
      <c r="A432" s="6" t="s">
        <v>594</v>
      </c>
      <c r="B432" s="6" t="n">
        <v>42</v>
      </c>
      <c r="C432" s="6" t="s">
        <v>159</v>
      </c>
      <c r="D432" s="6" t="s">
        <v>148</v>
      </c>
      <c r="E432" s="6" t="s">
        <v>88</v>
      </c>
      <c r="F432" s="6" t="s">
        <v>179</v>
      </c>
      <c r="G432" s="6" t="n">
        <v>17</v>
      </c>
      <c r="H432" s="6" t="s">
        <v>82</v>
      </c>
      <c r="I432" s="6" t="s">
        <v>82</v>
      </c>
      <c r="J432" s="6" t="s">
        <v>58</v>
      </c>
      <c r="K432" s="6" t="n">
        <v>110388</v>
      </c>
      <c r="L432" s="6" t="n">
        <v>119807</v>
      </c>
      <c r="M432" s="6" t="s">
        <v>146</v>
      </c>
      <c r="N432" s="6" t="n">
        <v>53</v>
      </c>
      <c r="O432" s="6" t="s">
        <v>60</v>
      </c>
      <c r="P432" s="6" t="n">
        <v>9</v>
      </c>
      <c r="Q432" s="6" t="n">
        <v>12.58</v>
      </c>
      <c r="R432" s="20" t="n">
        <f aca="false">(L432-K432)/K432</f>
        <v>0.0853263035837229</v>
      </c>
    </row>
    <row r="433" customFormat="false" ht="15" hidden="false" customHeight="false" outlineLevel="0" collapsed="false">
      <c r="A433" s="6" t="s">
        <v>595</v>
      </c>
      <c r="B433" s="6" t="n">
        <v>48</v>
      </c>
      <c r="C433" s="6" t="s">
        <v>134</v>
      </c>
      <c r="D433" s="6" t="s">
        <v>144</v>
      </c>
      <c r="E433" s="6" t="s">
        <v>88</v>
      </c>
      <c r="F433" s="6" t="s">
        <v>157</v>
      </c>
      <c r="G433" s="6" t="n">
        <v>22</v>
      </c>
      <c r="H433" s="6" t="s">
        <v>82</v>
      </c>
      <c r="I433" s="6" t="s">
        <v>82</v>
      </c>
      <c r="J433" s="6" t="s">
        <v>58</v>
      </c>
      <c r="K433" s="6" t="n">
        <v>54842</v>
      </c>
      <c r="L433" s="6" t="n">
        <v>55504</v>
      </c>
      <c r="M433" s="6" t="s">
        <v>146</v>
      </c>
      <c r="N433" s="6" t="n">
        <v>45</v>
      </c>
      <c r="O433" s="6" t="s">
        <v>58</v>
      </c>
      <c r="P433" s="6" t="n">
        <v>9</v>
      </c>
      <c r="Q433" s="6" t="n">
        <v>7.51</v>
      </c>
      <c r="R433" s="20" t="n">
        <f aca="false">(L433-K433)/K433</f>
        <v>0.0120710404434557</v>
      </c>
    </row>
    <row r="434" customFormat="false" ht="15" hidden="false" customHeight="false" outlineLevel="0" collapsed="false">
      <c r="A434" s="6" t="s">
        <v>596</v>
      </c>
      <c r="B434" s="6" t="n">
        <v>49</v>
      </c>
      <c r="C434" s="6" t="s">
        <v>139</v>
      </c>
      <c r="D434" s="6" t="s">
        <v>135</v>
      </c>
      <c r="E434" s="6" t="s">
        <v>93</v>
      </c>
      <c r="F434" s="6" t="s">
        <v>164</v>
      </c>
      <c r="G434" s="6" t="n">
        <v>23</v>
      </c>
      <c r="H434" s="6" t="s">
        <v>80</v>
      </c>
      <c r="I434" s="6" t="s">
        <v>82</v>
      </c>
      <c r="J434" s="6" t="s">
        <v>60</v>
      </c>
      <c r="K434" s="6" t="n">
        <v>31207</v>
      </c>
      <c r="L434" s="6" t="n">
        <v>30937</v>
      </c>
      <c r="M434" s="6" t="s">
        <v>142</v>
      </c>
      <c r="N434" s="6" t="n">
        <v>46</v>
      </c>
      <c r="O434" s="6" t="s">
        <v>60</v>
      </c>
      <c r="P434" s="6" t="n">
        <v>8</v>
      </c>
      <c r="Q434" s="6" t="n">
        <v>32.63</v>
      </c>
      <c r="R434" s="20" t="n">
        <f aca="false">(L434-K434)/K434</f>
        <v>-0.00865190502130932</v>
      </c>
    </row>
    <row r="435" customFormat="false" ht="15" hidden="false" customHeight="false" outlineLevel="0" collapsed="false">
      <c r="A435" s="6" t="s">
        <v>597</v>
      </c>
      <c r="B435" s="6" t="n">
        <v>38</v>
      </c>
      <c r="C435" s="6" t="s">
        <v>139</v>
      </c>
      <c r="D435" s="6" t="s">
        <v>135</v>
      </c>
      <c r="E435" s="6" t="s">
        <v>87</v>
      </c>
      <c r="F435" s="6" t="s">
        <v>155</v>
      </c>
      <c r="G435" s="6" t="n">
        <v>14</v>
      </c>
      <c r="H435" s="6" t="s">
        <v>82</v>
      </c>
      <c r="I435" s="6" t="s">
        <v>80</v>
      </c>
      <c r="J435" s="6" t="s">
        <v>60</v>
      </c>
      <c r="K435" s="6" t="n">
        <v>90011</v>
      </c>
      <c r="L435" s="6" t="n">
        <v>98115</v>
      </c>
      <c r="M435" s="6" t="s">
        <v>142</v>
      </c>
      <c r="N435" s="6" t="n">
        <v>38</v>
      </c>
      <c r="O435" s="6" t="s">
        <v>60</v>
      </c>
      <c r="P435" s="6" t="n">
        <v>8</v>
      </c>
      <c r="Q435" s="6" t="n">
        <v>31.81</v>
      </c>
      <c r="R435" s="20" t="n">
        <f aca="false">(L435-K435)/K435</f>
        <v>0.0900334403572897</v>
      </c>
    </row>
    <row r="436" customFormat="false" ht="15" hidden="false" customHeight="false" outlineLevel="0" collapsed="false">
      <c r="A436" s="6" t="s">
        <v>598</v>
      </c>
      <c r="B436" s="6" t="n">
        <v>32</v>
      </c>
      <c r="C436" s="6" t="s">
        <v>159</v>
      </c>
      <c r="D436" s="6" t="s">
        <v>144</v>
      </c>
      <c r="E436" s="6" t="s">
        <v>89</v>
      </c>
      <c r="F436" s="6" t="s">
        <v>151</v>
      </c>
      <c r="G436" s="6" t="n">
        <v>10</v>
      </c>
      <c r="H436" s="6" t="s">
        <v>81</v>
      </c>
      <c r="I436" s="6" t="s">
        <v>82</v>
      </c>
      <c r="J436" s="6" t="s">
        <v>60</v>
      </c>
      <c r="K436" s="6" t="n">
        <v>109063</v>
      </c>
      <c r="L436" s="6" t="n">
        <v>112593</v>
      </c>
      <c r="M436" s="6" t="s">
        <v>142</v>
      </c>
      <c r="N436" s="6" t="n">
        <v>53</v>
      </c>
      <c r="O436" s="6" t="s">
        <v>60</v>
      </c>
      <c r="P436" s="6" t="n">
        <v>4</v>
      </c>
      <c r="Q436" s="6" t="n">
        <v>16.35</v>
      </c>
      <c r="R436" s="20" t="n">
        <f aca="false">(L436-K436)/K436</f>
        <v>0.0323666137920285</v>
      </c>
    </row>
    <row r="437" customFormat="false" ht="15" hidden="false" customHeight="false" outlineLevel="0" collapsed="false">
      <c r="A437" s="6" t="s">
        <v>599</v>
      </c>
      <c r="B437" s="6" t="n">
        <v>38</v>
      </c>
      <c r="C437" s="6" t="s">
        <v>159</v>
      </c>
      <c r="D437" s="6" t="s">
        <v>140</v>
      </c>
      <c r="E437" s="6" t="s">
        <v>89</v>
      </c>
      <c r="F437" s="6" t="s">
        <v>153</v>
      </c>
      <c r="G437" s="6" t="n">
        <v>14</v>
      </c>
      <c r="H437" s="6" t="s">
        <v>80</v>
      </c>
      <c r="I437" s="6" t="s">
        <v>81</v>
      </c>
      <c r="J437" s="6" t="s">
        <v>60</v>
      </c>
      <c r="K437" s="6" t="n">
        <v>85220</v>
      </c>
      <c r="L437" s="6" t="n">
        <v>93495</v>
      </c>
      <c r="M437" s="6" t="s">
        <v>146</v>
      </c>
      <c r="N437" s="6" t="n">
        <v>53</v>
      </c>
      <c r="O437" s="6" t="s">
        <v>58</v>
      </c>
      <c r="P437" s="6" t="n">
        <v>9</v>
      </c>
      <c r="Q437" s="6" t="n">
        <v>4.46</v>
      </c>
      <c r="R437" s="20" t="n">
        <f aca="false">(L437-K437)/K437</f>
        <v>0.0971016193381835</v>
      </c>
    </row>
    <row r="438" customFormat="false" ht="15" hidden="false" customHeight="false" outlineLevel="0" collapsed="false">
      <c r="A438" s="6" t="s">
        <v>600</v>
      </c>
      <c r="B438" s="6" t="n">
        <v>25</v>
      </c>
      <c r="C438" s="6" t="s">
        <v>139</v>
      </c>
      <c r="D438" s="6" t="s">
        <v>148</v>
      </c>
      <c r="E438" s="6" t="s">
        <v>88</v>
      </c>
      <c r="F438" s="6" t="s">
        <v>157</v>
      </c>
      <c r="G438" s="6" t="n">
        <v>0</v>
      </c>
      <c r="H438" s="6" t="s">
        <v>82</v>
      </c>
      <c r="I438" s="6" t="s">
        <v>81</v>
      </c>
      <c r="J438" s="6" t="s">
        <v>60</v>
      </c>
      <c r="K438" s="6" t="n">
        <v>83410</v>
      </c>
      <c r="L438" s="6" t="n">
        <v>76760</v>
      </c>
      <c r="M438" s="6" t="s">
        <v>146</v>
      </c>
      <c r="N438" s="6" t="n">
        <v>54</v>
      </c>
      <c r="O438" s="6" t="s">
        <v>60</v>
      </c>
      <c r="P438" s="6" t="n">
        <v>7</v>
      </c>
      <c r="Q438" s="6" t="n">
        <v>-13.44</v>
      </c>
      <c r="R438" s="20" t="n">
        <f aca="false">(L438-K438)/K438</f>
        <v>-0.0797266514806378</v>
      </c>
    </row>
    <row r="439" customFormat="false" ht="15" hidden="false" customHeight="false" outlineLevel="0" collapsed="false">
      <c r="A439" s="6" t="s">
        <v>601</v>
      </c>
      <c r="B439" s="6" t="n">
        <v>38</v>
      </c>
      <c r="C439" s="6" t="s">
        <v>134</v>
      </c>
      <c r="D439" s="6" t="s">
        <v>148</v>
      </c>
      <c r="E439" s="6" t="s">
        <v>93</v>
      </c>
      <c r="F439" s="6" t="s">
        <v>197</v>
      </c>
      <c r="G439" s="6" t="n">
        <v>16</v>
      </c>
      <c r="H439" s="6" t="s">
        <v>81</v>
      </c>
      <c r="I439" s="6" t="s">
        <v>82</v>
      </c>
      <c r="J439" s="6" t="s">
        <v>58</v>
      </c>
      <c r="K439" s="6" t="n">
        <v>92320</v>
      </c>
      <c r="L439" s="6" t="n">
        <v>91353</v>
      </c>
      <c r="M439" s="6" t="s">
        <v>142</v>
      </c>
      <c r="N439" s="6" t="n">
        <v>40</v>
      </c>
      <c r="O439" s="6" t="s">
        <v>58</v>
      </c>
      <c r="P439" s="6" t="n">
        <v>5</v>
      </c>
      <c r="Q439" s="6" t="n">
        <v>-5.58</v>
      </c>
      <c r="R439" s="20" t="n">
        <f aca="false">(L439-K439)/K439</f>
        <v>-0.0104744367417678</v>
      </c>
    </row>
    <row r="440" customFormat="false" ht="15" hidden="false" customHeight="false" outlineLevel="0" collapsed="false">
      <c r="A440" s="6" t="s">
        <v>602</v>
      </c>
      <c r="B440" s="6" t="n">
        <v>26</v>
      </c>
      <c r="C440" s="6" t="s">
        <v>134</v>
      </c>
      <c r="D440" s="6" t="s">
        <v>144</v>
      </c>
      <c r="E440" s="6" t="s">
        <v>87</v>
      </c>
      <c r="F440" s="6" t="s">
        <v>160</v>
      </c>
      <c r="G440" s="6" t="n">
        <v>0</v>
      </c>
      <c r="H440" s="6" t="s">
        <v>81</v>
      </c>
      <c r="I440" s="6" t="s">
        <v>81</v>
      </c>
      <c r="J440" s="6" t="s">
        <v>58</v>
      </c>
      <c r="K440" s="6" t="n">
        <v>55518</v>
      </c>
      <c r="L440" s="6" t="n">
        <v>60402</v>
      </c>
      <c r="M440" s="6" t="s">
        <v>146</v>
      </c>
      <c r="N440" s="6" t="n">
        <v>50</v>
      </c>
      <c r="O440" s="6" t="s">
        <v>58</v>
      </c>
      <c r="P440" s="6" t="n">
        <v>4</v>
      </c>
      <c r="Q440" s="6" t="n">
        <v>35.58</v>
      </c>
      <c r="R440" s="20" t="n">
        <f aca="false">(L440-K440)/K440</f>
        <v>0.0879714687128499</v>
      </c>
    </row>
    <row r="441" customFormat="false" ht="15" hidden="false" customHeight="false" outlineLevel="0" collapsed="false">
      <c r="A441" s="6" t="s">
        <v>603</v>
      </c>
      <c r="B441" s="6" t="n">
        <v>53</v>
      </c>
      <c r="C441" s="6" t="s">
        <v>159</v>
      </c>
      <c r="D441" s="6" t="s">
        <v>148</v>
      </c>
      <c r="E441" s="6" t="s">
        <v>93</v>
      </c>
      <c r="F441" s="6" t="s">
        <v>164</v>
      </c>
      <c r="G441" s="6" t="n">
        <v>27</v>
      </c>
      <c r="H441" s="6" t="s">
        <v>80</v>
      </c>
      <c r="I441" s="6" t="s">
        <v>81</v>
      </c>
      <c r="J441" s="6" t="s">
        <v>58</v>
      </c>
      <c r="K441" s="6" t="n">
        <v>35845</v>
      </c>
      <c r="L441" s="6" t="n">
        <v>37938</v>
      </c>
      <c r="M441" s="6" t="s">
        <v>146</v>
      </c>
      <c r="N441" s="6" t="n">
        <v>44</v>
      </c>
      <c r="O441" s="6" t="s">
        <v>60</v>
      </c>
      <c r="P441" s="6" t="n">
        <v>8</v>
      </c>
      <c r="Q441" s="6" t="n">
        <v>21.55</v>
      </c>
      <c r="R441" s="20" t="n">
        <f aca="false">(L441-K441)/K441</f>
        <v>0.0583902915329893</v>
      </c>
    </row>
    <row r="442" customFormat="false" ht="15" hidden="false" customHeight="false" outlineLevel="0" collapsed="false">
      <c r="A442" s="6" t="s">
        <v>604</v>
      </c>
      <c r="B442" s="6" t="n">
        <v>42</v>
      </c>
      <c r="C442" s="6" t="s">
        <v>139</v>
      </c>
      <c r="D442" s="6" t="s">
        <v>140</v>
      </c>
      <c r="E442" s="6" t="s">
        <v>91</v>
      </c>
      <c r="F442" s="6" t="s">
        <v>206</v>
      </c>
      <c r="G442" s="6" t="n">
        <v>17</v>
      </c>
      <c r="H442" s="6" t="s">
        <v>82</v>
      </c>
      <c r="I442" s="6" t="s">
        <v>81</v>
      </c>
      <c r="J442" s="6" t="s">
        <v>58</v>
      </c>
      <c r="K442" s="6" t="n">
        <v>41944</v>
      </c>
      <c r="L442" s="6" t="n">
        <v>40570</v>
      </c>
      <c r="M442" s="6" t="s">
        <v>146</v>
      </c>
      <c r="N442" s="6" t="n">
        <v>49</v>
      </c>
      <c r="O442" s="6" t="s">
        <v>58</v>
      </c>
      <c r="P442" s="6" t="n">
        <v>5</v>
      </c>
      <c r="Q442" s="6" t="n">
        <v>-7.36</v>
      </c>
      <c r="R442" s="20" t="n">
        <f aca="false">(L442-K442)/K442</f>
        <v>-0.0327579629982834</v>
      </c>
    </row>
    <row r="443" customFormat="false" ht="15" hidden="false" customHeight="false" outlineLevel="0" collapsed="false">
      <c r="A443" s="6" t="s">
        <v>605</v>
      </c>
      <c r="B443" s="6" t="n">
        <v>40</v>
      </c>
      <c r="C443" s="6" t="s">
        <v>159</v>
      </c>
      <c r="D443" s="6" t="s">
        <v>144</v>
      </c>
      <c r="E443" s="6" t="s">
        <v>88</v>
      </c>
      <c r="F443" s="6" t="s">
        <v>179</v>
      </c>
      <c r="G443" s="6" t="n">
        <v>17</v>
      </c>
      <c r="H443" s="6" t="s">
        <v>82</v>
      </c>
      <c r="I443" s="6" t="s">
        <v>82</v>
      </c>
      <c r="J443" s="6" t="s">
        <v>58</v>
      </c>
      <c r="K443" s="6" t="n">
        <v>40503</v>
      </c>
      <c r="L443" s="6" t="n">
        <v>56574</v>
      </c>
      <c r="M443" s="6" t="s">
        <v>137</v>
      </c>
      <c r="N443" s="6" t="n">
        <v>41</v>
      </c>
      <c r="O443" s="6" t="s">
        <v>58</v>
      </c>
      <c r="P443" s="6" t="n">
        <v>5</v>
      </c>
      <c r="Q443" s="6" t="n">
        <v>-14.61</v>
      </c>
      <c r="R443" s="20" t="n">
        <f aca="false">(L443-K443)/K443</f>
        <v>0.396785423301978</v>
      </c>
    </row>
    <row r="444" customFormat="false" ht="15" hidden="false" customHeight="false" outlineLevel="0" collapsed="false">
      <c r="A444" s="6" t="s">
        <v>606</v>
      </c>
      <c r="B444" s="6" t="n">
        <v>22</v>
      </c>
      <c r="C444" s="6" t="s">
        <v>139</v>
      </c>
      <c r="D444" s="6" t="s">
        <v>140</v>
      </c>
      <c r="E444" s="6" t="s">
        <v>89</v>
      </c>
      <c r="F444" s="6" t="s">
        <v>153</v>
      </c>
      <c r="G444" s="6" t="n">
        <v>0</v>
      </c>
      <c r="H444" s="6" t="s">
        <v>82</v>
      </c>
      <c r="I444" s="6" t="s">
        <v>81</v>
      </c>
      <c r="J444" s="6" t="s">
        <v>58</v>
      </c>
      <c r="K444" s="6" t="n">
        <v>62792</v>
      </c>
      <c r="L444" s="6" t="n">
        <v>74078</v>
      </c>
      <c r="M444" s="6" t="s">
        <v>146</v>
      </c>
      <c r="N444" s="6" t="n">
        <v>47</v>
      </c>
      <c r="O444" s="6" t="s">
        <v>60</v>
      </c>
      <c r="P444" s="6" t="n">
        <v>7</v>
      </c>
      <c r="Q444" s="6" t="n">
        <v>-15.86</v>
      </c>
      <c r="R444" s="20" t="n">
        <f aca="false">(L444-K444)/K444</f>
        <v>0.179736272136578</v>
      </c>
    </row>
    <row r="445" customFormat="false" ht="15" hidden="false" customHeight="false" outlineLevel="0" collapsed="false">
      <c r="A445" s="6" t="s">
        <v>607</v>
      </c>
      <c r="B445" s="6" t="n">
        <v>30</v>
      </c>
      <c r="C445" s="6" t="s">
        <v>159</v>
      </c>
      <c r="D445" s="6" t="s">
        <v>140</v>
      </c>
      <c r="E445" s="6" t="s">
        <v>88</v>
      </c>
      <c r="F445" s="6" t="s">
        <v>179</v>
      </c>
      <c r="G445" s="6" t="n">
        <v>8</v>
      </c>
      <c r="H445" s="6" t="s">
        <v>81</v>
      </c>
      <c r="I445" s="6" t="s">
        <v>80</v>
      </c>
      <c r="J445" s="6" t="s">
        <v>58</v>
      </c>
      <c r="K445" s="6" t="n">
        <v>50131</v>
      </c>
      <c r="L445" s="6" t="n">
        <v>55645</v>
      </c>
      <c r="M445" s="6" t="s">
        <v>142</v>
      </c>
      <c r="N445" s="6" t="n">
        <v>43</v>
      </c>
      <c r="O445" s="6" t="s">
        <v>60</v>
      </c>
      <c r="P445" s="6" t="n">
        <v>4</v>
      </c>
      <c r="Q445" s="6" t="n">
        <v>-13.74</v>
      </c>
      <c r="R445" s="20" t="n">
        <f aca="false">(L445-K445)/K445</f>
        <v>0.109991821427859</v>
      </c>
    </row>
    <row r="446" customFormat="false" ht="15" hidden="false" customHeight="false" outlineLevel="0" collapsed="false">
      <c r="A446" s="6" t="s">
        <v>608</v>
      </c>
      <c r="B446" s="6" t="n">
        <v>35</v>
      </c>
      <c r="C446" s="6" t="s">
        <v>159</v>
      </c>
      <c r="D446" s="6" t="s">
        <v>135</v>
      </c>
      <c r="E446" s="6" t="s">
        <v>89</v>
      </c>
      <c r="F446" s="6" t="s">
        <v>153</v>
      </c>
      <c r="G446" s="6" t="n">
        <v>10</v>
      </c>
      <c r="H446" s="6" t="s">
        <v>81</v>
      </c>
      <c r="I446" s="6" t="s">
        <v>81</v>
      </c>
      <c r="J446" s="6" t="s">
        <v>60</v>
      </c>
      <c r="K446" s="6" t="n">
        <v>38605</v>
      </c>
      <c r="L446" s="6" t="n">
        <v>35028</v>
      </c>
      <c r="M446" s="6" t="s">
        <v>146</v>
      </c>
      <c r="N446" s="6" t="n">
        <v>42</v>
      </c>
      <c r="O446" s="6" t="s">
        <v>58</v>
      </c>
      <c r="P446" s="6" t="n">
        <v>5</v>
      </c>
      <c r="Q446" s="6" t="n">
        <v>-1.63</v>
      </c>
      <c r="R446" s="20" t="n">
        <f aca="false">(L446-K446)/K446</f>
        <v>-0.0926563916591115</v>
      </c>
    </row>
    <row r="447" customFormat="false" ht="15" hidden="false" customHeight="false" outlineLevel="0" collapsed="false">
      <c r="A447" s="6" t="s">
        <v>609</v>
      </c>
      <c r="B447" s="6" t="n">
        <v>35</v>
      </c>
      <c r="C447" s="6" t="s">
        <v>134</v>
      </c>
      <c r="D447" s="6" t="s">
        <v>135</v>
      </c>
      <c r="E447" s="6" t="s">
        <v>88</v>
      </c>
      <c r="F447" s="6" t="s">
        <v>234</v>
      </c>
      <c r="G447" s="6" t="n">
        <v>10</v>
      </c>
      <c r="H447" s="6" t="s">
        <v>82</v>
      </c>
      <c r="I447" s="6" t="s">
        <v>82</v>
      </c>
      <c r="J447" s="6" t="s">
        <v>58</v>
      </c>
      <c r="K447" s="6" t="n">
        <v>91388</v>
      </c>
      <c r="L447" s="6" t="n">
        <v>125074</v>
      </c>
      <c r="M447" s="6" t="s">
        <v>137</v>
      </c>
      <c r="N447" s="6" t="n">
        <v>53</v>
      </c>
      <c r="O447" s="6" t="s">
        <v>60</v>
      </c>
      <c r="P447" s="6" t="n">
        <v>5</v>
      </c>
      <c r="Q447" s="6" t="n">
        <v>-15.66</v>
      </c>
      <c r="R447" s="20" t="n">
        <f aca="false">(L447-K447)/K447</f>
        <v>0.368604193110693</v>
      </c>
    </row>
    <row r="448" customFormat="false" ht="15" hidden="false" customHeight="false" outlineLevel="0" collapsed="false">
      <c r="A448" s="6" t="s">
        <v>610</v>
      </c>
      <c r="B448" s="6" t="n">
        <v>59</v>
      </c>
      <c r="C448" s="6" t="s">
        <v>134</v>
      </c>
      <c r="D448" s="6" t="s">
        <v>148</v>
      </c>
      <c r="E448" s="6" t="s">
        <v>88</v>
      </c>
      <c r="F448" s="6" t="s">
        <v>179</v>
      </c>
      <c r="G448" s="6" t="n">
        <v>36</v>
      </c>
      <c r="H448" s="6" t="s">
        <v>80</v>
      </c>
      <c r="I448" s="6" t="s">
        <v>82</v>
      </c>
      <c r="J448" s="6" t="s">
        <v>58</v>
      </c>
      <c r="K448" s="6" t="n">
        <v>110807</v>
      </c>
      <c r="L448" s="6" t="n">
        <v>107143</v>
      </c>
      <c r="M448" s="6" t="s">
        <v>142</v>
      </c>
      <c r="N448" s="6" t="n">
        <v>50</v>
      </c>
      <c r="O448" s="6" t="s">
        <v>58</v>
      </c>
      <c r="P448" s="6" t="n">
        <v>8</v>
      </c>
      <c r="Q448" s="6" t="n">
        <v>30.52</v>
      </c>
      <c r="R448" s="20" t="n">
        <f aca="false">(L448-K448)/K448</f>
        <v>-0.0330665030187624</v>
      </c>
    </row>
    <row r="449" customFormat="false" ht="15" hidden="false" customHeight="false" outlineLevel="0" collapsed="false">
      <c r="A449" s="6" t="s">
        <v>611</v>
      </c>
      <c r="B449" s="6" t="n">
        <v>23</v>
      </c>
      <c r="C449" s="6" t="s">
        <v>159</v>
      </c>
      <c r="D449" s="6" t="s">
        <v>148</v>
      </c>
      <c r="E449" s="6" t="s">
        <v>88</v>
      </c>
      <c r="F449" s="6" t="s">
        <v>234</v>
      </c>
      <c r="G449" s="6" t="n">
        <v>0</v>
      </c>
      <c r="H449" s="6" t="s">
        <v>81</v>
      </c>
      <c r="I449" s="6" t="s">
        <v>80</v>
      </c>
      <c r="J449" s="6" t="s">
        <v>58</v>
      </c>
      <c r="K449" s="6" t="n">
        <v>76092</v>
      </c>
      <c r="L449" s="6" t="n">
        <v>83705</v>
      </c>
      <c r="M449" s="6" t="s">
        <v>142</v>
      </c>
      <c r="N449" s="6" t="n">
        <v>36</v>
      </c>
      <c r="O449" s="6" t="s">
        <v>60</v>
      </c>
      <c r="P449" s="6" t="n">
        <v>9</v>
      </c>
      <c r="Q449" s="6" t="n">
        <v>-7.33</v>
      </c>
      <c r="R449" s="20" t="n">
        <f aca="false">(L449-K449)/K449</f>
        <v>0.100049939546864</v>
      </c>
    </row>
    <row r="450" customFormat="false" ht="15" hidden="false" customHeight="false" outlineLevel="0" collapsed="false">
      <c r="A450" s="6" t="s">
        <v>612</v>
      </c>
      <c r="B450" s="6" t="n">
        <v>24</v>
      </c>
      <c r="C450" s="6" t="s">
        <v>139</v>
      </c>
      <c r="D450" s="6" t="s">
        <v>148</v>
      </c>
      <c r="E450" s="6" t="s">
        <v>89</v>
      </c>
      <c r="F450" s="6" t="s">
        <v>153</v>
      </c>
      <c r="G450" s="6" t="n">
        <v>0</v>
      </c>
      <c r="H450" s="6" t="s">
        <v>82</v>
      </c>
      <c r="I450" s="6" t="s">
        <v>80</v>
      </c>
      <c r="J450" s="6" t="s">
        <v>60</v>
      </c>
      <c r="K450" s="6" t="n">
        <v>53782</v>
      </c>
      <c r="L450" s="6" t="n">
        <v>58399</v>
      </c>
      <c r="M450" s="6" t="s">
        <v>142</v>
      </c>
      <c r="N450" s="6" t="n">
        <v>43</v>
      </c>
      <c r="O450" s="6" t="s">
        <v>58</v>
      </c>
      <c r="P450" s="6" t="n">
        <v>8</v>
      </c>
      <c r="Q450" s="6" t="n">
        <v>-6.44</v>
      </c>
      <c r="R450" s="20" t="n">
        <f aca="false">(L450-K450)/K450</f>
        <v>0.0858465657654978</v>
      </c>
    </row>
    <row r="451" customFormat="false" ht="15" hidden="false" customHeight="false" outlineLevel="0" collapsed="false">
      <c r="A451" s="6" t="s">
        <v>613</v>
      </c>
      <c r="B451" s="6" t="n">
        <v>34</v>
      </c>
      <c r="C451" s="6" t="s">
        <v>159</v>
      </c>
      <c r="D451" s="6" t="s">
        <v>135</v>
      </c>
      <c r="E451" s="6" t="s">
        <v>93</v>
      </c>
      <c r="F451" s="6" t="s">
        <v>181</v>
      </c>
      <c r="G451" s="6" t="n">
        <v>8</v>
      </c>
      <c r="H451" s="6" t="s">
        <v>81</v>
      </c>
      <c r="I451" s="6" t="s">
        <v>80</v>
      </c>
      <c r="J451" s="6" t="s">
        <v>58</v>
      </c>
      <c r="K451" s="6" t="n">
        <v>91202</v>
      </c>
      <c r="L451" s="6" t="n">
        <v>99806</v>
      </c>
      <c r="M451" s="6" t="s">
        <v>142</v>
      </c>
      <c r="N451" s="6" t="n">
        <v>51</v>
      </c>
      <c r="O451" s="6" t="s">
        <v>58</v>
      </c>
      <c r="P451" s="6" t="n">
        <v>9</v>
      </c>
      <c r="Q451" s="6" t="n">
        <v>-12.62</v>
      </c>
      <c r="R451" s="20" t="n">
        <f aca="false">(L451-K451)/K451</f>
        <v>0.0943400364027105</v>
      </c>
    </row>
    <row r="452" customFormat="false" ht="15" hidden="false" customHeight="false" outlineLevel="0" collapsed="false">
      <c r="A452" s="6" t="s">
        <v>614</v>
      </c>
      <c r="B452" s="6" t="n">
        <v>44</v>
      </c>
      <c r="C452" s="6" t="s">
        <v>139</v>
      </c>
      <c r="D452" s="6" t="s">
        <v>140</v>
      </c>
      <c r="E452" s="6" t="s">
        <v>88</v>
      </c>
      <c r="F452" s="6" t="s">
        <v>157</v>
      </c>
      <c r="G452" s="6" t="n">
        <v>21</v>
      </c>
      <c r="H452" s="6" t="s">
        <v>82</v>
      </c>
      <c r="I452" s="6" t="s">
        <v>82</v>
      </c>
      <c r="J452" s="6" t="s">
        <v>58</v>
      </c>
      <c r="K452" s="6" t="n">
        <v>110905</v>
      </c>
      <c r="L452" s="6" t="n">
        <v>143384</v>
      </c>
      <c r="M452" s="6" t="s">
        <v>146</v>
      </c>
      <c r="N452" s="6" t="n">
        <v>54</v>
      </c>
      <c r="O452" s="6" t="s">
        <v>60</v>
      </c>
      <c r="P452" s="6" t="n">
        <v>4</v>
      </c>
      <c r="Q452" s="6" t="n">
        <v>13.28</v>
      </c>
      <c r="R452" s="20" t="n">
        <f aca="false">(L452-K452)/K452</f>
        <v>0.292854244623777</v>
      </c>
    </row>
    <row r="453" customFormat="false" ht="15" hidden="false" customHeight="false" outlineLevel="0" collapsed="false">
      <c r="A453" s="6" t="s">
        <v>615</v>
      </c>
      <c r="B453" s="6" t="n">
        <v>35</v>
      </c>
      <c r="C453" s="6" t="s">
        <v>134</v>
      </c>
      <c r="D453" s="6" t="s">
        <v>135</v>
      </c>
      <c r="E453" s="6" t="s">
        <v>92</v>
      </c>
      <c r="F453" s="6" t="s">
        <v>222</v>
      </c>
      <c r="G453" s="6" t="n">
        <v>12</v>
      </c>
      <c r="H453" s="6" t="s">
        <v>81</v>
      </c>
      <c r="I453" s="6" t="s">
        <v>80</v>
      </c>
      <c r="J453" s="6" t="s">
        <v>60</v>
      </c>
      <c r="K453" s="6" t="n">
        <v>46237</v>
      </c>
      <c r="L453" s="6" t="n">
        <v>53022</v>
      </c>
      <c r="M453" s="6" t="s">
        <v>142</v>
      </c>
      <c r="N453" s="6" t="n">
        <v>38</v>
      </c>
      <c r="O453" s="6" t="s">
        <v>58</v>
      </c>
      <c r="P453" s="6" t="n">
        <v>7</v>
      </c>
      <c r="Q453" s="6" t="n">
        <v>28.24</v>
      </c>
      <c r="R453" s="20" t="n">
        <f aca="false">(L453-K453)/K453</f>
        <v>0.146743949650713</v>
      </c>
    </row>
    <row r="454" customFormat="false" ht="15" hidden="false" customHeight="false" outlineLevel="0" collapsed="false">
      <c r="A454" s="6" t="s">
        <v>616</v>
      </c>
      <c r="B454" s="6" t="n">
        <v>44</v>
      </c>
      <c r="C454" s="6" t="s">
        <v>159</v>
      </c>
      <c r="D454" s="6" t="s">
        <v>135</v>
      </c>
      <c r="E454" s="6" t="s">
        <v>91</v>
      </c>
      <c r="F454" s="6" t="s">
        <v>141</v>
      </c>
      <c r="G454" s="6" t="n">
        <v>21</v>
      </c>
      <c r="H454" s="6" t="s">
        <v>82</v>
      </c>
      <c r="I454" s="6" t="s">
        <v>80</v>
      </c>
      <c r="J454" s="6" t="s">
        <v>58</v>
      </c>
      <c r="K454" s="6" t="n">
        <v>104763</v>
      </c>
      <c r="L454" s="6" t="n">
        <v>115031</v>
      </c>
      <c r="M454" s="6" t="s">
        <v>142</v>
      </c>
      <c r="N454" s="6" t="n">
        <v>52</v>
      </c>
      <c r="O454" s="6" t="s">
        <v>58</v>
      </c>
      <c r="P454" s="6" t="n">
        <v>4</v>
      </c>
      <c r="Q454" s="6" t="n">
        <v>-2.94</v>
      </c>
      <c r="R454" s="20" t="n">
        <f aca="false">(L454-K454)/K454</f>
        <v>0.0980117026049273</v>
      </c>
    </row>
    <row r="455" customFormat="false" ht="15" hidden="false" customHeight="false" outlineLevel="0" collapsed="false">
      <c r="A455" s="6" t="s">
        <v>617</v>
      </c>
      <c r="B455" s="6" t="n">
        <v>32</v>
      </c>
      <c r="C455" s="6" t="s">
        <v>134</v>
      </c>
      <c r="D455" s="6" t="s">
        <v>144</v>
      </c>
      <c r="E455" s="6" t="s">
        <v>93</v>
      </c>
      <c r="F455" s="6" t="s">
        <v>197</v>
      </c>
      <c r="G455" s="6" t="n">
        <v>10</v>
      </c>
      <c r="H455" s="6" t="s">
        <v>82</v>
      </c>
      <c r="I455" s="6" t="s">
        <v>81</v>
      </c>
      <c r="J455" s="6" t="s">
        <v>58</v>
      </c>
      <c r="K455" s="6" t="n">
        <v>109563</v>
      </c>
      <c r="L455" s="6" t="n">
        <v>114106</v>
      </c>
      <c r="M455" s="6" t="s">
        <v>146</v>
      </c>
      <c r="N455" s="6" t="n">
        <v>51</v>
      </c>
      <c r="O455" s="6" t="s">
        <v>58</v>
      </c>
      <c r="P455" s="6" t="n">
        <v>4</v>
      </c>
      <c r="Q455" s="6" t="n">
        <v>-13.84</v>
      </c>
      <c r="R455" s="20" t="n">
        <f aca="false">(L455-K455)/K455</f>
        <v>0.0414647280560043</v>
      </c>
    </row>
    <row r="456" customFormat="false" ht="15" hidden="false" customHeight="false" outlineLevel="0" collapsed="false">
      <c r="A456" s="6" t="s">
        <v>618</v>
      </c>
      <c r="B456" s="6" t="n">
        <v>50</v>
      </c>
      <c r="C456" s="6" t="s">
        <v>159</v>
      </c>
      <c r="D456" s="6" t="s">
        <v>135</v>
      </c>
      <c r="E456" s="6" t="s">
        <v>88</v>
      </c>
      <c r="F456" s="6" t="s">
        <v>234</v>
      </c>
      <c r="G456" s="6" t="n">
        <v>27</v>
      </c>
      <c r="H456" s="6" t="s">
        <v>81</v>
      </c>
      <c r="I456" s="6" t="s">
        <v>82</v>
      </c>
      <c r="J456" s="6" t="s">
        <v>60</v>
      </c>
      <c r="K456" s="6" t="n">
        <v>80961</v>
      </c>
      <c r="L456" s="6" t="n">
        <v>79572</v>
      </c>
      <c r="M456" s="6" t="s">
        <v>142</v>
      </c>
      <c r="N456" s="6" t="n">
        <v>52</v>
      </c>
      <c r="O456" s="6" t="s">
        <v>58</v>
      </c>
      <c r="P456" s="6" t="n">
        <v>3</v>
      </c>
      <c r="Q456" s="6" t="n">
        <v>22.42</v>
      </c>
      <c r="R456" s="20" t="n">
        <f aca="false">(L456-K456)/K456</f>
        <v>-0.0171564086411976</v>
      </c>
    </row>
    <row r="457" customFormat="false" ht="15" hidden="false" customHeight="false" outlineLevel="0" collapsed="false">
      <c r="A457" s="6" t="s">
        <v>619</v>
      </c>
      <c r="B457" s="6" t="n">
        <v>27</v>
      </c>
      <c r="C457" s="6" t="s">
        <v>159</v>
      </c>
      <c r="D457" s="6" t="s">
        <v>140</v>
      </c>
      <c r="E457" s="6" t="s">
        <v>90</v>
      </c>
      <c r="F457" s="6" t="s">
        <v>202</v>
      </c>
      <c r="G457" s="6" t="n">
        <v>1</v>
      </c>
      <c r="H457" s="6" t="s">
        <v>81</v>
      </c>
      <c r="I457" s="6" t="s">
        <v>80</v>
      </c>
      <c r="J457" s="6" t="s">
        <v>60</v>
      </c>
      <c r="K457" s="6" t="n">
        <v>110811</v>
      </c>
      <c r="L457" s="6" t="n">
        <v>124359</v>
      </c>
      <c r="M457" s="6" t="s">
        <v>142</v>
      </c>
      <c r="N457" s="6" t="n">
        <v>45</v>
      </c>
      <c r="O457" s="6" t="s">
        <v>60</v>
      </c>
      <c r="P457" s="6" t="n">
        <v>3</v>
      </c>
      <c r="Q457" s="6" t="n">
        <v>-1.02</v>
      </c>
      <c r="R457" s="20" t="n">
        <f aca="false">(L457-K457)/K457</f>
        <v>0.122262230283997</v>
      </c>
    </row>
    <row r="458" customFormat="false" ht="15" hidden="false" customHeight="false" outlineLevel="0" collapsed="false">
      <c r="A458" s="6" t="s">
        <v>620</v>
      </c>
      <c r="B458" s="6" t="n">
        <v>22</v>
      </c>
      <c r="C458" s="6" t="s">
        <v>134</v>
      </c>
      <c r="D458" s="6" t="s">
        <v>140</v>
      </c>
      <c r="E458" s="6" t="s">
        <v>90</v>
      </c>
      <c r="F458" s="6" t="s">
        <v>202</v>
      </c>
      <c r="G458" s="6" t="n">
        <v>0</v>
      </c>
      <c r="H458" s="6" t="s">
        <v>81</v>
      </c>
      <c r="I458" s="6" t="s">
        <v>81</v>
      </c>
      <c r="J458" s="6" t="s">
        <v>60</v>
      </c>
      <c r="K458" s="6" t="n">
        <v>62402</v>
      </c>
      <c r="L458" s="6" t="n">
        <v>66738</v>
      </c>
      <c r="M458" s="6" t="s">
        <v>146</v>
      </c>
      <c r="N458" s="6" t="n">
        <v>38</v>
      </c>
      <c r="O458" s="6" t="s">
        <v>58</v>
      </c>
      <c r="P458" s="6" t="n">
        <v>6</v>
      </c>
      <c r="Q458" s="6" t="n">
        <v>31.99</v>
      </c>
      <c r="R458" s="20" t="n">
        <f aca="false">(L458-K458)/K458</f>
        <v>0.0694849524053716</v>
      </c>
    </row>
    <row r="459" customFormat="false" ht="15" hidden="false" customHeight="false" outlineLevel="0" collapsed="false">
      <c r="A459" s="6" t="s">
        <v>621</v>
      </c>
      <c r="B459" s="6" t="n">
        <v>39</v>
      </c>
      <c r="C459" s="6" t="s">
        <v>159</v>
      </c>
      <c r="D459" s="6" t="s">
        <v>148</v>
      </c>
      <c r="E459" s="6" t="s">
        <v>87</v>
      </c>
      <c r="F459" s="6" t="s">
        <v>155</v>
      </c>
      <c r="G459" s="6" t="n">
        <v>15</v>
      </c>
      <c r="H459" s="6" t="s">
        <v>80</v>
      </c>
      <c r="I459" s="6" t="s">
        <v>80</v>
      </c>
      <c r="J459" s="6" t="s">
        <v>58</v>
      </c>
      <c r="K459" s="6" t="n">
        <v>73148</v>
      </c>
      <c r="L459" s="6" t="n">
        <v>74125</v>
      </c>
      <c r="M459" s="6" t="s">
        <v>142</v>
      </c>
      <c r="N459" s="6" t="n">
        <v>46</v>
      </c>
      <c r="O459" s="6" t="s">
        <v>60</v>
      </c>
      <c r="P459" s="6" t="n">
        <v>5</v>
      </c>
      <c r="Q459" s="6" t="n">
        <v>2.64</v>
      </c>
      <c r="R459" s="20" t="n">
        <f aca="false">(L459-K459)/K459</f>
        <v>0.0133564827473068</v>
      </c>
    </row>
    <row r="460" customFormat="false" ht="15" hidden="false" customHeight="false" outlineLevel="0" collapsed="false">
      <c r="A460" s="6" t="s">
        <v>622</v>
      </c>
      <c r="B460" s="6" t="n">
        <v>58</v>
      </c>
      <c r="C460" s="6" t="s">
        <v>134</v>
      </c>
      <c r="D460" s="6" t="s">
        <v>144</v>
      </c>
      <c r="E460" s="6" t="s">
        <v>93</v>
      </c>
      <c r="F460" s="6" t="s">
        <v>164</v>
      </c>
      <c r="G460" s="6" t="n">
        <v>36</v>
      </c>
      <c r="H460" s="6" t="s">
        <v>81</v>
      </c>
      <c r="I460" s="6" t="s">
        <v>80</v>
      </c>
      <c r="J460" s="6" t="s">
        <v>58</v>
      </c>
      <c r="K460" s="6" t="n">
        <v>62441</v>
      </c>
      <c r="L460" s="6" t="n">
        <v>56989</v>
      </c>
      <c r="M460" s="6" t="s">
        <v>142</v>
      </c>
      <c r="N460" s="6" t="n">
        <v>44</v>
      </c>
      <c r="O460" s="6" t="s">
        <v>60</v>
      </c>
      <c r="P460" s="6" t="n">
        <v>9</v>
      </c>
      <c r="Q460" s="6" t="n">
        <v>13.88</v>
      </c>
      <c r="R460" s="20" t="n">
        <f aca="false">(L460-K460)/K460</f>
        <v>-0.0873144248170273</v>
      </c>
    </row>
    <row r="461" customFormat="false" ht="15" hidden="false" customHeight="false" outlineLevel="0" collapsed="false">
      <c r="A461" s="6" t="s">
        <v>623</v>
      </c>
      <c r="B461" s="6" t="n">
        <v>44</v>
      </c>
      <c r="C461" s="6" t="s">
        <v>134</v>
      </c>
      <c r="D461" s="6" t="s">
        <v>144</v>
      </c>
      <c r="E461" s="6" t="s">
        <v>89</v>
      </c>
      <c r="F461" s="6" t="s">
        <v>151</v>
      </c>
      <c r="G461" s="6" t="n">
        <v>18</v>
      </c>
      <c r="H461" s="6" t="s">
        <v>82</v>
      </c>
      <c r="I461" s="6" t="s">
        <v>81</v>
      </c>
      <c r="J461" s="6" t="s">
        <v>58</v>
      </c>
      <c r="K461" s="6" t="n">
        <v>42180</v>
      </c>
      <c r="L461" s="6" t="n">
        <v>55901</v>
      </c>
      <c r="M461" s="6" t="s">
        <v>146</v>
      </c>
      <c r="N461" s="6" t="n">
        <v>46</v>
      </c>
      <c r="O461" s="6" t="s">
        <v>60</v>
      </c>
      <c r="P461" s="6" t="n">
        <v>5</v>
      </c>
      <c r="Q461" s="6" t="n">
        <v>-9.03</v>
      </c>
      <c r="R461" s="20" t="n">
        <f aca="false">(L461-K461)/K461</f>
        <v>0.32529634898056</v>
      </c>
    </row>
    <row r="462" customFormat="false" ht="15" hidden="false" customHeight="false" outlineLevel="0" collapsed="false">
      <c r="A462" s="6" t="s">
        <v>624</v>
      </c>
      <c r="B462" s="6" t="n">
        <v>38</v>
      </c>
      <c r="C462" s="6" t="s">
        <v>139</v>
      </c>
      <c r="D462" s="6" t="s">
        <v>148</v>
      </c>
      <c r="E462" s="6" t="s">
        <v>90</v>
      </c>
      <c r="F462" s="6" t="s">
        <v>236</v>
      </c>
      <c r="G462" s="6" t="n">
        <v>13</v>
      </c>
      <c r="H462" s="6" t="s">
        <v>82</v>
      </c>
      <c r="I462" s="6" t="s">
        <v>82</v>
      </c>
      <c r="J462" s="6" t="s">
        <v>58</v>
      </c>
      <c r="K462" s="6" t="n">
        <v>84040</v>
      </c>
      <c r="L462" s="6" t="n">
        <v>82260</v>
      </c>
      <c r="M462" s="6" t="s">
        <v>137</v>
      </c>
      <c r="N462" s="6" t="n">
        <v>53</v>
      </c>
      <c r="O462" s="6" t="s">
        <v>60</v>
      </c>
      <c r="P462" s="6" t="n">
        <v>5</v>
      </c>
      <c r="Q462" s="6" t="n">
        <v>-13.68</v>
      </c>
      <c r="R462" s="20" t="n">
        <f aca="false">(L462-K462)/K462</f>
        <v>-0.0211803902903379</v>
      </c>
    </row>
    <row r="463" customFormat="false" ht="15" hidden="false" customHeight="false" outlineLevel="0" collapsed="false">
      <c r="A463" s="6" t="s">
        <v>625</v>
      </c>
      <c r="B463" s="6" t="n">
        <v>33</v>
      </c>
      <c r="C463" s="6" t="s">
        <v>134</v>
      </c>
      <c r="D463" s="6" t="s">
        <v>135</v>
      </c>
      <c r="E463" s="6" t="s">
        <v>91</v>
      </c>
      <c r="F463" s="6" t="s">
        <v>206</v>
      </c>
      <c r="G463" s="6" t="n">
        <v>7</v>
      </c>
      <c r="H463" s="6" t="s">
        <v>82</v>
      </c>
      <c r="I463" s="6" t="s">
        <v>81</v>
      </c>
      <c r="J463" s="6" t="s">
        <v>58</v>
      </c>
      <c r="K463" s="6" t="n">
        <v>75968</v>
      </c>
      <c r="L463" s="6" t="n">
        <v>77185</v>
      </c>
      <c r="M463" s="6" t="s">
        <v>146</v>
      </c>
      <c r="N463" s="6" t="n">
        <v>43</v>
      </c>
      <c r="O463" s="6" t="s">
        <v>60</v>
      </c>
      <c r="P463" s="6" t="n">
        <v>5</v>
      </c>
      <c r="Q463" s="6" t="n">
        <v>37.41</v>
      </c>
      <c r="R463" s="20" t="n">
        <f aca="false">(L463-K463)/K463</f>
        <v>0.0160199031171019</v>
      </c>
    </row>
    <row r="464" customFormat="false" ht="15" hidden="false" customHeight="false" outlineLevel="0" collapsed="false">
      <c r="A464" s="6" t="s">
        <v>626</v>
      </c>
      <c r="B464" s="6" t="n">
        <v>39</v>
      </c>
      <c r="C464" s="6" t="s">
        <v>134</v>
      </c>
      <c r="D464" s="6" t="s">
        <v>140</v>
      </c>
      <c r="E464" s="6" t="s">
        <v>87</v>
      </c>
      <c r="F464" s="6" t="s">
        <v>149</v>
      </c>
      <c r="G464" s="6" t="n">
        <v>15</v>
      </c>
      <c r="H464" s="6" t="s">
        <v>82</v>
      </c>
      <c r="I464" s="6" t="s">
        <v>82</v>
      </c>
      <c r="J464" s="6" t="s">
        <v>58</v>
      </c>
      <c r="K464" s="6" t="n">
        <v>35355</v>
      </c>
      <c r="L464" s="6" t="n">
        <v>28345</v>
      </c>
      <c r="M464" s="6" t="s">
        <v>146</v>
      </c>
      <c r="N464" s="6" t="n">
        <v>47</v>
      </c>
      <c r="O464" s="6" t="s">
        <v>60</v>
      </c>
      <c r="P464" s="6" t="n">
        <v>4</v>
      </c>
      <c r="Q464" s="6" t="n">
        <v>31.54</v>
      </c>
      <c r="R464" s="20" t="n">
        <f aca="false">(L464-K464)/K464</f>
        <v>-0.198274642907651</v>
      </c>
    </row>
    <row r="465" customFormat="false" ht="15" hidden="false" customHeight="false" outlineLevel="0" collapsed="false">
      <c r="A465" s="6" t="s">
        <v>627</v>
      </c>
      <c r="B465" s="6" t="n">
        <v>58</v>
      </c>
      <c r="C465" s="6" t="s">
        <v>139</v>
      </c>
      <c r="D465" s="6" t="s">
        <v>144</v>
      </c>
      <c r="E465" s="6" t="s">
        <v>93</v>
      </c>
      <c r="F465" s="6" t="s">
        <v>164</v>
      </c>
      <c r="G465" s="6" t="n">
        <v>32</v>
      </c>
      <c r="H465" s="6" t="s">
        <v>81</v>
      </c>
      <c r="I465" s="6" t="s">
        <v>80</v>
      </c>
      <c r="J465" s="6" t="s">
        <v>58</v>
      </c>
      <c r="K465" s="6" t="n">
        <v>56654</v>
      </c>
      <c r="L465" s="6" t="n">
        <v>63219</v>
      </c>
      <c r="M465" s="6" t="s">
        <v>142</v>
      </c>
      <c r="N465" s="6" t="n">
        <v>40</v>
      </c>
      <c r="O465" s="6" t="s">
        <v>60</v>
      </c>
      <c r="P465" s="6" t="n">
        <v>5</v>
      </c>
      <c r="Q465" s="6" t="n">
        <v>2.27</v>
      </c>
      <c r="R465" s="20" t="n">
        <f aca="false">(L465-K465)/K465</f>
        <v>0.115878843506196</v>
      </c>
    </row>
    <row r="466" customFormat="false" ht="15" hidden="false" customHeight="false" outlineLevel="0" collapsed="false">
      <c r="A466" s="6" t="s">
        <v>628</v>
      </c>
      <c r="B466" s="6" t="n">
        <v>43</v>
      </c>
      <c r="C466" s="6" t="s">
        <v>139</v>
      </c>
      <c r="D466" s="6" t="s">
        <v>140</v>
      </c>
      <c r="E466" s="6" t="s">
        <v>91</v>
      </c>
      <c r="F466" s="6" t="s">
        <v>208</v>
      </c>
      <c r="G466" s="6" t="n">
        <v>21</v>
      </c>
      <c r="H466" s="6" t="s">
        <v>80</v>
      </c>
      <c r="I466" s="6" t="s">
        <v>80</v>
      </c>
      <c r="J466" s="6" t="s">
        <v>60</v>
      </c>
      <c r="K466" s="6" t="n">
        <v>57747</v>
      </c>
      <c r="L466" s="6" t="n">
        <v>60730</v>
      </c>
      <c r="M466" s="6" t="s">
        <v>142</v>
      </c>
      <c r="N466" s="6" t="n">
        <v>36</v>
      </c>
      <c r="O466" s="6" t="s">
        <v>58</v>
      </c>
      <c r="P466" s="6" t="n">
        <v>3</v>
      </c>
      <c r="Q466" s="6" t="n">
        <v>16.47</v>
      </c>
      <c r="R466" s="20" t="n">
        <f aca="false">(L466-K466)/K466</f>
        <v>0.0516563631011135</v>
      </c>
    </row>
    <row r="467" customFormat="false" ht="15" hidden="false" customHeight="false" outlineLevel="0" collapsed="false">
      <c r="A467" s="6" t="s">
        <v>629</v>
      </c>
      <c r="B467" s="6" t="n">
        <v>45</v>
      </c>
      <c r="C467" s="6" t="s">
        <v>139</v>
      </c>
      <c r="D467" s="6" t="s">
        <v>135</v>
      </c>
      <c r="E467" s="6" t="s">
        <v>91</v>
      </c>
      <c r="F467" s="6" t="s">
        <v>206</v>
      </c>
      <c r="G467" s="6" t="n">
        <v>20</v>
      </c>
      <c r="H467" s="6" t="s">
        <v>82</v>
      </c>
      <c r="I467" s="6" t="s">
        <v>82</v>
      </c>
      <c r="J467" s="6" t="s">
        <v>60</v>
      </c>
      <c r="K467" s="6" t="n">
        <v>77377</v>
      </c>
      <c r="L467" s="6" t="n">
        <v>96122</v>
      </c>
      <c r="M467" s="6" t="s">
        <v>146</v>
      </c>
      <c r="N467" s="6" t="n">
        <v>46</v>
      </c>
      <c r="O467" s="6" t="s">
        <v>58</v>
      </c>
      <c r="P467" s="6" t="n">
        <v>7</v>
      </c>
      <c r="Q467" s="6" t="n">
        <v>38.48</v>
      </c>
      <c r="R467" s="20" t="n">
        <f aca="false">(L467-K467)/K467</f>
        <v>0.242255450586091</v>
      </c>
    </row>
    <row r="468" customFormat="false" ht="15" hidden="false" customHeight="false" outlineLevel="0" collapsed="false">
      <c r="A468" s="6" t="s">
        <v>630</v>
      </c>
      <c r="B468" s="6" t="n">
        <v>49</v>
      </c>
      <c r="C468" s="6" t="s">
        <v>139</v>
      </c>
      <c r="D468" s="6" t="s">
        <v>140</v>
      </c>
      <c r="E468" s="6" t="s">
        <v>91</v>
      </c>
      <c r="F468" s="6" t="s">
        <v>208</v>
      </c>
      <c r="G468" s="6" t="n">
        <v>27</v>
      </c>
      <c r="H468" s="6" t="s">
        <v>82</v>
      </c>
      <c r="I468" s="6" t="s">
        <v>80</v>
      </c>
      <c r="J468" s="6" t="s">
        <v>58</v>
      </c>
      <c r="K468" s="6" t="n">
        <v>104083</v>
      </c>
      <c r="L468" s="6" t="n">
        <v>88595</v>
      </c>
      <c r="M468" s="6" t="s">
        <v>142</v>
      </c>
      <c r="N468" s="6" t="n">
        <v>47</v>
      </c>
      <c r="O468" s="6" t="s">
        <v>60</v>
      </c>
      <c r="P468" s="6" t="n">
        <v>3</v>
      </c>
      <c r="Q468" s="6" t="n">
        <v>-17.42</v>
      </c>
      <c r="R468" s="20" t="n">
        <f aca="false">(L468-K468)/K468</f>
        <v>-0.148804319629526</v>
      </c>
    </row>
    <row r="469" customFormat="false" ht="15" hidden="false" customHeight="false" outlineLevel="0" collapsed="false">
      <c r="A469" s="6" t="s">
        <v>631</v>
      </c>
      <c r="B469" s="6" t="n">
        <v>31</v>
      </c>
      <c r="C469" s="6" t="s">
        <v>159</v>
      </c>
      <c r="D469" s="6" t="s">
        <v>140</v>
      </c>
      <c r="E469" s="6" t="s">
        <v>90</v>
      </c>
      <c r="F469" s="6" t="s">
        <v>202</v>
      </c>
      <c r="G469" s="6" t="n">
        <v>5</v>
      </c>
      <c r="H469" s="6" t="s">
        <v>80</v>
      </c>
      <c r="I469" s="6" t="s">
        <v>82</v>
      </c>
      <c r="J469" s="6" t="s">
        <v>58</v>
      </c>
      <c r="K469" s="6" t="n">
        <v>92507</v>
      </c>
      <c r="L469" s="6" t="n">
        <v>89267</v>
      </c>
      <c r="M469" s="6" t="s">
        <v>142</v>
      </c>
      <c r="N469" s="6" t="n">
        <v>47</v>
      </c>
      <c r="O469" s="6" t="s">
        <v>58</v>
      </c>
      <c r="P469" s="6" t="n">
        <v>7</v>
      </c>
      <c r="Q469" s="6" t="n">
        <v>21.28</v>
      </c>
      <c r="R469" s="20" t="n">
        <f aca="false">(L469-K469)/K469</f>
        <v>-0.0350243765336677</v>
      </c>
    </row>
    <row r="470" customFormat="false" ht="15" hidden="false" customHeight="false" outlineLevel="0" collapsed="false">
      <c r="A470" s="6" t="s">
        <v>632</v>
      </c>
      <c r="B470" s="6" t="n">
        <v>59</v>
      </c>
      <c r="C470" s="6" t="s">
        <v>159</v>
      </c>
      <c r="D470" s="6" t="s">
        <v>140</v>
      </c>
      <c r="E470" s="6" t="s">
        <v>88</v>
      </c>
      <c r="F470" s="6" t="s">
        <v>234</v>
      </c>
      <c r="G470" s="6" t="n">
        <v>36</v>
      </c>
      <c r="H470" s="6" t="s">
        <v>81</v>
      </c>
      <c r="I470" s="6" t="s">
        <v>80</v>
      </c>
      <c r="J470" s="6" t="s">
        <v>58</v>
      </c>
      <c r="K470" s="6" t="n">
        <v>72965</v>
      </c>
      <c r="L470" s="6" t="n">
        <v>81196</v>
      </c>
      <c r="M470" s="6" t="s">
        <v>142</v>
      </c>
      <c r="N470" s="6" t="n">
        <v>37</v>
      </c>
      <c r="O470" s="6" t="s">
        <v>60</v>
      </c>
      <c r="P470" s="6" t="n">
        <v>3</v>
      </c>
      <c r="Q470" s="6" t="n">
        <v>36.93</v>
      </c>
      <c r="R470" s="20" t="n">
        <f aca="false">(L470-K470)/K470</f>
        <v>0.112807510450216</v>
      </c>
    </row>
    <row r="471" customFormat="false" ht="15" hidden="false" customHeight="false" outlineLevel="0" collapsed="false">
      <c r="A471" s="6" t="s">
        <v>633</v>
      </c>
      <c r="B471" s="6" t="n">
        <v>24</v>
      </c>
      <c r="C471" s="6" t="s">
        <v>139</v>
      </c>
      <c r="D471" s="6" t="s">
        <v>135</v>
      </c>
      <c r="E471" s="6" t="s">
        <v>88</v>
      </c>
      <c r="F471" s="6" t="s">
        <v>157</v>
      </c>
      <c r="G471" s="6" t="n">
        <v>2</v>
      </c>
      <c r="H471" s="6" t="s">
        <v>82</v>
      </c>
      <c r="I471" s="6" t="s">
        <v>80</v>
      </c>
      <c r="J471" s="6" t="s">
        <v>60</v>
      </c>
      <c r="K471" s="6" t="n">
        <v>66021</v>
      </c>
      <c r="L471" s="6" t="n">
        <v>63380</v>
      </c>
      <c r="M471" s="6" t="s">
        <v>142</v>
      </c>
      <c r="N471" s="6" t="n">
        <v>38</v>
      </c>
      <c r="O471" s="6" t="s">
        <v>60</v>
      </c>
      <c r="P471" s="6" t="n">
        <v>4</v>
      </c>
      <c r="Q471" s="6" t="n">
        <v>23.49</v>
      </c>
      <c r="R471" s="20" t="n">
        <f aca="false">(L471-K471)/K471</f>
        <v>-0.0400024234713197</v>
      </c>
    </row>
    <row r="472" customFormat="false" ht="15" hidden="false" customHeight="false" outlineLevel="0" collapsed="false">
      <c r="A472" s="6" t="s">
        <v>634</v>
      </c>
      <c r="B472" s="6" t="n">
        <v>47</v>
      </c>
      <c r="C472" s="6" t="s">
        <v>139</v>
      </c>
      <c r="D472" s="6" t="s">
        <v>135</v>
      </c>
      <c r="E472" s="6" t="s">
        <v>88</v>
      </c>
      <c r="F472" s="6" t="s">
        <v>179</v>
      </c>
      <c r="G472" s="6" t="n">
        <v>25</v>
      </c>
      <c r="H472" s="6" t="s">
        <v>82</v>
      </c>
      <c r="I472" s="6" t="s">
        <v>82</v>
      </c>
      <c r="J472" s="6" t="s">
        <v>60</v>
      </c>
      <c r="K472" s="6" t="n">
        <v>50307</v>
      </c>
      <c r="L472" s="6" t="n">
        <v>53976</v>
      </c>
      <c r="M472" s="6" t="s">
        <v>146</v>
      </c>
      <c r="N472" s="6" t="n">
        <v>51</v>
      </c>
      <c r="O472" s="6" t="s">
        <v>58</v>
      </c>
      <c r="P472" s="6" t="n">
        <v>6</v>
      </c>
      <c r="Q472" s="6" t="n">
        <v>-3.96</v>
      </c>
      <c r="R472" s="20" t="n">
        <f aca="false">(L472-K472)/K472</f>
        <v>0.0729321963146282</v>
      </c>
    </row>
    <row r="473" customFormat="false" ht="15" hidden="false" customHeight="false" outlineLevel="0" collapsed="false">
      <c r="A473" s="6" t="s">
        <v>635</v>
      </c>
      <c r="B473" s="6" t="n">
        <v>33</v>
      </c>
      <c r="C473" s="6" t="s">
        <v>139</v>
      </c>
      <c r="D473" s="6" t="s">
        <v>140</v>
      </c>
      <c r="E473" s="6" t="s">
        <v>89</v>
      </c>
      <c r="F473" s="6" t="s">
        <v>153</v>
      </c>
      <c r="G473" s="6" t="n">
        <v>9</v>
      </c>
      <c r="H473" s="6" t="s">
        <v>80</v>
      </c>
      <c r="I473" s="6" t="s">
        <v>81</v>
      </c>
      <c r="J473" s="6" t="s">
        <v>60</v>
      </c>
      <c r="K473" s="6" t="n">
        <v>62245</v>
      </c>
      <c r="L473" s="6" t="n">
        <v>59290</v>
      </c>
      <c r="M473" s="6" t="s">
        <v>146</v>
      </c>
      <c r="N473" s="6" t="n">
        <v>43</v>
      </c>
      <c r="O473" s="6" t="s">
        <v>60</v>
      </c>
      <c r="P473" s="6" t="n">
        <v>4</v>
      </c>
      <c r="Q473" s="6" t="n">
        <v>26.21</v>
      </c>
      <c r="R473" s="20" t="n">
        <f aca="false">(L473-K473)/K473</f>
        <v>-0.0474736926660776</v>
      </c>
    </row>
    <row r="474" customFormat="false" ht="15" hidden="false" customHeight="false" outlineLevel="0" collapsed="false">
      <c r="A474" s="6" t="s">
        <v>636</v>
      </c>
      <c r="B474" s="6" t="n">
        <v>58</v>
      </c>
      <c r="C474" s="6" t="s">
        <v>139</v>
      </c>
      <c r="D474" s="6" t="s">
        <v>144</v>
      </c>
      <c r="E474" s="6" t="s">
        <v>88</v>
      </c>
      <c r="F474" s="6" t="s">
        <v>157</v>
      </c>
      <c r="G474" s="6" t="n">
        <v>32</v>
      </c>
      <c r="H474" s="6" t="s">
        <v>80</v>
      </c>
      <c r="I474" s="6" t="s">
        <v>81</v>
      </c>
      <c r="J474" s="6" t="s">
        <v>60</v>
      </c>
      <c r="K474" s="6" t="n">
        <v>59336</v>
      </c>
      <c r="L474" s="6" t="n">
        <v>63250</v>
      </c>
      <c r="M474" s="6" t="s">
        <v>146</v>
      </c>
      <c r="N474" s="6" t="n">
        <v>54</v>
      </c>
      <c r="O474" s="6" t="s">
        <v>58</v>
      </c>
      <c r="P474" s="6" t="n">
        <v>3</v>
      </c>
      <c r="Q474" s="6" t="n">
        <v>11.08</v>
      </c>
      <c r="R474" s="20" t="n">
        <f aca="false">(L474-K474)/K474</f>
        <v>0.0659633274908993</v>
      </c>
    </row>
    <row r="475" customFormat="false" ht="15" hidden="false" customHeight="false" outlineLevel="0" collapsed="false">
      <c r="A475" s="6" t="s">
        <v>637</v>
      </c>
      <c r="B475" s="6" t="n">
        <v>33</v>
      </c>
      <c r="C475" s="6" t="s">
        <v>134</v>
      </c>
      <c r="D475" s="6" t="s">
        <v>144</v>
      </c>
      <c r="E475" s="6" t="s">
        <v>91</v>
      </c>
      <c r="F475" s="6" t="s">
        <v>208</v>
      </c>
      <c r="G475" s="6" t="n">
        <v>9</v>
      </c>
      <c r="H475" s="6" t="s">
        <v>81</v>
      </c>
      <c r="I475" s="6" t="s">
        <v>80</v>
      </c>
      <c r="J475" s="6" t="s">
        <v>58</v>
      </c>
      <c r="K475" s="6" t="n">
        <v>85668</v>
      </c>
      <c r="L475" s="6" t="n">
        <v>93715</v>
      </c>
      <c r="M475" s="6" t="s">
        <v>142</v>
      </c>
      <c r="N475" s="6" t="n">
        <v>49</v>
      </c>
      <c r="O475" s="6" t="s">
        <v>60</v>
      </c>
      <c r="P475" s="6" t="n">
        <v>5</v>
      </c>
      <c r="Q475" s="6" t="n">
        <v>38.45</v>
      </c>
      <c r="R475" s="20" t="n">
        <f aca="false">(L475-K475)/K475</f>
        <v>0.0939323901573516</v>
      </c>
    </row>
    <row r="476" customFormat="false" ht="15" hidden="false" customHeight="false" outlineLevel="0" collapsed="false">
      <c r="A476" s="6" t="s">
        <v>638</v>
      </c>
      <c r="B476" s="6" t="n">
        <v>30</v>
      </c>
      <c r="C476" s="6" t="s">
        <v>159</v>
      </c>
      <c r="D476" s="6" t="s">
        <v>140</v>
      </c>
      <c r="E476" s="6" t="s">
        <v>87</v>
      </c>
      <c r="F476" s="6" t="s">
        <v>160</v>
      </c>
      <c r="G476" s="6" t="n">
        <v>6</v>
      </c>
      <c r="H476" s="6" t="s">
        <v>81</v>
      </c>
      <c r="I476" s="6" t="s">
        <v>80</v>
      </c>
      <c r="J476" s="6" t="s">
        <v>58</v>
      </c>
      <c r="K476" s="6" t="n">
        <v>118839</v>
      </c>
      <c r="L476" s="6" t="n">
        <v>134877</v>
      </c>
      <c r="M476" s="6" t="s">
        <v>142</v>
      </c>
      <c r="N476" s="6" t="n">
        <v>42</v>
      </c>
      <c r="O476" s="6" t="s">
        <v>58</v>
      </c>
      <c r="P476" s="6" t="n">
        <v>7</v>
      </c>
      <c r="Q476" s="6" t="n">
        <v>26.82</v>
      </c>
      <c r="R476" s="20" t="n">
        <f aca="false">(L476-K476)/K476</f>
        <v>0.134955696362305</v>
      </c>
    </row>
    <row r="477" customFormat="false" ht="15" hidden="false" customHeight="false" outlineLevel="0" collapsed="false">
      <c r="A477" s="6" t="s">
        <v>639</v>
      </c>
      <c r="B477" s="6" t="n">
        <v>43</v>
      </c>
      <c r="C477" s="6" t="s">
        <v>134</v>
      </c>
      <c r="D477" s="6" t="s">
        <v>144</v>
      </c>
      <c r="E477" s="6" t="s">
        <v>88</v>
      </c>
      <c r="F477" s="6" t="s">
        <v>234</v>
      </c>
      <c r="G477" s="6" t="n">
        <v>19</v>
      </c>
      <c r="H477" s="6" t="s">
        <v>81</v>
      </c>
      <c r="I477" s="6" t="s">
        <v>81</v>
      </c>
      <c r="J477" s="6" t="s">
        <v>58</v>
      </c>
      <c r="K477" s="6" t="n">
        <v>75671</v>
      </c>
      <c r="L477" s="6" t="n">
        <v>69595</v>
      </c>
      <c r="M477" s="6" t="s">
        <v>146</v>
      </c>
      <c r="N477" s="6" t="n">
        <v>36</v>
      </c>
      <c r="O477" s="6" t="s">
        <v>60</v>
      </c>
      <c r="P477" s="6" t="n">
        <v>4</v>
      </c>
      <c r="Q477" s="6" t="n">
        <v>-6.31</v>
      </c>
      <c r="R477" s="20" t="n">
        <f aca="false">(L477-K477)/K477</f>
        <v>-0.080294961081524</v>
      </c>
    </row>
    <row r="478" customFormat="false" ht="15" hidden="false" customHeight="false" outlineLevel="0" collapsed="false">
      <c r="A478" s="6" t="s">
        <v>640</v>
      </c>
      <c r="B478" s="6" t="n">
        <v>49</v>
      </c>
      <c r="C478" s="6" t="s">
        <v>134</v>
      </c>
      <c r="D478" s="6" t="s">
        <v>144</v>
      </c>
      <c r="E478" s="6" t="s">
        <v>90</v>
      </c>
      <c r="F478" s="6" t="s">
        <v>202</v>
      </c>
      <c r="G478" s="6" t="n">
        <v>23</v>
      </c>
      <c r="H478" s="6" t="s">
        <v>80</v>
      </c>
      <c r="I478" s="6" t="s">
        <v>81</v>
      </c>
      <c r="J478" s="6" t="s">
        <v>58</v>
      </c>
      <c r="K478" s="6" t="n">
        <v>63870</v>
      </c>
      <c r="L478" s="6" t="n">
        <v>61248</v>
      </c>
      <c r="M478" s="6" t="s">
        <v>146</v>
      </c>
      <c r="N478" s="6" t="n">
        <v>38</v>
      </c>
      <c r="O478" s="6" t="s">
        <v>60</v>
      </c>
      <c r="P478" s="6" t="n">
        <v>4</v>
      </c>
      <c r="Q478" s="6" t="n">
        <v>20.3</v>
      </c>
      <c r="R478" s="20" t="n">
        <f aca="false">(L478-K478)/K478</f>
        <v>-0.0410521371535932</v>
      </c>
    </row>
    <row r="479" customFormat="false" ht="15" hidden="false" customHeight="false" outlineLevel="0" collapsed="false">
      <c r="A479" s="6" t="s">
        <v>641</v>
      </c>
      <c r="B479" s="6" t="n">
        <v>30</v>
      </c>
      <c r="C479" s="6" t="s">
        <v>139</v>
      </c>
      <c r="D479" s="6" t="s">
        <v>140</v>
      </c>
      <c r="E479" s="6" t="s">
        <v>87</v>
      </c>
      <c r="F479" s="6" t="s">
        <v>155</v>
      </c>
      <c r="G479" s="6" t="n">
        <v>4</v>
      </c>
      <c r="H479" s="6" t="s">
        <v>81</v>
      </c>
      <c r="I479" s="6" t="s">
        <v>82</v>
      </c>
      <c r="J479" s="6" t="s">
        <v>58</v>
      </c>
      <c r="K479" s="6" t="n">
        <v>56423</v>
      </c>
      <c r="L479" s="6" t="n">
        <v>67560</v>
      </c>
      <c r="M479" s="6" t="s">
        <v>142</v>
      </c>
      <c r="N479" s="6" t="n">
        <v>49</v>
      </c>
      <c r="O479" s="6" t="s">
        <v>58</v>
      </c>
      <c r="P479" s="6" t="n">
        <v>6</v>
      </c>
      <c r="Q479" s="6" t="n">
        <v>12.67</v>
      </c>
      <c r="R479" s="20" t="n">
        <f aca="false">(L479-K479)/K479</f>
        <v>0.197384045513354</v>
      </c>
    </row>
    <row r="480" customFormat="false" ht="15" hidden="false" customHeight="false" outlineLevel="0" collapsed="false">
      <c r="A480" s="6" t="s">
        <v>642</v>
      </c>
      <c r="B480" s="6" t="n">
        <v>43</v>
      </c>
      <c r="C480" s="6" t="s">
        <v>134</v>
      </c>
      <c r="D480" s="6" t="s">
        <v>135</v>
      </c>
      <c r="E480" s="6" t="s">
        <v>91</v>
      </c>
      <c r="F480" s="6" t="s">
        <v>206</v>
      </c>
      <c r="G480" s="6" t="n">
        <v>21</v>
      </c>
      <c r="H480" s="6" t="s">
        <v>81</v>
      </c>
      <c r="I480" s="6" t="s">
        <v>80</v>
      </c>
      <c r="J480" s="6" t="s">
        <v>60</v>
      </c>
      <c r="K480" s="6" t="n">
        <v>68458</v>
      </c>
      <c r="L480" s="6" t="n">
        <v>76514</v>
      </c>
      <c r="M480" s="6" t="s">
        <v>142</v>
      </c>
      <c r="N480" s="6" t="n">
        <v>44</v>
      </c>
      <c r="O480" s="6" t="s">
        <v>58</v>
      </c>
      <c r="P480" s="6" t="n">
        <v>5</v>
      </c>
      <c r="Q480" s="6" t="n">
        <v>17.18</v>
      </c>
      <c r="R480" s="20" t="n">
        <f aca="false">(L480-K480)/K480</f>
        <v>0.117677992345672</v>
      </c>
    </row>
    <row r="481" customFormat="false" ht="15" hidden="false" customHeight="false" outlineLevel="0" collapsed="false">
      <c r="A481" s="6" t="s">
        <v>643</v>
      </c>
      <c r="B481" s="6" t="n">
        <v>40</v>
      </c>
      <c r="C481" s="6" t="s">
        <v>134</v>
      </c>
      <c r="D481" s="6" t="s">
        <v>140</v>
      </c>
      <c r="E481" s="6" t="s">
        <v>93</v>
      </c>
      <c r="F481" s="6" t="s">
        <v>197</v>
      </c>
      <c r="G481" s="6" t="n">
        <v>16</v>
      </c>
      <c r="H481" s="6" t="s">
        <v>80</v>
      </c>
      <c r="I481" s="6" t="s">
        <v>80</v>
      </c>
      <c r="J481" s="6" t="s">
        <v>58</v>
      </c>
      <c r="K481" s="6" t="n">
        <v>85751</v>
      </c>
      <c r="L481" s="6" t="n">
        <v>89643</v>
      </c>
      <c r="M481" s="6" t="s">
        <v>142</v>
      </c>
      <c r="N481" s="6" t="n">
        <v>45</v>
      </c>
      <c r="O481" s="6" t="s">
        <v>58</v>
      </c>
      <c r="P481" s="6" t="n">
        <v>5</v>
      </c>
      <c r="Q481" s="6" t="n">
        <v>3.29</v>
      </c>
      <c r="R481" s="20" t="n">
        <f aca="false">(L481-K481)/K481</f>
        <v>0.0453872258049469</v>
      </c>
    </row>
    <row r="482" customFormat="false" ht="15" hidden="false" customHeight="false" outlineLevel="0" collapsed="false">
      <c r="A482" s="6" t="s">
        <v>644</v>
      </c>
      <c r="B482" s="6" t="n">
        <v>22</v>
      </c>
      <c r="C482" s="6" t="s">
        <v>134</v>
      </c>
      <c r="D482" s="6" t="s">
        <v>148</v>
      </c>
      <c r="E482" s="6" t="s">
        <v>91</v>
      </c>
      <c r="F482" s="6" t="s">
        <v>141</v>
      </c>
      <c r="G482" s="6" t="n">
        <v>0</v>
      </c>
      <c r="H482" s="6" t="s">
        <v>80</v>
      </c>
      <c r="I482" s="6" t="s">
        <v>80</v>
      </c>
      <c r="J482" s="6" t="s">
        <v>60</v>
      </c>
      <c r="K482" s="6" t="n">
        <v>62430</v>
      </c>
      <c r="L482" s="6" t="n">
        <v>67900</v>
      </c>
      <c r="M482" s="6" t="s">
        <v>142</v>
      </c>
      <c r="N482" s="6" t="n">
        <v>49</v>
      </c>
      <c r="O482" s="6" t="s">
        <v>58</v>
      </c>
      <c r="P482" s="6" t="n">
        <v>9</v>
      </c>
      <c r="Q482" s="6" t="n">
        <v>-2.57</v>
      </c>
      <c r="R482" s="20" t="n">
        <f aca="false">(L482-K482)/K482</f>
        <v>0.0876181323081852</v>
      </c>
    </row>
    <row r="483" customFormat="false" ht="15" hidden="false" customHeight="false" outlineLevel="0" collapsed="false">
      <c r="A483" s="6" t="s">
        <v>645</v>
      </c>
      <c r="B483" s="6" t="n">
        <v>47</v>
      </c>
      <c r="C483" s="6" t="s">
        <v>159</v>
      </c>
      <c r="D483" s="6" t="s">
        <v>144</v>
      </c>
      <c r="E483" s="6" t="s">
        <v>87</v>
      </c>
      <c r="F483" s="6" t="s">
        <v>160</v>
      </c>
      <c r="G483" s="6" t="n">
        <v>25</v>
      </c>
      <c r="H483" s="6" t="s">
        <v>82</v>
      </c>
      <c r="I483" s="6" t="s">
        <v>80</v>
      </c>
      <c r="J483" s="6" t="s">
        <v>58</v>
      </c>
      <c r="K483" s="6" t="n">
        <v>46241</v>
      </c>
      <c r="L483" s="6" t="n">
        <v>37210</v>
      </c>
      <c r="M483" s="6" t="s">
        <v>142</v>
      </c>
      <c r="N483" s="6" t="n">
        <v>45</v>
      </c>
      <c r="O483" s="6" t="s">
        <v>60</v>
      </c>
      <c r="P483" s="6" t="n">
        <v>8</v>
      </c>
      <c r="Q483" s="6" t="n">
        <v>17.86</v>
      </c>
      <c r="R483" s="20" t="n">
        <f aca="false">(L483-K483)/K483</f>
        <v>-0.195302869747627</v>
      </c>
    </row>
    <row r="484" customFormat="false" ht="15" hidden="false" customHeight="false" outlineLevel="0" collapsed="false">
      <c r="A484" s="6" t="s">
        <v>646</v>
      </c>
      <c r="B484" s="6" t="n">
        <v>54</v>
      </c>
      <c r="C484" s="6" t="s">
        <v>134</v>
      </c>
      <c r="D484" s="6" t="s">
        <v>140</v>
      </c>
      <c r="E484" s="6" t="s">
        <v>88</v>
      </c>
      <c r="F484" s="6" t="s">
        <v>179</v>
      </c>
      <c r="G484" s="6" t="n">
        <v>31</v>
      </c>
      <c r="H484" s="6" t="s">
        <v>82</v>
      </c>
      <c r="I484" s="6" t="s">
        <v>81</v>
      </c>
      <c r="J484" s="6" t="s">
        <v>60</v>
      </c>
      <c r="K484" s="6" t="n">
        <v>57045</v>
      </c>
      <c r="L484" s="6" t="n">
        <v>63764</v>
      </c>
      <c r="M484" s="6" t="s">
        <v>146</v>
      </c>
      <c r="N484" s="6" t="n">
        <v>48</v>
      </c>
      <c r="O484" s="6" t="s">
        <v>60</v>
      </c>
      <c r="P484" s="6" t="n">
        <v>7</v>
      </c>
      <c r="Q484" s="6" t="n">
        <v>-5.49</v>
      </c>
      <c r="R484" s="20" t="n">
        <f aca="false">(L484-K484)/K484</f>
        <v>0.117784205451836</v>
      </c>
    </row>
    <row r="485" customFormat="false" ht="15" hidden="false" customHeight="false" outlineLevel="0" collapsed="false">
      <c r="A485" s="6" t="s">
        <v>647</v>
      </c>
      <c r="B485" s="6" t="n">
        <v>27</v>
      </c>
      <c r="C485" s="6" t="s">
        <v>139</v>
      </c>
      <c r="D485" s="6" t="s">
        <v>135</v>
      </c>
      <c r="E485" s="6" t="s">
        <v>89</v>
      </c>
      <c r="F485" s="6" t="s">
        <v>153</v>
      </c>
      <c r="G485" s="6" t="n">
        <v>4</v>
      </c>
      <c r="H485" s="6" t="s">
        <v>82</v>
      </c>
      <c r="I485" s="6" t="s">
        <v>81</v>
      </c>
      <c r="J485" s="6" t="s">
        <v>58</v>
      </c>
      <c r="K485" s="6" t="n">
        <v>95101</v>
      </c>
      <c r="L485" s="6" t="n">
        <v>107268</v>
      </c>
      <c r="M485" s="6" t="s">
        <v>146</v>
      </c>
      <c r="N485" s="6" t="n">
        <v>37</v>
      </c>
      <c r="O485" s="6" t="s">
        <v>58</v>
      </c>
      <c r="P485" s="6" t="n">
        <v>8</v>
      </c>
      <c r="Q485" s="6" t="n">
        <v>5.97</v>
      </c>
      <c r="R485" s="20" t="n">
        <f aca="false">(L485-K485)/K485</f>
        <v>0.127937666270597</v>
      </c>
    </row>
    <row r="486" customFormat="false" ht="15" hidden="false" customHeight="false" outlineLevel="0" collapsed="false">
      <c r="A486" s="6" t="s">
        <v>648</v>
      </c>
      <c r="B486" s="6" t="n">
        <v>27</v>
      </c>
      <c r="C486" s="6" t="s">
        <v>159</v>
      </c>
      <c r="D486" s="6" t="s">
        <v>135</v>
      </c>
      <c r="E486" s="6" t="s">
        <v>87</v>
      </c>
      <c r="F486" s="6" t="s">
        <v>155</v>
      </c>
      <c r="G486" s="6" t="n">
        <v>1</v>
      </c>
      <c r="H486" s="6" t="s">
        <v>80</v>
      </c>
      <c r="I486" s="6" t="s">
        <v>80</v>
      </c>
      <c r="J486" s="6" t="s">
        <v>60</v>
      </c>
      <c r="K486" s="6" t="n">
        <v>73527</v>
      </c>
      <c r="L486" s="6" t="n">
        <v>72157</v>
      </c>
      <c r="M486" s="6" t="s">
        <v>142</v>
      </c>
      <c r="N486" s="6" t="n">
        <v>35</v>
      </c>
      <c r="O486" s="6" t="s">
        <v>58</v>
      </c>
      <c r="P486" s="6" t="n">
        <v>3</v>
      </c>
      <c r="Q486" s="6" t="n">
        <v>-17</v>
      </c>
      <c r="R486" s="20" t="n">
        <f aca="false">(L486-K486)/K486</f>
        <v>-0.0186326111496457</v>
      </c>
    </row>
    <row r="487" customFormat="false" ht="15" hidden="false" customHeight="false" outlineLevel="0" collapsed="false">
      <c r="A487" s="6" t="s">
        <v>649</v>
      </c>
      <c r="B487" s="6" t="n">
        <v>32</v>
      </c>
      <c r="C487" s="6" t="s">
        <v>139</v>
      </c>
      <c r="D487" s="6" t="s">
        <v>144</v>
      </c>
      <c r="E487" s="6" t="s">
        <v>88</v>
      </c>
      <c r="F487" s="6" t="s">
        <v>234</v>
      </c>
      <c r="G487" s="6" t="n">
        <v>6</v>
      </c>
      <c r="H487" s="6" t="s">
        <v>80</v>
      </c>
      <c r="I487" s="6" t="s">
        <v>80</v>
      </c>
      <c r="J487" s="6" t="s">
        <v>60</v>
      </c>
      <c r="K487" s="6" t="n">
        <v>77153</v>
      </c>
      <c r="L487" s="6" t="n">
        <v>83176</v>
      </c>
      <c r="M487" s="6" t="s">
        <v>142</v>
      </c>
      <c r="N487" s="6" t="n">
        <v>40</v>
      </c>
      <c r="O487" s="6" t="s">
        <v>58</v>
      </c>
      <c r="P487" s="6" t="n">
        <v>3</v>
      </c>
      <c r="Q487" s="6" t="n">
        <v>-5.48</v>
      </c>
      <c r="R487" s="20" t="n">
        <f aca="false">(L487-K487)/K487</f>
        <v>0.0780656617370679</v>
      </c>
    </row>
    <row r="488" customFormat="false" ht="15" hidden="false" customHeight="false" outlineLevel="0" collapsed="false">
      <c r="A488" s="6" t="s">
        <v>650</v>
      </c>
      <c r="B488" s="6" t="n">
        <v>37</v>
      </c>
      <c r="C488" s="6" t="s">
        <v>159</v>
      </c>
      <c r="D488" s="6" t="s">
        <v>148</v>
      </c>
      <c r="E488" s="6" t="s">
        <v>87</v>
      </c>
      <c r="F488" s="6" t="s">
        <v>155</v>
      </c>
      <c r="G488" s="6" t="n">
        <v>12</v>
      </c>
      <c r="H488" s="6" t="s">
        <v>80</v>
      </c>
      <c r="I488" s="6" t="s">
        <v>81</v>
      </c>
      <c r="J488" s="6" t="s">
        <v>60</v>
      </c>
      <c r="K488" s="6" t="n">
        <v>89234</v>
      </c>
      <c r="L488" s="6" t="n">
        <v>91441</v>
      </c>
      <c r="M488" s="6" t="s">
        <v>146</v>
      </c>
      <c r="N488" s="6" t="n">
        <v>46</v>
      </c>
      <c r="O488" s="6" t="s">
        <v>60</v>
      </c>
      <c r="P488" s="6" t="n">
        <v>5</v>
      </c>
      <c r="Q488" s="6" t="n">
        <v>4.4</v>
      </c>
      <c r="R488" s="20" t="n">
        <f aca="false">(L488-K488)/K488</f>
        <v>0.0247327251944326</v>
      </c>
    </row>
    <row r="489" customFormat="false" ht="15" hidden="false" customHeight="false" outlineLevel="0" collapsed="false">
      <c r="A489" s="6" t="s">
        <v>651</v>
      </c>
      <c r="B489" s="6" t="n">
        <v>58</v>
      </c>
      <c r="C489" s="6" t="s">
        <v>159</v>
      </c>
      <c r="D489" s="6" t="s">
        <v>135</v>
      </c>
      <c r="E489" s="6" t="s">
        <v>92</v>
      </c>
      <c r="F489" s="6" t="s">
        <v>192</v>
      </c>
      <c r="G489" s="6" t="n">
        <v>36</v>
      </c>
      <c r="H489" s="6" t="s">
        <v>82</v>
      </c>
      <c r="I489" s="6" t="s">
        <v>82</v>
      </c>
      <c r="J489" s="6" t="s">
        <v>60</v>
      </c>
      <c r="K489" s="6" t="n">
        <v>93761</v>
      </c>
      <c r="L489" s="6" t="n">
        <v>108400</v>
      </c>
      <c r="M489" s="6" t="s">
        <v>137</v>
      </c>
      <c r="N489" s="6" t="n">
        <v>52</v>
      </c>
      <c r="O489" s="6" t="s">
        <v>60</v>
      </c>
      <c r="P489" s="6" t="n">
        <v>4</v>
      </c>
      <c r="Q489" s="6" t="n">
        <v>-15.62</v>
      </c>
      <c r="R489" s="20" t="n">
        <f aca="false">(L489-K489)/K489</f>
        <v>0.156131013961029</v>
      </c>
    </row>
    <row r="490" customFormat="false" ht="15" hidden="false" customHeight="false" outlineLevel="0" collapsed="false">
      <c r="A490" s="6" t="s">
        <v>652</v>
      </c>
      <c r="B490" s="6" t="n">
        <v>27</v>
      </c>
      <c r="C490" s="6" t="s">
        <v>139</v>
      </c>
      <c r="D490" s="6" t="s">
        <v>140</v>
      </c>
      <c r="E490" s="6" t="s">
        <v>90</v>
      </c>
      <c r="F490" s="6" t="s">
        <v>202</v>
      </c>
      <c r="G490" s="6" t="n">
        <v>2</v>
      </c>
      <c r="H490" s="6" t="s">
        <v>82</v>
      </c>
      <c r="I490" s="6" t="s">
        <v>82</v>
      </c>
      <c r="J490" s="6" t="s">
        <v>60</v>
      </c>
      <c r="K490" s="6" t="n">
        <v>96155</v>
      </c>
      <c r="L490" s="6" t="n">
        <v>122651</v>
      </c>
      <c r="M490" s="6" t="s">
        <v>146</v>
      </c>
      <c r="N490" s="6" t="n">
        <v>36</v>
      </c>
      <c r="O490" s="6" t="s">
        <v>58</v>
      </c>
      <c r="P490" s="6" t="n">
        <v>3</v>
      </c>
      <c r="Q490" s="6" t="n">
        <v>34.47</v>
      </c>
      <c r="R490" s="20" t="n">
        <f aca="false">(L490-K490)/K490</f>
        <v>0.27555509333888</v>
      </c>
    </row>
    <row r="491" customFormat="false" ht="15" hidden="false" customHeight="false" outlineLevel="0" collapsed="false">
      <c r="A491" s="6" t="s">
        <v>653</v>
      </c>
      <c r="B491" s="6" t="n">
        <v>37</v>
      </c>
      <c r="C491" s="6" t="s">
        <v>134</v>
      </c>
      <c r="D491" s="6" t="s">
        <v>144</v>
      </c>
      <c r="E491" s="6" t="s">
        <v>93</v>
      </c>
      <c r="F491" s="6" t="s">
        <v>197</v>
      </c>
      <c r="G491" s="6" t="n">
        <v>14</v>
      </c>
      <c r="H491" s="6" t="s">
        <v>81</v>
      </c>
      <c r="I491" s="6" t="s">
        <v>80</v>
      </c>
      <c r="J491" s="6" t="s">
        <v>60</v>
      </c>
      <c r="K491" s="6" t="n">
        <v>80081</v>
      </c>
      <c r="L491" s="6" t="n">
        <v>90266</v>
      </c>
      <c r="M491" s="6" t="s">
        <v>142</v>
      </c>
      <c r="N491" s="6" t="n">
        <v>42</v>
      </c>
      <c r="O491" s="6" t="s">
        <v>58</v>
      </c>
      <c r="P491" s="6" t="n">
        <v>8</v>
      </c>
      <c r="Q491" s="6" t="n">
        <v>-10.3</v>
      </c>
      <c r="R491" s="20" t="n">
        <f aca="false">(L491-K491)/K491</f>
        <v>0.127183726476942</v>
      </c>
    </row>
    <row r="492" customFormat="false" ht="15" hidden="false" customHeight="false" outlineLevel="0" collapsed="false">
      <c r="A492" s="6" t="s">
        <v>654</v>
      </c>
      <c r="B492" s="6" t="n">
        <v>53</v>
      </c>
      <c r="C492" s="6" t="s">
        <v>134</v>
      </c>
      <c r="D492" s="6" t="s">
        <v>135</v>
      </c>
      <c r="E492" s="6" t="s">
        <v>93</v>
      </c>
      <c r="F492" s="6" t="s">
        <v>164</v>
      </c>
      <c r="G492" s="6" t="n">
        <v>28</v>
      </c>
      <c r="H492" s="6" t="s">
        <v>82</v>
      </c>
      <c r="I492" s="6" t="s">
        <v>80</v>
      </c>
      <c r="J492" s="6" t="s">
        <v>60</v>
      </c>
      <c r="K492" s="6" t="n">
        <v>93069</v>
      </c>
      <c r="L492" s="6" t="n">
        <v>110228</v>
      </c>
      <c r="M492" s="6" t="s">
        <v>142</v>
      </c>
      <c r="N492" s="6" t="n">
        <v>54</v>
      </c>
      <c r="O492" s="6" t="s">
        <v>60</v>
      </c>
      <c r="P492" s="6" t="n">
        <v>4</v>
      </c>
      <c r="Q492" s="6" t="n">
        <v>20</v>
      </c>
      <c r="R492" s="20" t="n">
        <f aca="false">(L492-K492)/K492</f>
        <v>0.184368586747467</v>
      </c>
    </row>
    <row r="493" customFormat="false" ht="15" hidden="false" customHeight="false" outlineLevel="0" collapsed="false">
      <c r="A493" s="6" t="s">
        <v>655</v>
      </c>
      <c r="B493" s="6" t="n">
        <v>43</v>
      </c>
      <c r="C493" s="6" t="s">
        <v>159</v>
      </c>
      <c r="D493" s="6" t="s">
        <v>144</v>
      </c>
      <c r="E493" s="6" t="s">
        <v>89</v>
      </c>
      <c r="F493" s="6" t="s">
        <v>162</v>
      </c>
      <c r="G493" s="6" t="n">
        <v>17</v>
      </c>
      <c r="H493" s="6" t="s">
        <v>82</v>
      </c>
      <c r="I493" s="6" t="s">
        <v>81</v>
      </c>
      <c r="J493" s="6" t="s">
        <v>58</v>
      </c>
      <c r="K493" s="6" t="n">
        <v>57691</v>
      </c>
      <c r="L493" s="6" t="n">
        <v>46571</v>
      </c>
      <c r="M493" s="6" t="s">
        <v>146</v>
      </c>
      <c r="N493" s="6" t="n">
        <v>39</v>
      </c>
      <c r="O493" s="6" t="s">
        <v>60</v>
      </c>
      <c r="P493" s="6" t="n">
        <v>6</v>
      </c>
      <c r="Q493" s="6" t="n">
        <v>-19.46</v>
      </c>
      <c r="R493" s="20" t="n">
        <f aca="false">(L493-K493)/K493</f>
        <v>-0.192751035690142</v>
      </c>
    </row>
    <row r="494" customFormat="false" ht="15" hidden="false" customHeight="false" outlineLevel="0" collapsed="false">
      <c r="A494" s="6" t="s">
        <v>656</v>
      </c>
      <c r="B494" s="6" t="n">
        <v>49</v>
      </c>
      <c r="C494" s="6" t="s">
        <v>134</v>
      </c>
      <c r="D494" s="6" t="s">
        <v>144</v>
      </c>
      <c r="E494" s="6" t="s">
        <v>89</v>
      </c>
      <c r="F494" s="6" t="s">
        <v>153</v>
      </c>
      <c r="G494" s="6" t="n">
        <v>26</v>
      </c>
      <c r="H494" s="6" t="s">
        <v>82</v>
      </c>
      <c r="I494" s="6" t="s">
        <v>80</v>
      </c>
      <c r="J494" s="6" t="s">
        <v>58</v>
      </c>
      <c r="K494" s="6" t="n">
        <v>49710</v>
      </c>
      <c r="L494" s="6" t="n">
        <v>58688</v>
      </c>
      <c r="M494" s="6" t="s">
        <v>142</v>
      </c>
      <c r="N494" s="6" t="n">
        <v>42</v>
      </c>
      <c r="O494" s="6" t="s">
        <v>58</v>
      </c>
      <c r="P494" s="6" t="n">
        <v>4</v>
      </c>
      <c r="Q494" s="6" t="n">
        <v>-6.68</v>
      </c>
      <c r="R494" s="20" t="n">
        <f aca="false">(L494-K494)/K494</f>
        <v>0.180607523637095</v>
      </c>
    </row>
    <row r="495" customFormat="false" ht="15" hidden="false" customHeight="false" outlineLevel="0" collapsed="false">
      <c r="A495" s="6" t="s">
        <v>657</v>
      </c>
      <c r="B495" s="6" t="n">
        <v>29</v>
      </c>
      <c r="C495" s="6" t="s">
        <v>159</v>
      </c>
      <c r="D495" s="6" t="s">
        <v>148</v>
      </c>
      <c r="E495" s="6" t="s">
        <v>93</v>
      </c>
      <c r="F495" s="6" t="s">
        <v>181</v>
      </c>
      <c r="G495" s="6" t="n">
        <v>5</v>
      </c>
      <c r="H495" s="6" t="s">
        <v>80</v>
      </c>
      <c r="I495" s="6" t="s">
        <v>82</v>
      </c>
      <c r="J495" s="6" t="s">
        <v>60</v>
      </c>
      <c r="K495" s="6" t="n">
        <v>57413</v>
      </c>
      <c r="L495" s="6" t="n">
        <v>58234</v>
      </c>
      <c r="M495" s="6" t="s">
        <v>142</v>
      </c>
      <c r="N495" s="6" t="n">
        <v>37</v>
      </c>
      <c r="O495" s="6" t="s">
        <v>60</v>
      </c>
      <c r="P495" s="6" t="n">
        <v>6</v>
      </c>
      <c r="Q495" s="6" t="n">
        <v>-18.25</v>
      </c>
      <c r="R495" s="20" t="n">
        <f aca="false">(L495-K495)/K495</f>
        <v>0.0142998972358177</v>
      </c>
    </row>
    <row r="496" customFormat="false" ht="15" hidden="false" customHeight="false" outlineLevel="0" collapsed="false">
      <c r="A496" s="6" t="s">
        <v>658</v>
      </c>
      <c r="B496" s="6" t="n">
        <v>34</v>
      </c>
      <c r="C496" s="6" t="s">
        <v>134</v>
      </c>
      <c r="D496" s="6" t="s">
        <v>135</v>
      </c>
      <c r="E496" s="6" t="s">
        <v>91</v>
      </c>
      <c r="F496" s="6" t="s">
        <v>141</v>
      </c>
      <c r="G496" s="6" t="n">
        <v>8</v>
      </c>
      <c r="H496" s="6" t="s">
        <v>81</v>
      </c>
      <c r="I496" s="6" t="s">
        <v>80</v>
      </c>
      <c r="J496" s="6" t="s">
        <v>60</v>
      </c>
      <c r="K496" s="6" t="n">
        <v>42297</v>
      </c>
      <c r="L496" s="6" t="n">
        <v>49505</v>
      </c>
      <c r="M496" s="6" t="s">
        <v>142</v>
      </c>
      <c r="N496" s="6" t="n">
        <v>36</v>
      </c>
      <c r="O496" s="6" t="s">
        <v>60</v>
      </c>
      <c r="P496" s="6" t="n">
        <v>5</v>
      </c>
      <c r="Q496" s="6" t="n">
        <v>-10.77</v>
      </c>
      <c r="R496" s="20" t="n">
        <f aca="false">(L496-K496)/K496</f>
        <v>0.17041397735064</v>
      </c>
    </row>
    <row r="497" customFormat="false" ht="15" hidden="false" customHeight="false" outlineLevel="0" collapsed="false">
      <c r="A497" s="6" t="s">
        <v>659</v>
      </c>
      <c r="B497" s="6" t="n">
        <v>22</v>
      </c>
      <c r="C497" s="6" t="s">
        <v>139</v>
      </c>
      <c r="D497" s="6" t="s">
        <v>144</v>
      </c>
      <c r="E497" s="6" t="s">
        <v>90</v>
      </c>
      <c r="F497" s="6" t="s">
        <v>236</v>
      </c>
      <c r="G497" s="6" t="n">
        <v>0</v>
      </c>
      <c r="H497" s="6" t="s">
        <v>80</v>
      </c>
      <c r="I497" s="6" t="s">
        <v>82</v>
      </c>
      <c r="J497" s="6" t="s">
        <v>60</v>
      </c>
      <c r="K497" s="6" t="n">
        <v>83574</v>
      </c>
      <c r="L497" s="6" t="n">
        <v>84055</v>
      </c>
      <c r="M497" s="6" t="s">
        <v>142</v>
      </c>
      <c r="N497" s="6" t="n">
        <v>37</v>
      </c>
      <c r="O497" s="6" t="s">
        <v>60</v>
      </c>
      <c r="P497" s="6" t="n">
        <v>5</v>
      </c>
      <c r="Q497" s="6" t="n">
        <v>3.55</v>
      </c>
      <c r="R497" s="20" t="n">
        <f aca="false">(L497-K497)/K497</f>
        <v>0.00575537846698734</v>
      </c>
    </row>
    <row r="498" customFormat="false" ht="15" hidden="false" customHeight="false" outlineLevel="0" collapsed="false">
      <c r="A498" s="6" t="s">
        <v>660</v>
      </c>
      <c r="B498" s="6" t="n">
        <v>48</v>
      </c>
      <c r="C498" s="6" t="s">
        <v>139</v>
      </c>
      <c r="D498" s="6" t="s">
        <v>140</v>
      </c>
      <c r="E498" s="6" t="s">
        <v>89</v>
      </c>
      <c r="F498" s="6" t="s">
        <v>162</v>
      </c>
      <c r="G498" s="6" t="n">
        <v>25</v>
      </c>
      <c r="H498" s="6" t="s">
        <v>81</v>
      </c>
      <c r="I498" s="6" t="s">
        <v>81</v>
      </c>
      <c r="J498" s="6" t="s">
        <v>60</v>
      </c>
      <c r="K498" s="6" t="n">
        <v>49149</v>
      </c>
      <c r="L498" s="6" t="n">
        <v>53405</v>
      </c>
      <c r="M498" s="6" t="s">
        <v>146</v>
      </c>
      <c r="N498" s="6" t="n">
        <v>54</v>
      </c>
      <c r="O498" s="6" t="s">
        <v>58</v>
      </c>
      <c r="P498" s="6" t="n">
        <v>7</v>
      </c>
      <c r="Q498" s="6" t="n">
        <v>39.55</v>
      </c>
      <c r="R498" s="20" t="n">
        <f aca="false">(L498-K498)/K498</f>
        <v>0.0865938269344239</v>
      </c>
    </row>
    <row r="499" customFormat="false" ht="15" hidden="false" customHeight="false" outlineLevel="0" collapsed="false">
      <c r="A499" s="6" t="s">
        <v>661</v>
      </c>
      <c r="B499" s="6" t="n">
        <v>48</v>
      </c>
      <c r="C499" s="6" t="s">
        <v>134</v>
      </c>
      <c r="D499" s="6" t="s">
        <v>135</v>
      </c>
      <c r="E499" s="6" t="s">
        <v>92</v>
      </c>
      <c r="F499" s="6" t="s">
        <v>192</v>
      </c>
      <c r="G499" s="6" t="n">
        <v>25</v>
      </c>
      <c r="H499" s="6" t="s">
        <v>81</v>
      </c>
      <c r="I499" s="6" t="s">
        <v>80</v>
      </c>
      <c r="J499" s="6" t="s">
        <v>60</v>
      </c>
      <c r="K499" s="6" t="n">
        <v>93811</v>
      </c>
      <c r="L499" s="6" t="n">
        <v>108274</v>
      </c>
      <c r="M499" s="6" t="s">
        <v>142</v>
      </c>
      <c r="N499" s="6" t="n">
        <v>47</v>
      </c>
      <c r="O499" s="6" t="s">
        <v>58</v>
      </c>
      <c r="P499" s="6" t="n">
        <v>6</v>
      </c>
      <c r="Q499" s="6" t="n">
        <v>34.13</v>
      </c>
      <c r="R499" s="20" t="n">
        <f aca="false">(L499-K499)/K499</f>
        <v>0.154171685623221</v>
      </c>
    </row>
    <row r="500" customFormat="false" ht="15" hidden="false" customHeight="false" outlineLevel="0" collapsed="false">
      <c r="A500" s="6" t="s">
        <v>662</v>
      </c>
      <c r="B500" s="6" t="n">
        <v>44</v>
      </c>
      <c r="C500" s="6" t="s">
        <v>159</v>
      </c>
      <c r="D500" s="6" t="s">
        <v>148</v>
      </c>
      <c r="E500" s="6" t="s">
        <v>93</v>
      </c>
      <c r="F500" s="6" t="s">
        <v>197</v>
      </c>
      <c r="G500" s="6" t="n">
        <v>21</v>
      </c>
      <c r="H500" s="6" t="s">
        <v>80</v>
      </c>
      <c r="I500" s="6" t="s">
        <v>80</v>
      </c>
      <c r="J500" s="6" t="s">
        <v>58</v>
      </c>
      <c r="K500" s="6" t="n">
        <v>42602</v>
      </c>
      <c r="L500" s="6" t="n">
        <v>41883</v>
      </c>
      <c r="M500" s="6" t="s">
        <v>142</v>
      </c>
      <c r="N500" s="6" t="n">
        <v>35</v>
      </c>
      <c r="O500" s="6" t="s">
        <v>60</v>
      </c>
      <c r="P500" s="6" t="n">
        <v>3</v>
      </c>
      <c r="Q500" s="6" t="n">
        <v>-17.66</v>
      </c>
      <c r="R500" s="20" t="n">
        <f aca="false">(L500-K500)/K500</f>
        <v>-0.0168771419182198</v>
      </c>
    </row>
    <row r="501" customFormat="false" ht="15" hidden="false" customHeight="false" outlineLevel="0" collapsed="false">
      <c r="A501" s="6" t="s">
        <v>663</v>
      </c>
      <c r="B501" s="6" t="n">
        <v>43</v>
      </c>
      <c r="C501" s="6" t="s">
        <v>139</v>
      </c>
      <c r="D501" s="6" t="s">
        <v>140</v>
      </c>
      <c r="E501" s="6" t="s">
        <v>92</v>
      </c>
      <c r="F501" s="6" t="s">
        <v>136</v>
      </c>
      <c r="G501" s="6" t="n">
        <v>20</v>
      </c>
      <c r="H501" s="6" t="s">
        <v>81</v>
      </c>
      <c r="I501" s="6" t="s">
        <v>81</v>
      </c>
      <c r="J501" s="6" t="s">
        <v>58</v>
      </c>
      <c r="K501" s="6" t="n">
        <v>94503</v>
      </c>
      <c r="L501" s="6" t="n">
        <v>93061</v>
      </c>
      <c r="M501" s="6" t="s">
        <v>146</v>
      </c>
      <c r="N501" s="6" t="n">
        <v>39</v>
      </c>
      <c r="O501" s="6" t="s">
        <v>60</v>
      </c>
      <c r="P501" s="6" t="n">
        <v>5</v>
      </c>
      <c r="Q501" s="6" t="n">
        <v>37.03</v>
      </c>
      <c r="R501" s="20" t="n">
        <f aca="false">(L501-K501)/K501</f>
        <v>-0.0152587748537083</v>
      </c>
    </row>
    <row r="502" customFormat="false" ht="15" hidden="false" customHeight="false" outlineLevel="0" collapsed="false">
      <c r="A502" s="6" t="s">
        <v>664</v>
      </c>
      <c r="B502" s="6" t="n">
        <v>42</v>
      </c>
      <c r="C502" s="6" t="s">
        <v>139</v>
      </c>
      <c r="D502" s="6" t="s">
        <v>148</v>
      </c>
      <c r="E502" s="6" t="s">
        <v>91</v>
      </c>
      <c r="F502" s="6" t="s">
        <v>206</v>
      </c>
      <c r="G502" s="6" t="n">
        <v>18</v>
      </c>
      <c r="H502" s="6" t="s">
        <v>82</v>
      </c>
      <c r="I502" s="6" t="s">
        <v>82</v>
      </c>
      <c r="J502" s="6" t="s">
        <v>60</v>
      </c>
      <c r="K502" s="6" t="n">
        <v>89979</v>
      </c>
      <c r="L502" s="6" t="n">
        <v>112947</v>
      </c>
      <c r="M502" s="6" t="s">
        <v>146</v>
      </c>
      <c r="N502" s="6" t="n">
        <v>41</v>
      </c>
      <c r="O502" s="6" t="s">
        <v>58</v>
      </c>
      <c r="P502" s="6" t="n">
        <v>9</v>
      </c>
      <c r="Q502" s="6" t="n">
        <v>-3.05</v>
      </c>
      <c r="R502" s="20" t="n">
        <f aca="false">(L502-K502)/K502</f>
        <v>0.255259560564132</v>
      </c>
    </row>
    <row r="503" customFormat="false" ht="15" hidden="false" customHeight="false" outlineLevel="0" collapsed="false">
      <c r="A503" s="6" t="s">
        <v>665</v>
      </c>
      <c r="B503" s="6" t="n">
        <v>28</v>
      </c>
      <c r="C503" s="6" t="s">
        <v>134</v>
      </c>
      <c r="D503" s="6" t="s">
        <v>144</v>
      </c>
      <c r="E503" s="6" t="s">
        <v>91</v>
      </c>
      <c r="F503" s="6" t="s">
        <v>208</v>
      </c>
      <c r="G503" s="6" t="n">
        <v>5</v>
      </c>
      <c r="H503" s="6" t="s">
        <v>81</v>
      </c>
      <c r="I503" s="6" t="s">
        <v>81</v>
      </c>
      <c r="J503" s="6" t="s">
        <v>58</v>
      </c>
      <c r="K503" s="6" t="n">
        <v>75607</v>
      </c>
      <c r="L503" s="6" t="n">
        <v>77140</v>
      </c>
      <c r="M503" s="6" t="s">
        <v>146</v>
      </c>
      <c r="N503" s="6" t="n">
        <v>44</v>
      </c>
      <c r="O503" s="6" t="s">
        <v>58</v>
      </c>
      <c r="P503" s="6" t="n">
        <v>6</v>
      </c>
      <c r="Q503" s="6" t="n">
        <v>25.79</v>
      </c>
      <c r="R503" s="20" t="n">
        <f aca="false">(L503-K503)/K503</f>
        <v>0.0202759003795945</v>
      </c>
    </row>
    <row r="504" customFormat="false" ht="15" hidden="false" customHeight="false" outlineLevel="0" collapsed="false">
      <c r="A504" s="6" t="s">
        <v>666</v>
      </c>
      <c r="B504" s="6" t="n">
        <v>36</v>
      </c>
      <c r="C504" s="6" t="s">
        <v>134</v>
      </c>
      <c r="D504" s="6" t="s">
        <v>135</v>
      </c>
      <c r="E504" s="6" t="s">
        <v>88</v>
      </c>
      <c r="F504" s="6" t="s">
        <v>179</v>
      </c>
      <c r="G504" s="6" t="n">
        <v>13</v>
      </c>
      <c r="H504" s="6" t="s">
        <v>82</v>
      </c>
      <c r="I504" s="6" t="s">
        <v>80</v>
      </c>
      <c r="J504" s="6" t="s">
        <v>58</v>
      </c>
      <c r="K504" s="6" t="n">
        <v>50700</v>
      </c>
      <c r="L504" s="6" t="n">
        <v>48326</v>
      </c>
      <c r="M504" s="6" t="s">
        <v>142</v>
      </c>
      <c r="N504" s="6" t="n">
        <v>50</v>
      </c>
      <c r="O504" s="6" t="s">
        <v>60</v>
      </c>
      <c r="P504" s="6" t="n">
        <v>9</v>
      </c>
      <c r="Q504" s="6" t="n">
        <v>-2.26</v>
      </c>
      <c r="R504" s="20" t="n">
        <f aca="false">(L504-K504)/K504</f>
        <v>-0.0468244575936884</v>
      </c>
    </row>
    <row r="505" customFormat="false" ht="15" hidden="false" customHeight="false" outlineLevel="0" collapsed="false">
      <c r="A505" s="6" t="s">
        <v>667</v>
      </c>
      <c r="B505" s="6" t="n">
        <v>49</v>
      </c>
      <c r="C505" s="6" t="s">
        <v>134</v>
      </c>
      <c r="D505" s="6" t="s">
        <v>135</v>
      </c>
      <c r="E505" s="6" t="s">
        <v>89</v>
      </c>
      <c r="F505" s="6" t="s">
        <v>153</v>
      </c>
      <c r="G505" s="6" t="n">
        <v>27</v>
      </c>
      <c r="H505" s="6" t="s">
        <v>82</v>
      </c>
      <c r="I505" s="6" t="s">
        <v>81</v>
      </c>
      <c r="J505" s="6" t="s">
        <v>58</v>
      </c>
      <c r="K505" s="6" t="n">
        <v>50954</v>
      </c>
      <c r="L505" s="6" t="n">
        <v>42872</v>
      </c>
      <c r="M505" s="6" t="s">
        <v>146</v>
      </c>
      <c r="N505" s="6" t="n">
        <v>39</v>
      </c>
      <c r="O505" s="6" t="s">
        <v>60</v>
      </c>
      <c r="P505" s="6" t="n">
        <v>3</v>
      </c>
      <c r="Q505" s="6" t="n">
        <v>36.45</v>
      </c>
      <c r="R505" s="20" t="n">
        <f aca="false">(L505-K505)/K505</f>
        <v>-0.15861365152883</v>
      </c>
    </row>
    <row r="506" customFormat="false" ht="15" hidden="false" customHeight="false" outlineLevel="0" collapsed="false">
      <c r="A506" s="6" t="s">
        <v>668</v>
      </c>
      <c r="B506" s="6" t="n">
        <v>24</v>
      </c>
      <c r="C506" s="6" t="s">
        <v>134</v>
      </c>
      <c r="D506" s="6" t="s">
        <v>135</v>
      </c>
      <c r="E506" s="6" t="s">
        <v>92</v>
      </c>
      <c r="F506" s="6" t="s">
        <v>136</v>
      </c>
      <c r="G506" s="6" t="n">
        <v>0</v>
      </c>
      <c r="H506" s="6" t="s">
        <v>82</v>
      </c>
      <c r="I506" s="6" t="s">
        <v>81</v>
      </c>
      <c r="J506" s="6" t="s">
        <v>60</v>
      </c>
      <c r="K506" s="6" t="n">
        <v>75095</v>
      </c>
      <c r="L506" s="6" t="n">
        <v>62222</v>
      </c>
      <c r="M506" s="6" t="s">
        <v>146</v>
      </c>
      <c r="N506" s="6" t="n">
        <v>44</v>
      </c>
      <c r="O506" s="6" t="s">
        <v>60</v>
      </c>
      <c r="P506" s="6" t="n">
        <v>6</v>
      </c>
      <c r="Q506" s="6" t="n">
        <v>23.6</v>
      </c>
      <c r="R506" s="20" t="n">
        <f aca="false">(L506-K506)/K506</f>
        <v>-0.171422864371796</v>
      </c>
    </row>
    <row r="507" customFormat="false" ht="15" hidden="false" customHeight="false" outlineLevel="0" collapsed="false">
      <c r="A507" s="6" t="s">
        <v>669</v>
      </c>
      <c r="B507" s="6" t="n">
        <v>24</v>
      </c>
      <c r="C507" s="6" t="s">
        <v>139</v>
      </c>
      <c r="D507" s="6" t="s">
        <v>135</v>
      </c>
      <c r="E507" s="6" t="s">
        <v>91</v>
      </c>
      <c r="F507" s="6" t="s">
        <v>141</v>
      </c>
      <c r="G507" s="6" t="n">
        <v>1</v>
      </c>
      <c r="H507" s="6" t="s">
        <v>80</v>
      </c>
      <c r="I507" s="6" t="s">
        <v>82</v>
      </c>
      <c r="J507" s="6" t="s">
        <v>58</v>
      </c>
      <c r="K507" s="6" t="n">
        <v>57056</v>
      </c>
      <c r="L507" s="6" t="n">
        <v>58816</v>
      </c>
      <c r="M507" s="6" t="s">
        <v>142</v>
      </c>
      <c r="N507" s="6" t="n">
        <v>47</v>
      </c>
      <c r="O507" s="6" t="s">
        <v>58</v>
      </c>
      <c r="P507" s="6" t="n">
        <v>7</v>
      </c>
      <c r="Q507" s="6" t="n">
        <v>-3.05</v>
      </c>
      <c r="R507" s="20" t="n">
        <f aca="false">(L507-K507)/K507</f>
        <v>0.0308468872686483</v>
      </c>
    </row>
    <row r="508" customFormat="false" ht="15" hidden="false" customHeight="false" outlineLevel="0" collapsed="false">
      <c r="A508" s="6" t="s">
        <v>670</v>
      </c>
      <c r="B508" s="6" t="n">
        <v>52</v>
      </c>
      <c r="C508" s="6" t="s">
        <v>139</v>
      </c>
      <c r="D508" s="6" t="s">
        <v>148</v>
      </c>
      <c r="E508" s="6" t="s">
        <v>92</v>
      </c>
      <c r="F508" s="6" t="s">
        <v>192</v>
      </c>
      <c r="G508" s="6" t="n">
        <v>26</v>
      </c>
      <c r="H508" s="6" t="s">
        <v>80</v>
      </c>
      <c r="I508" s="6" t="s">
        <v>80</v>
      </c>
      <c r="J508" s="6" t="s">
        <v>58</v>
      </c>
      <c r="K508" s="6" t="n">
        <v>87149</v>
      </c>
      <c r="L508" s="6" t="n">
        <v>89746</v>
      </c>
      <c r="M508" s="6" t="s">
        <v>142</v>
      </c>
      <c r="N508" s="6" t="n">
        <v>40</v>
      </c>
      <c r="O508" s="6" t="s">
        <v>58</v>
      </c>
      <c r="P508" s="6" t="n">
        <v>7</v>
      </c>
      <c r="Q508" s="6" t="n">
        <v>15.43</v>
      </c>
      <c r="R508" s="20" t="n">
        <f aca="false">(L508-K508)/K508</f>
        <v>0.029799538721041</v>
      </c>
    </row>
    <row r="509" customFormat="false" ht="15" hidden="false" customHeight="false" outlineLevel="0" collapsed="false">
      <c r="A509" s="6" t="s">
        <v>671</v>
      </c>
      <c r="B509" s="6" t="n">
        <v>31</v>
      </c>
      <c r="C509" s="6" t="s">
        <v>134</v>
      </c>
      <c r="D509" s="6" t="s">
        <v>140</v>
      </c>
      <c r="E509" s="6" t="s">
        <v>91</v>
      </c>
      <c r="F509" s="6" t="s">
        <v>206</v>
      </c>
      <c r="G509" s="6" t="n">
        <v>5</v>
      </c>
      <c r="H509" s="6" t="s">
        <v>81</v>
      </c>
      <c r="I509" s="6" t="s">
        <v>80</v>
      </c>
      <c r="J509" s="6" t="s">
        <v>60</v>
      </c>
      <c r="K509" s="6" t="n">
        <v>107116</v>
      </c>
      <c r="L509" s="6" t="n">
        <v>110462</v>
      </c>
      <c r="M509" s="6" t="s">
        <v>142</v>
      </c>
      <c r="N509" s="6" t="n">
        <v>49</v>
      </c>
      <c r="O509" s="6" t="s">
        <v>60</v>
      </c>
      <c r="P509" s="6" t="n">
        <v>6</v>
      </c>
      <c r="Q509" s="6" t="n">
        <v>32.96</v>
      </c>
      <c r="R509" s="20" t="n">
        <f aca="false">(L509-K509)/K509</f>
        <v>0.0312371634489712</v>
      </c>
    </row>
    <row r="510" customFormat="false" ht="15" hidden="false" customHeight="false" outlineLevel="0" collapsed="false">
      <c r="A510" s="6" t="s">
        <v>672</v>
      </c>
      <c r="B510" s="6" t="n">
        <v>49</v>
      </c>
      <c r="C510" s="6" t="s">
        <v>134</v>
      </c>
      <c r="D510" s="6" t="s">
        <v>148</v>
      </c>
      <c r="E510" s="6" t="s">
        <v>92</v>
      </c>
      <c r="F510" s="6" t="s">
        <v>136</v>
      </c>
      <c r="G510" s="6" t="n">
        <v>24</v>
      </c>
      <c r="H510" s="6" t="s">
        <v>80</v>
      </c>
      <c r="I510" s="6" t="s">
        <v>82</v>
      </c>
      <c r="J510" s="6" t="s">
        <v>58</v>
      </c>
      <c r="K510" s="6" t="n">
        <v>115029</v>
      </c>
      <c r="L510" s="6" t="n">
        <v>121902</v>
      </c>
      <c r="M510" s="6" t="s">
        <v>142</v>
      </c>
      <c r="N510" s="6" t="n">
        <v>43</v>
      </c>
      <c r="O510" s="6" t="s">
        <v>58</v>
      </c>
      <c r="P510" s="6" t="n">
        <v>7</v>
      </c>
      <c r="Q510" s="6" t="n">
        <v>18.44</v>
      </c>
      <c r="R510" s="20" t="n">
        <f aca="false">(L510-K510)/K510</f>
        <v>0.0597501499621834</v>
      </c>
    </row>
    <row r="511" customFormat="false" ht="15" hidden="false" customHeight="false" outlineLevel="0" collapsed="false">
      <c r="A511" s="6" t="s">
        <v>673</v>
      </c>
      <c r="B511" s="6" t="n">
        <v>34</v>
      </c>
      <c r="C511" s="6" t="s">
        <v>139</v>
      </c>
      <c r="D511" s="6" t="s">
        <v>140</v>
      </c>
      <c r="E511" s="6" t="s">
        <v>89</v>
      </c>
      <c r="F511" s="6" t="s">
        <v>162</v>
      </c>
      <c r="G511" s="6" t="n">
        <v>11</v>
      </c>
      <c r="H511" s="6" t="s">
        <v>81</v>
      </c>
      <c r="I511" s="6" t="s">
        <v>80</v>
      </c>
      <c r="J511" s="6" t="s">
        <v>60</v>
      </c>
      <c r="K511" s="6" t="n">
        <v>87649</v>
      </c>
      <c r="L511" s="6" t="n">
        <v>102445</v>
      </c>
      <c r="M511" s="6" t="s">
        <v>142</v>
      </c>
      <c r="N511" s="6" t="n">
        <v>50</v>
      </c>
      <c r="O511" s="6" t="s">
        <v>58</v>
      </c>
      <c r="P511" s="6" t="n">
        <v>5</v>
      </c>
      <c r="Q511" s="6" t="n">
        <v>29.08</v>
      </c>
      <c r="R511" s="20" t="n">
        <f aca="false">(L511-K511)/K511</f>
        <v>0.168809684080822</v>
      </c>
    </row>
    <row r="512" customFormat="false" ht="15" hidden="false" customHeight="false" outlineLevel="0" collapsed="false">
      <c r="A512" s="6" t="s">
        <v>674</v>
      </c>
      <c r="B512" s="6" t="n">
        <v>35</v>
      </c>
      <c r="C512" s="6" t="s">
        <v>159</v>
      </c>
      <c r="D512" s="6" t="s">
        <v>135</v>
      </c>
      <c r="E512" s="6" t="s">
        <v>93</v>
      </c>
      <c r="F512" s="6" t="s">
        <v>181</v>
      </c>
      <c r="G512" s="6" t="n">
        <v>13</v>
      </c>
      <c r="H512" s="6" t="s">
        <v>80</v>
      </c>
      <c r="I512" s="6" t="s">
        <v>81</v>
      </c>
      <c r="J512" s="6" t="s">
        <v>58</v>
      </c>
      <c r="K512" s="6" t="n">
        <v>116511</v>
      </c>
      <c r="L512" s="6" t="n">
        <v>126448</v>
      </c>
      <c r="M512" s="6" t="s">
        <v>146</v>
      </c>
      <c r="N512" s="6" t="n">
        <v>41</v>
      </c>
      <c r="O512" s="6" t="s">
        <v>60</v>
      </c>
      <c r="P512" s="6" t="n">
        <v>8</v>
      </c>
      <c r="Q512" s="6" t="n">
        <v>28.4</v>
      </c>
      <c r="R512" s="20" t="n">
        <f aca="false">(L512-K512)/K512</f>
        <v>0.0852880843868819</v>
      </c>
    </row>
    <row r="513" customFormat="false" ht="15" hidden="false" customHeight="false" outlineLevel="0" collapsed="false">
      <c r="A513" s="6" t="s">
        <v>675</v>
      </c>
      <c r="B513" s="6" t="n">
        <v>42</v>
      </c>
      <c r="C513" s="6" t="s">
        <v>139</v>
      </c>
      <c r="D513" s="6" t="s">
        <v>148</v>
      </c>
      <c r="E513" s="6" t="s">
        <v>93</v>
      </c>
      <c r="F513" s="6" t="s">
        <v>164</v>
      </c>
      <c r="G513" s="6" t="n">
        <v>16</v>
      </c>
      <c r="H513" s="6" t="s">
        <v>82</v>
      </c>
      <c r="I513" s="6" t="s">
        <v>80</v>
      </c>
      <c r="J513" s="6" t="s">
        <v>60</v>
      </c>
      <c r="K513" s="6" t="n">
        <v>48375</v>
      </c>
      <c r="L513" s="6" t="n">
        <v>57885</v>
      </c>
      <c r="M513" s="6" t="s">
        <v>142</v>
      </c>
      <c r="N513" s="6" t="n">
        <v>44</v>
      </c>
      <c r="O513" s="6" t="s">
        <v>58</v>
      </c>
      <c r="P513" s="6" t="n">
        <v>4</v>
      </c>
      <c r="Q513" s="6" t="n">
        <v>-15.29</v>
      </c>
      <c r="R513" s="20" t="n">
        <f aca="false">(L513-K513)/K513</f>
        <v>0.196589147286822</v>
      </c>
    </row>
    <row r="514" customFormat="false" ht="15" hidden="false" customHeight="false" outlineLevel="0" collapsed="false">
      <c r="A514" s="6" t="s">
        <v>676</v>
      </c>
      <c r="B514" s="6" t="n">
        <v>53</v>
      </c>
      <c r="C514" s="6" t="s">
        <v>139</v>
      </c>
      <c r="D514" s="6" t="s">
        <v>148</v>
      </c>
      <c r="E514" s="6" t="s">
        <v>88</v>
      </c>
      <c r="F514" s="6" t="s">
        <v>234</v>
      </c>
      <c r="G514" s="6" t="n">
        <v>29</v>
      </c>
      <c r="H514" s="6" t="s">
        <v>82</v>
      </c>
      <c r="I514" s="6" t="s">
        <v>80</v>
      </c>
      <c r="J514" s="6" t="s">
        <v>60</v>
      </c>
      <c r="K514" s="6" t="n">
        <v>60881</v>
      </c>
      <c r="L514" s="6" t="n">
        <v>77220</v>
      </c>
      <c r="M514" s="6" t="s">
        <v>142</v>
      </c>
      <c r="N514" s="6" t="n">
        <v>45</v>
      </c>
      <c r="O514" s="6" t="s">
        <v>60</v>
      </c>
      <c r="P514" s="6" t="n">
        <v>4</v>
      </c>
      <c r="Q514" s="6" t="n">
        <v>15.03</v>
      </c>
      <c r="R514" s="20" t="n">
        <f aca="false">(L514-K514)/K514</f>
        <v>0.268376012220561</v>
      </c>
    </row>
    <row r="515" customFormat="false" ht="15" hidden="false" customHeight="false" outlineLevel="0" collapsed="false">
      <c r="A515" s="6" t="s">
        <v>677</v>
      </c>
      <c r="B515" s="6" t="n">
        <v>43</v>
      </c>
      <c r="C515" s="6" t="s">
        <v>159</v>
      </c>
      <c r="D515" s="6" t="s">
        <v>135</v>
      </c>
      <c r="E515" s="6" t="s">
        <v>91</v>
      </c>
      <c r="F515" s="6" t="s">
        <v>206</v>
      </c>
      <c r="G515" s="6" t="n">
        <v>21</v>
      </c>
      <c r="H515" s="6" t="s">
        <v>80</v>
      </c>
      <c r="I515" s="6" t="s">
        <v>80</v>
      </c>
      <c r="J515" s="6" t="s">
        <v>58</v>
      </c>
      <c r="K515" s="6" t="n">
        <v>98368</v>
      </c>
      <c r="L515" s="6" t="n">
        <v>102325</v>
      </c>
      <c r="M515" s="6" t="s">
        <v>142</v>
      </c>
      <c r="N515" s="6" t="n">
        <v>39</v>
      </c>
      <c r="O515" s="6" t="s">
        <v>60</v>
      </c>
      <c r="P515" s="6" t="n">
        <v>8</v>
      </c>
      <c r="Q515" s="6" t="n">
        <v>-2.21</v>
      </c>
      <c r="R515" s="20" t="n">
        <f aca="false">(L515-K515)/K515</f>
        <v>0.0402264964216005</v>
      </c>
    </row>
    <row r="516" customFormat="false" ht="15" hidden="false" customHeight="false" outlineLevel="0" collapsed="false">
      <c r="A516" s="6" t="s">
        <v>678</v>
      </c>
      <c r="B516" s="6" t="n">
        <v>22</v>
      </c>
      <c r="C516" s="6" t="s">
        <v>159</v>
      </c>
      <c r="D516" s="6" t="s">
        <v>140</v>
      </c>
      <c r="E516" s="6" t="s">
        <v>91</v>
      </c>
      <c r="F516" s="6" t="s">
        <v>208</v>
      </c>
      <c r="G516" s="6" t="n">
        <v>0</v>
      </c>
      <c r="H516" s="6" t="s">
        <v>81</v>
      </c>
      <c r="I516" s="6" t="s">
        <v>80</v>
      </c>
      <c r="J516" s="6" t="s">
        <v>60</v>
      </c>
      <c r="K516" s="6" t="n">
        <v>32610</v>
      </c>
      <c r="L516" s="6" t="n">
        <v>32961</v>
      </c>
      <c r="M516" s="6" t="s">
        <v>142</v>
      </c>
      <c r="N516" s="6" t="n">
        <v>36</v>
      </c>
      <c r="O516" s="6" t="s">
        <v>60</v>
      </c>
      <c r="P516" s="6" t="n">
        <v>9</v>
      </c>
      <c r="Q516" s="6" t="n">
        <v>35.98</v>
      </c>
      <c r="R516" s="20" t="n">
        <f aca="false">(L516-K516)/K516</f>
        <v>0.0107635694572217</v>
      </c>
    </row>
    <row r="517" customFormat="false" ht="15" hidden="false" customHeight="false" outlineLevel="0" collapsed="false">
      <c r="A517" s="6" t="s">
        <v>679</v>
      </c>
      <c r="B517" s="6" t="n">
        <v>53</v>
      </c>
      <c r="C517" s="6" t="s">
        <v>139</v>
      </c>
      <c r="D517" s="6" t="s">
        <v>140</v>
      </c>
      <c r="E517" s="6" t="s">
        <v>91</v>
      </c>
      <c r="F517" s="6" t="s">
        <v>206</v>
      </c>
      <c r="G517" s="6" t="n">
        <v>29</v>
      </c>
      <c r="H517" s="6" t="s">
        <v>82</v>
      </c>
      <c r="I517" s="6" t="s">
        <v>82</v>
      </c>
      <c r="J517" s="6" t="s">
        <v>58</v>
      </c>
      <c r="K517" s="6" t="n">
        <v>119285</v>
      </c>
      <c r="L517" s="6" t="n">
        <v>161344</v>
      </c>
      <c r="M517" s="6" t="s">
        <v>146</v>
      </c>
      <c r="N517" s="6" t="n">
        <v>41</v>
      </c>
      <c r="O517" s="6" t="s">
        <v>60</v>
      </c>
      <c r="P517" s="6" t="n">
        <v>7</v>
      </c>
      <c r="Q517" s="6" t="n">
        <v>21.68</v>
      </c>
      <c r="R517" s="20" t="n">
        <f aca="false">(L517-K517)/K517</f>
        <v>0.352592530494195</v>
      </c>
    </row>
    <row r="518" customFormat="false" ht="15" hidden="false" customHeight="false" outlineLevel="0" collapsed="false">
      <c r="A518" s="6" t="s">
        <v>680</v>
      </c>
      <c r="B518" s="6" t="n">
        <v>38</v>
      </c>
      <c r="C518" s="6" t="s">
        <v>139</v>
      </c>
      <c r="D518" s="6" t="s">
        <v>144</v>
      </c>
      <c r="E518" s="6" t="s">
        <v>88</v>
      </c>
      <c r="F518" s="6" t="s">
        <v>234</v>
      </c>
      <c r="G518" s="6" t="n">
        <v>15</v>
      </c>
      <c r="H518" s="6" t="s">
        <v>80</v>
      </c>
      <c r="I518" s="6" t="s">
        <v>81</v>
      </c>
      <c r="J518" s="6" t="s">
        <v>58</v>
      </c>
      <c r="K518" s="6" t="n">
        <v>43050</v>
      </c>
      <c r="L518" s="6" t="n">
        <v>41232</v>
      </c>
      <c r="M518" s="6" t="s">
        <v>146</v>
      </c>
      <c r="N518" s="6" t="n">
        <v>40</v>
      </c>
      <c r="O518" s="6" t="s">
        <v>60</v>
      </c>
      <c r="P518" s="6" t="n">
        <v>8</v>
      </c>
      <c r="Q518" s="6" t="n">
        <v>-11.47</v>
      </c>
      <c r="R518" s="20" t="n">
        <f aca="false">(L518-K518)/K518</f>
        <v>-0.0422299651567944</v>
      </c>
    </row>
    <row r="519" customFormat="false" ht="15" hidden="false" customHeight="false" outlineLevel="0" collapsed="false">
      <c r="A519" s="6" t="s">
        <v>681</v>
      </c>
      <c r="B519" s="6" t="n">
        <v>41</v>
      </c>
      <c r="C519" s="6" t="s">
        <v>134</v>
      </c>
      <c r="D519" s="6" t="s">
        <v>140</v>
      </c>
      <c r="E519" s="6" t="s">
        <v>90</v>
      </c>
      <c r="F519" s="6" t="s">
        <v>202</v>
      </c>
      <c r="G519" s="6" t="n">
        <v>16</v>
      </c>
      <c r="H519" s="6" t="s">
        <v>82</v>
      </c>
      <c r="I519" s="6" t="s">
        <v>81</v>
      </c>
      <c r="J519" s="6" t="s">
        <v>60</v>
      </c>
      <c r="K519" s="6" t="n">
        <v>65060</v>
      </c>
      <c r="L519" s="6" t="n">
        <v>85483</v>
      </c>
      <c r="M519" s="6" t="s">
        <v>146</v>
      </c>
      <c r="N519" s="6" t="n">
        <v>46</v>
      </c>
      <c r="O519" s="6" t="s">
        <v>60</v>
      </c>
      <c r="P519" s="6" t="n">
        <v>9</v>
      </c>
      <c r="Q519" s="6" t="n">
        <v>22.07</v>
      </c>
      <c r="R519" s="20" t="n">
        <f aca="false">(L519-K519)/K519</f>
        <v>0.31391023670458</v>
      </c>
    </row>
    <row r="520" customFormat="false" ht="15" hidden="false" customHeight="false" outlineLevel="0" collapsed="false">
      <c r="A520" s="6" t="s">
        <v>682</v>
      </c>
      <c r="B520" s="6" t="n">
        <v>22</v>
      </c>
      <c r="C520" s="6" t="s">
        <v>159</v>
      </c>
      <c r="D520" s="6" t="s">
        <v>144</v>
      </c>
      <c r="E520" s="6" t="s">
        <v>93</v>
      </c>
      <c r="F520" s="6" t="s">
        <v>181</v>
      </c>
      <c r="G520" s="6" t="n">
        <v>0</v>
      </c>
      <c r="H520" s="6" t="s">
        <v>82</v>
      </c>
      <c r="I520" s="6" t="s">
        <v>82</v>
      </c>
      <c r="J520" s="6" t="s">
        <v>58</v>
      </c>
      <c r="K520" s="6" t="n">
        <v>105225</v>
      </c>
      <c r="L520" s="6" t="n">
        <v>94473</v>
      </c>
      <c r="M520" s="6" t="s">
        <v>137</v>
      </c>
      <c r="N520" s="6" t="n">
        <v>38</v>
      </c>
      <c r="O520" s="6" t="s">
        <v>58</v>
      </c>
      <c r="P520" s="6" t="n">
        <v>4</v>
      </c>
      <c r="Q520" s="6" t="n">
        <v>27.17</v>
      </c>
      <c r="R520" s="20" t="n">
        <f aca="false">(L520-K520)/K520</f>
        <v>-0.102181040627227</v>
      </c>
    </row>
    <row r="521" customFormat="false" ht="15" hidden="false" customHeight="false" outlineLevel="0" collapsed="false">
      <c r="A521" s="6" t="s">
        <v>683</v>
      </c>
      <c r="B521" s="6" t="n">
        <v>40</v>
      </c>
      <c r="C521" s="6" t="s">
        <v>159</v>
      </c>
      <c r="D521" s="6" t="s">
        <v>135</v>
      </c>
      <c r="E521" s="6" t="s">
        <v>89</v>
      </c>
      <c r="F521" s="6" t="s">
        <v>151</v>
      </c>
      <c r="G521" s="6" t="n">
        <v>16</v>
      </c>
      <c r="H521" s="6" t="s">
        <v>81</v>
      </c>
      <c r="I521" s="6" t="s">
        <v>81</v>
      </c>
      <c r="J521" s="6" t="s">
        <v>58</v>
      </c>
      <c r="K521" s="6" t="n">
        <v>64675</v>
      </c>
      <c r="L521" s="6" t="n">
        <v>60620</v>
      </c>
      <c r="M521" s="6" t="s">
        <v>146</v>
      </c>
      <c r="N521" s="6" t="n">
        <v>35</v>
      </c>
      <c r="O521" s="6" t="s">
        <v>60</v>
      </c>
      <c r="P521" s="6" t="n">
        <v>8</v>
      </c>
      <c r="Q521" s="6" t="n">
        <v>27.85</v>
      </c>
      <c r="R521" s="20" t="n">
        <f aca="false">(L521-K521)/K521</f>
        <v>-0.0626981059141863</v>
      </c>
    </row>
    <row r="522" customFormat="false" ht="15" hidden="false" customHeight="false" outlineLevel="0" collapsed="false">
      <c r="A522" s="6" t="s">
        <v>684</v>
      </c>
      <c r="B522" s="6" t="n">
        <v>55</v>
      </c>
      <c r="C522" s="6" t="s">
        <v>139</v>
      </c>
      <c r="D522" s="6" t="s">
        <v>135</v>
      </c>
      <c r="E522" s="6" t="s">
        <v>89</v>
      </c>
      <c r="F522" s="6" t="s">
        <v>153</v>
      </c>
      <c r="G522" s="6" t="n">
        <v>29</v>
      </c>
      <c r="H522" s="6" t="s">
        <v>82</v>
      </c>
      <c r="I522" s="6" t="s">
        <v>80</v>
      </c>
      <c r="J522" s="6" t="s">
        <v>60</v>
      </c>
      <c r="K522" s="6" t="n">
        <v>75814</v>
      </c>
      <c r="L522" s="6" t="n">
        <v>71339</v>
      </c>
      <c r="M522" s="6" t="s">
        <v>142</v>
      </c>
      <c r="N522" s="6" t="n">
        <v>53</v>
      </c>
      <c r="O522" s="6" t="s">
        <v>60</v>
      </c>
      <c r="P522" s="6" t="n">
        <v>8</v>
      </c>
      <c r="Q522" s="6" t="n">
        <v>22.29</v>
      </c>
      <c r="R522" s="20" t="n">
        <f aca="false">(L522-K522)/K522</f>
        <v>-0.059026037407339</v>
      </c>
    </row>
    <row r="523" customFormat="false" ht="15" hidden="false" customHeight="false" outlineLevel="0" collapsed="false">
      <c r="A523" s="6" t="s">
        <v>685</v>
      </c>
      <c r="B523" s="6" t="n">
        <v>54</v>
      </c>
      <c r="C523" s="6" t="s">
        <v>159</v>
      </c>
      <c r="D523" s="6" t="s">
        <v>135</v>
      </c>
      <c r="E523" s="6" t="s">
        <v>87</v>
      </c>
      <c r="F523" s="6" t="s">
        <v>149</v>
      </c>
      <c r="G523" s="6" t="n">
        <v>32</v>
      </c>
      <c r="H523" s="6" t="s">
        <v>81</v>
      </c>
      <c r="I523" s="6" t="s">
        <v>82</v>
      </c>
      <c r="J523" s="6" t="s">
        <v>60</v>
      </c>
      <c r="K523" s="6" t="n">
        <v>40578</v>
      </c>
      <c r="L523" s="6" t="n">
        <v>41749</v>
      </c>
      <c r="M523" s="6" t="s">
        <v>142</v>
      </c>
      <c r="N523" s="6" t="n">
        <v>50</v>
      </c>
      <c r="O523" s="6" t="s">
        <v>60</v>
      </c>
      <c r="P523" s="6" t="n">
        <v>8</v>
      </c>
      <c r="Q523" s="6" t="n">
        <v>-1.47</v>
      </c>
      <c r="R523" s="20" t="n">
        <f aca="false">(L523-K523)/K523</f>
        <v>0.0288580018729361</v>
      </c>
    </row>
    <row r="524" customFormat="false" ht="15" hidden="false" customHeight="false" outlineLevel="0" collapsed="false">
      <c r="A524" s="6" t="s">
        <v>686</v>
      </c>
      <c r="B524" s="6" t="n">
        <v>34</v>
      </c>
      <c r="C524" s="6" t="s">
        <v>139</v>
      </c>
      <c r="D524" s="6" t="s">
        <v>140</v>
      </c>
      <c r="E524" s="6" t="s">
        <v>88</v>
      </c>
      <c r="F524" s="6" t="s">
        <v>157</v>
      </c>
      <c r="G524" s="6" t="n">
        <v>10</v>
      </c>
      <c r="H524" s="6" t="s">
        <v>80</v>
      </c>
      <c r="I524" s="6" t="s">
        <v>81</v>
      </c>
      <c r="J524" s="6" t="s">
        <v>60</v>
      </c>
      <c r="K524" s="6" t="n">
        <v>88002</v>
      </c>
      <c r="L524" s="6" t="n">
        <v>88836</v>
      </c>
      <c r="M524" s="6" t="s">
        <v>146</v>
      </c>
      <c r="N524" s="6" t="n">
        <v>44</v>
      </c>
      <c r="O524" s="6" t="s">
        <v>60</v>
      </c>
      <c r="P524" s="6" t="n">
        <v>3</v>
      </c>
      <c r="Q524" s="6" t="n">
        <v>-12.1</v>
      </c>
      <c r="R524" s="20" t="n">
        <f aca="false">(L524-K524)/K524</f>
        <v>0.00947705733960592</v>
      </c>
    </row>
    <row r="525" customFormat="false" ht="15" hidden="false" customHeight="false" outlineLevel="0" collapsed="false">
      <c r="A525" s="6" t="s">
        <v>687</v>
      </c>
      <c r="B525" s="6" t="n">
        <v>41</v>
      </c>
      <c r="C525" s="6" t="s">
        <v>159</v>
      </c>
      <c r="D525" s="6" t="s">
        <v>140</v>
      </c>
      <c r="E525" s="6" t="s">
        <v>93</v>
      </c>
      <c r="F525" s="6" t="s">
        <v>181</v>
      </c>
      <c r="G525" s="6" t="n">
        <v>16</v>
      </c>
      <c r="H525" s="6" t="s">
        <v>81</v>
      </c>
      <c r="I525" s="6" t="s">
        <v>82</v>
      </c>
      <c r="J525" s="6" t="s">
        <v>58</v>
      </c>
      <c r="K525" s="6" t="n">
        <v>57798</v>
      </c>
      <c r="L525" s="6" t="n">
        <v>57506</v>
      </c>
      <c r="M525" s="6" t="s">
        <v>142</v>
      </c>
      <c r="N525" s="6" t="n">
        <v>39</v>
      </c>
      <c r="O525" s="6" t="s">
        <v>60</v>
      </c>
      <c r="P525" s="6" t="n">
        <v>9</v>
      </c>
      <c r="Q525" s="6" t="n">
        <v>28.98</v>
      </c>
      <c r="R525" s="20" t="n">
        <f aca="false">(L525-K525)/K525</f>
        <v>-0.00505207792657185</v>
      </c>
    </row>
    <row r="526" customFormat="false" ht="15" hidden="false" customHeight="false" outlineLevel="0" collapsed="false">
      <c r="A526" s="6" t="s">
        <v>688</v>
      </c>
      <c r="B526" s="6" t="n">
        <v>35</v>
      </c>
      <c r="C526" s="6" t="s">
        <v>134</v>
      </c>
      <c r="D526" s="6" t="s">
        <v>144</v>
      </c>
      <c r="E526" s="6" t="s">
        <v>90</v>
      </c>
      <c r="F526" s="6" t="s">
        <v>236</v>
      </c>
      <c r="G526" s="6" t="n">
        <v>11</v>
      </c>
      <c r="H526" s="6" t="s">
        <v>81</v>
      </c>
      <c r="I526" s="6" t="s">
        <v>81</v>
      </c>
      <c r="J526" s="6" t="s">
        <v>58</v>
      </c>
      <c r="K526" s="6" t="n">
        <v>41889</v>
      </c>
      <c r="L526" s="6" t="n">
        <v>48166</v>
      </c>
      <c r="M526" s="6" t="s">
        <v>146</v>
      </c>
      <c r="N526" s="6" t="n">
        <v>52</v>
      </c>
      <c r="O526" s="6" t="s">
        <v>60</v>
      </c>
      <c r="P526" s="6" t="n">
        <v>6</v>
      </c>
      <c r="Q526" s="6" t="n">
        <v>34.37</v>
      </c>
      <c r="R526" s="20" t="n">
        <f aca="false">(L526-K526)/K526</f>
        <v>0.149848408890162</v>
      </c>
    </row>
    <row r="527" customFormat="false" ht="15" hidden="false" customHeight="false" outlineLevel="0" collapsed="false">
      <c r="A527" s="6" t="s">
        <v>689</v>
      </c>
      <c r="B527" s="6" t="n">
        <v>37</v>
      </c>
      <c r="C527" s="6" t="s">
        <v>134</v>
      </c>
      <c r="D527" s="6" t="s">
        <v>135</v>
      </c>
      <c r="E527" s="6" t="s">
        <v>90</v>
      </c>
      <c r="F527" s="6" t="s">
        <v>202</v>
      </c>
      <c r="G527" s="6" t="n">
        <v>12</v>
      </c>
      <c r="H527" s="6" t="s">
        <v>82</v>
      </c>
      <c r="I527" s="6" t="s">
        <v>81</v>
      </c>
      <c r="J527" s="6" t="s">
        <v>58</v>
      </c>
      <c r="K527" s="6" t="n">
        <v>30112</v>
      </c>
      <c r="L527" s="6" t="n">
        <v>24447</v>
      </c>
      <c r="M527" s="6" t="s">
        <v>146</v>
      </c>
      <c r="N527" s="6" t="n">
        <v>39</v>
      </c>
      <c r="O527" s="6" t="s">
        <v>58</v>
      </c>
      <c r="P527" s="6" t="n">
        <v>5</v>
      </c>
      <c r="Q527" s="6" t="n">
        <v>3.44</v>
      </c>
      <c r="R527" s="20" t="n">
        <f aca="false">(L527-K527)/K527</f>
        <v>-0.188130977683316</v>
      </c>
    </row>
    <row r="528" customFormat="false" ht="15" hidden="false" customHeight="false" outlineLevel="0" collapsed="false">
      <c r="A528" s="6" t="s">
        <v>690</v>
      </c>
      <c r="B528" s="6" t="n">
        <v>33</v>
      </c>
      <c r="C528" s="6" t="s">
        <v>139</v>
      </c>
      <c r="D528" s="6" t="s">
        <v>148</v>
      </c>
      <c r="E528" s="6" t="s">
        <v>91</v>
      </c>
      <c r="F528" s="6" t="s">
        <v>141</v>
      </c>
      <c r="G528" s="6" t="n">
        <v>11</v>
      </c>
      <c r="H528" s="6" t="s">
        <v>82</v>
      </c>
      <c r="I528" s="6" t="s">
        <v>81</v>
      </c>
      <c r="J528" s="6" t="s">
        <v>60</v>
      </c>
      <c r="K528" s="6" t="n">
        <v>49552</v>
      </c>
      <c r="L528" s="6" t="n">
        <v>52442</v>
      </c>
      <c r="M528" s="6" t="s">
        <v>146</v>
      </c>
      <c r="N528" s="6" t="n">
        <v>39</v>
      </c>
      <c r="O528" s="6" t="s">
        <v>58</v>
      </c>
      <c r="P528" s="6" t="n">
        <v>8</v>
      </c>
      <c r="Q528" s="6" t="n">
        <v>32.68</v>
      </c>
      <c r="R528" s="20" t="n">
        <f aca="false">(L528-K528)/K528</f>
        <v>0.0583225702292541</v>
      </c>
    </row>
    <row r="529" customFormat="false" ht="15" hidden="false" customHeight="false" outlineLevel="0" collapsed="false">
      <c r="A529" s="6" t="s">
        <v>691</v>
      </c>
      <c r="B529" s="6" t="n">
        <v>54</v>
      </c>
      <c r="C529" s="6" t="s">
        <v>159</v>
      </c>
      <c r="D529" s="6" t="s">
        <v>135</v>
      </c>
      <c r="E529" s="6" t="s">
        <v>90</v>
      </c>
      <c r="F529" s="6" t="s">
        <v>202</v>
      </c>
      <c r="G529" s="6" t="n">
        <v>31</v>
      </c>
      <c r="H529" s="6" t="s">
        <v>80</v>
      </c>
      <c r="I529" s="6" t="s">
        <v>81</v>
      </c>
      <c r="J529" s="6" t="s">
        <v>60</v>
      </c>
      <c r="K529" s="6" t="n">
        <v>111938</v>
      </c>
      <c r="L529" s="6" t="n">
        <v>117717</v>
      </c>
      <c r="M529" s="6" t="s">
        <v>146</v>
      </c>
      <c r="N529" s="6" t="n">
        <v>49</v>
      </c>
      <c r="O529" s="6" t="s">
        <v>58</v>
      </c>
      <c r="P529" s="6" t="n">
        <v>9</v>
      </c>
      <c r="Q529" s="6" t="n">
        <v>-15.67</v>
      </c>
      <c r="R529" s="20" t="n">
        <f aca="false">(L529-K529)/K529</f>
        <v>0.0516267934034912</v>
      </c>
    </row>
    <row r="530" customFormat="false" ht="15" hidden="false" customHeight="false" outlineLevel="0" collapsed="false">
      <c r="A530" s="6" t="s">
        <v>692</v>
      </c>
      <c r="B530" s="6" t="n">
        <v>25</v>
      </c>
      <c r="C530" s="6" t="s">
        <v>139</v>
      </c>
      <c r="D530" s="6" t="s">
        <v>144</v>
      </c>
      <c r="E530" s="6" t="s">
        <v>90</v>
      </c>
      <c r="F530" s="6" t="s">
        <v>145</v>
      </c>
      <c r="G530" s="6" t="n">
        <v>3</v>
      </c>
      <c r="H530" s="6" t="s">
        <v>80</v>
      </c>
      <c r="I530" s="6" t="s">
        <v>82</v>
      </c>
      <c r="J530" s="6" t="s">
        <v>58</v>
      </c>
      <c r="K530" s="6" t="n">
        <v>76220</v>
      </c>
      <c r="L530" s="6" t="n">
        <v>81382</v>
      </c>
      <c r="M530" s="6" t="s">
        <v>142</v>
      </c>
      <c r="N530" s="6" t="n">
        <v>48</v>
      </c>
      <c r="O530" s="6" t="s">
        <v>60</v>
      </c>
      <c r="P530" s="6" t="n">
        <v>9</v>
      </c>
      <c r="Q530" s="6" t="n">
        <v>24.01</v>
      </c>
      <c r="R530" s="20" t="n">
        <f aca="false">(L530-K530)/K530</f>
        <v>0.067725006559958</v>
      </c>
    </row>
    <row r="531" customFormat="false" ht="15" hidden="false" customHeight="false" outlineLevel="0" collapsed="false">
      <c r="A531" s="6" t="s">
        <v>693</v>
      </c>
      <c r="B531" s="6" t="n">
        <v>40</v>
      </c>
      <c r="C531" s="6" t="s">
        <v>139</v>
      </c>
      <c r="D531" s="6" t="s">
        <v>140</v>
      </c>
      <c r="E531" s="6" t="s">
        <v>92</v>
      </c>
      <c r="F531" s="6" t="s">
        <v>136</v>
      </c>
      <c r="G531" s="6" t="n">
        <v>14</v>
      </c>
      <c r="H531" s="6" t="s">
        <v>80</v>
      </c>
      <c r="I531" s="6" t="s">
        <v>80</v>
      </c>
      <c r="J531" s="6" t="s">
        <v>58</v>
      </c>
      <c r="K531" s="6" t="n">
        <v>52931</v>
      </c>
      <c r="L531" s="6" t="n">
        <v>52490</v>
      </c>
      <c r="M531" s="6" t="s">
        <v>142</v>
      </c>
      <c r="N531" s="6" t="n">
        <v>44</v>
      </c>
      <c r="O531" s="6" t="s">
        <v>58</v>
      </c>
      <c r="P531" s="6" t="n">
        <v>3</v>
      </c>
      <c r="Q531" s="6" t="n">
        <v>-3.42</v>
      </c>
      <c r="R531" s="20" t="n">
        <f aca="false">(L531-K531)/K531</f>
        <v>-0.00833160151895864</v>
      </c>
    </row>
    <row r="532" customFormat="false" ht="15" hidden="false" customHeight="false" outlineLevel="0" collapsed="false">
      <c r="A532" s="6" t="s">
        <v>694</v>
      </c>
      <c r="B532" s="6" t="n">
        <v>29</v>
      </c>
      <c r="C532" s="6" t="s">
        <v>139</v>
      </c>
      <c r="D532" s="6" t="s">
        <v>135</v>
      </c>
      <c r="E532" s="6" t="s">
        <v>89</v>
      </c>
      <c r="F532" s="6" t="s">
        <v>153</v>
      </c>
      <c r="G532" s="6" t="n">
        <v>6</v>
      </c>
      <c r="H532" s="6" t="s">
        <v>80</v>
      </c>
      <c r="I532" s="6" t="s">
        <v>82</v>
      </c>
      <c r="J532" s="6" t="s">
        <v>58</v>
      </c>
      <c r="K532" s="6" t="n">
        <v>84845</v>
      </c>
      <c r="L532" s="6" t="n">
        <v>87204</v>
      </c>
      <c r="M532" s="6" t="s">
        <v>142</v>
      </c>
      <c r="N532" s="6" t="n">
        <v>40</v>
      </c>
      <c r="O532" s="6" t="s">
        <v>58</v>
      </c>
      <c r="P532" s="6" t="n">
        <v>4</v>
      </c>
      <c r="Q532" s="6" t="n">
        <v>-9.24</v>
      </c>
      <c r="R532" s="20" t="n">
        <f aca="false">(L532-K532)/K532</f>
        <v>0.0278036419352938</v>
      </c>
    </row>
    <row r="533" customFormat="false" ht="15" hidden="false" customHeight="false" outlineLevel="0" collapsed="false">
      <c r="A533" s="6" t="s">
        <v>695</v>
      </c>
      <c r="B533" s="6" t="n">
        <v>26</v>
      </c>
      <c r="C533" s="6" t="s">
        <v>159</v>
      </c>
      <c r="D533" s="6" t="s">
        <v>144</v>
      </c>
      <c r="E533" s="6" t="s">
        <v>92</v>
      </c>
      <c r="F533" s="6" t="s">
        <v>136</v>
      </c>
      <c r="G533" s="6" t="n">
        <v>1</v>
      </c>
      <c r="H533" s="6" t="s">
        <v>80</v>
      </c>
      <c r="I533" s="6" t="s">
        <v>82</v>
      </c>
      <c r="J533" s="6" t="s">
        <v>58</v>
      </c>
      <c r="K533" s="6" t="n">
        <v>55917</v>
      </c>
      <c r="L533" s="6" t="n">
        <v>57780</v>
      </c>
      <c r="M533" s="6" t="s">
        <v>142</v>
      </c>
      <c r="N533" s="6" t="n">
        <v>54</v>
      </c>
      <c r="O533" s="6" t="s">
        <v>58</v>
      </c>
      <c r="P533" s="6" t="n">
        <v>3</v>
      </c>
      <c r="Q533" s="6" t="n">
        <v>-8.61</v>
      </c>
      <c r="R533" s="20" t="n">
        <f aca="false">(L533-K533)/K533</f>
        <v>0.0333172380492516</v>
      </c>
    </row>
    <row r="534" customFormat="false" ht="15" hidden="false" customHeight="false" outlineLevel="0" collapsed="false">
      <c r="A534" s="6" t="s">
        <v>696</v>
      </c>
      <c r="B534" s="6" t="n">
        <v>48</v>
      </c>
      <c r="C534" s="6" t="s">
        <v>134</v>
      </c>
      <c r="D534" s="6" t="s">
        <v>135</v>
      </c>
      <c r="E534" s="6" t="s">
        <v>93</v>
      </c>
      <c r="F534" s="6" t="s">
        <v>197</v>
      </c>
      <c r="G534" s="6" t="n">
        <v>26</v>
      </c>
      <c r="H534" s="6" t="s">
        <v>80</v>
      </c>
      <c r="I534" s="6" t="s">
        <v>81</v>
      </c>
      <c r="J534" s="6" t="s">
        <v>60</v>
      </c>
      <c r="K534" s="6" t="n">
        <v>58230</v>
      </c>
      <c r="L534" s="6" t="n">
        <v>57626</v>
      </c>
      <c r="M534" s="6" t="s">
        <v>146</v>
      </c>
      <c r="N534" s="6" t="n">
        <v>37</v>
      </c>
      <c r="O534" s="6" t="s">
        <v>60</v>
      </c>
      <c r="P534" s="6" t="n">
        <v>4</v>
      </c>
      <c r="Q534" s="6" t="n">
        <v>-7.68</v>
      </c>
      <c r="R534" s="20" t="n">
        <f aca="false">(L534-K534)/K534</f>
        <v>-0.0103726601408209</v>
      </c>
    </row>
    <row r="535" customFormat="false" ht="15" hidden="false" customHeight="false" outlineLevel="0" collapsed="false">
      <c r="A535" s="6" t="s">
        <v>697</v>
      </c>
      <c r="B535" s="6" t="n">
        <v>45</v>
      </c>
      <c r="C535" s="6" t="s">
        <v>159</v>
      </c>
      <c r="D535" s="6" t="s">
        <v>140</v>
      </c>
      <c r="E535" s="6" t="s">
        <v>89</v>
      </c>
      <c r="F535" s="6" t="s">
        <v>153</v>
      </c>
      <c r="G535" s="6" t="n">
        <v>22</v>
      </c>
      <c r="H535" s="6" t="s">
        <v>80</v>
      </c>
      <c r="I535" s="6" t="s">
        <v>81</v>
      </c>
      <c r="J535" s="6" t="s">
        <v>58</v>
      </c>
      <c r="K535" s="6" t="n">
        <v>118229</v>
      </c>
      <c r="L535" s="6" t="n">
        <v>129493</v>
      </c>
      <c r="M535" s="6" t="s">
        <v>146</v>
      </c>
      <c r="N535" s="6" t="n">
        <v>41</v>
      </c>
      <c r="O535" s="6" t="s">
        <v>60</v>
      </c>
      <c r="P535" s="6" t="n">
        <v>5</v>
      </c>
      <c r="Q535" s="6" t="n">
        <v>16.22</v>
      </c>
      <c r="R535" s="20" t="n">
        <f aca="false">(L535-K535)/K535</f>
        <v>0.0952727334241176</v>
      </c>
    </row>
    <row r="536" customFormat="false" ht="15" hidden="false" customHeight="false" outlineLevel="0" collapsed="false">
      <c r="A536" s="6" t="s">
        <v>698</v>
      </c>
      <c r="B536" s="6" t="n">
        <v>50</v>
      </c>
      <c r="C536" s="6" t="s">
        <v>134</v>
      </c>
      <c r="D536" s="6" t="s">
        <v>148</v>
      </c>
      <c r="E536" s="6" t="s">
        <v>91</v>
      </c>
      <c r="F536" s="6" t="s">
        <v>206</v>
      </c>
      <c r="G536" s="6" t="n">
        <v>25</v>
      </c>
      <c r="H536" s="6" t="s">
        <v>80</v>
      </c>
      <c r="I536" s="6" t="s">
        <v>80</v>
      </c>
      <c r="J536" s="6" t="s">
        <v>60</v>
      </c>
      <c r="K536" s="6" t="n">
        <v>111882</v>
      </c>
      <c r="L536" s="6" t="n">
        <v>113510</v>
      </c>
      <c r="M536" s="6" t="s">
        <v>142</v>
      </c>
      <c r="N536" s="6" t="n">
        <v>53</v>
      </c>
      <c r="O536" s="6" t="s">
        <v>58</v>
      </c>
      <c r="P536" s="6" t="n">
        <v>6</v>
      </c>
      <c r="Q536" s="6" t="n">
        <v>21.75</v>
      </c>
      <c r="R536" s="20" t="n">
        <f aca="false">(L536-K536)/K536</f>
        <v>0.014551044850825</v>
      </c>
    </row>
    <row r="537" customFormat="false" ht="15" hidden="false" customHeight="false" outlineLevel="0" collapsed="false">
      <c r="A537" s="6" t="s">
        <v>699</v>
      </c>
      <c r="B537" s="6" t="n">
        <v>56</v>
      </c>
      <c r="C537" s="6" t="s">
        <v>139</v>
      </c>
      <c r="D537" s="6" t="s">
        <v>144</v>
      </c>
      <c r="E537" s="6" t="s">
        <v>89</v>
      </c>
      <c r="F537" s="6" t="s">
        <v>162</v>
      </c>
      <c r="G537" s="6" t="n">
        <v>33</v>
      </c>
      <c r="H537" s="6" t="s">
        <v>81</v>
      </c>
      <c r="I537" s="6" t="s">
        <v>81</v>
      </c>
      <c r="J537" s="6" t="s">
        <v>60</v>
      </c>
      <c r="K537" s="6" t="n">
        <v>60109</v>
      </c>
      <c r="L537" s="6" t="n">
        <v>65668</v>
      </c>
      <c r="M537" s="6" t="s">
        <v>146</v>
      </c>
      <c r="N537" s="6" t="n">
        <v>40</v>
      </c>
      <c r="O537" s="6" t="s">
        <v>60</v>
      </c>
      <c r="P537" s="6" t="n">
        <v>9</v>
      </c>
      <c r="Q537" s="6" t="n">
        <v>22.23</v>
      </c>
      <c r="R537" s="20" t="n">
        <f aca="false">(L537-K537)/K537</f>
        <v>0.0924819910495933</v>
      </c>
    </row>
    <row r="538" customFormat="false" ht="15" hidden="false" customHeight="false" outlineLevel="0" collapsed="false">
      <c r="A538" s="6" t="s">
        <v>700</v>
      </c>
      <c r="B538" s="6" t="n">
        <v>48</v>
      </c>
      <c r="C538" s="6" t="s">
        <v>139</v>
      </c>
      <c r="D538" s="6" t="s">
        <v>148</v>
      </c>
      <c r="E538" s="6" t="s">
        <v>87</v>
      </c>
      <c r="F538" s="6" t="s">
        <v>160</v>
      </c>
      <c r="G538" s="6" t="n">
        <v>25</v>
      </c>
      <c r="H538" s="6" t="s">
        <v>81</v>
      </c>
      <c r="I538" s="6" t="s">
        <v>82</v>
      </c>
      <c r="J538" s="6" t="s">
        <v>60</v>
      </c>
      <c r="K538" s="6" t="n">
        <v>42360</v>
      </c>
      <c r="L538" s="6" t="n">
        <v>47103</v>
      </c>
      <c r="M538" s="6" t="s">
        <v>142</v>
      </c>
      <c r="N538" s="6" t="n">
        <v>43</v>
      </c>
      <c r="O538" s="6" t="s">
        <v>60</v>
      </c>
      <c r="P538" s="6" t="n">
        <v>5</v>
      </c>
      <c r="Q538" s="6" t="n">
        <v>16.6</v>
      </c>
      <c r="R538" s="20" t="n">
        <f aca="false">(L538-K538)/K538</f>
        <v>0.111968838526912</v>
      </c>
    </row>
    <row r="539" customFormat="false" ht="15" hidden="false" customHeight="false" outlineLevel="0" collapsed="false">
      <c r="A539" s="6" t="s">
        <v>701</v>
      </c>
      <c r="B539" s="6" t="n">
        <v>57</v>
      </c>
      <c r="C539" s="6" t="s">
        <v>159</v>
      </c>
      <c r="D539" s="6" t="s">
        <v>144</v>
      </c>
      <c r="E539" s="6" t="s">
        <v>93</v>
      </c>
      <c r="F539" s="6" t="s">
        <v>181</v>
      </c>
      <c r="G539" s="6" t="n">
        <v>33</v>
      </c>
      <c r="H539" s="6" t="s">
        <v>81</v>
      </c>
      <c r="I539" s="6" t="s">
        <v>81</v>
      </c>
      <c r="J539" s="6" t="s">
        <v>58</v>
      </c>
      <c r="K539" s="6" t="n">
        <v>81707</v>
      </c>
      <c r="L539" s="6" t="n">
        <v>73585</v>
      </c>
      <c r="M539" s="6" t="s">
        <v>146</v>
      </c>
      <c r="N539" s="6" t="n">
        <v>53</v>
      </c>
      <c r="O539" s="6" t="s">
        <v>58</v>
      </c>
      <c r="P539" s="6" t="n">
        <v>4</v>
      </c>
      <c r="Q539" s="6" t="n">
        <v>-9.56</v>
      </c>
      <c r="R539" s="20" t="n">
        <f aca="false">(L539-K539)/K539</f>
        <v>-0.0994039678362931</v>
      </c>
    </row>
    <row r="540" customFormat="false" ht="15" hidden="false" customHeight="false" outlineLevel="0" collapsed="false">
      <c r="A540" s="6" t="s">
        <v>702</v>
      </c>
      <c r="B540" s="6" t="n">
        <v>46</v>
      </c>
      <c r="C540" s="6" t="s">
        <v>139</v>
      </c>
      <c r="D540" s="6" t="s">
        <v>135</v>
      </c>
      <c r="E540" s="6" t="s">
        <v>88</v>
      </c>
      <c r="F540" s="6" t="s">
        <v>179</v>
      </c>
      <c r="G540" s="6" t="n">
        <v>23</v>
      </c>
      <c r="H540" s="6" t="s">
        <v>82</v>
      </c>
      <c r="I540" s="6" t="s">
        <v>82</v>
      </c>
      <c r="J540" s="6" t="s">
        <v>58</v>
      </c>
      <c r="K540" s="6" t="n">
        <v>92260</v>
      </c>
      <c r="L540" s="6" t="n">
        <v>126104</v>
      </c>
      <c r="M540" s="6" t="s">
        <v>146</v>
      </c>
      <c r="N540" s="6" t="n">
        <v>50</v>
      </c>
      <c r="O540" s="6" t="s">
        <v>58</v>
      </c>
      <c r="P540" s="6" t="n">
        <v>7</v>
      </c>
      <c r="Q540" s="6" t="n">
        <v>24.19</v>
      </c>
      <c r="R540" s="20" t="n">
        <f aca="false">(L540-K540)/K540</f>
        <v>0.366832863646217</v>
      </c>
    </row>
    <row r="541" customFormat="false" ht="15" hidden="false" customHeight="false" outlineLevel="0" collapsed="false">
      <c r="A541" s="6" t="s">
        <v>703</v>
      </c>
      <c r="B541" s="6" t="n">
        <v>43</v>
      </c>
      <c r="C541" s="6" t="s">
        <v>159</v>
      </c>
      <c r="D541" s="6" t="s">
        <v>148</v>
      </c>
      <c r="E541" s="6" t="s">
        <v>89</v>
      </c>
      <c r="F541" s="6" t="s">
        <v>162</v>
      </c>
      <c r="G541" s="6" t="n">
        <v>18</v>
      </c>
      <c r="H541" s="6" t="s">
        <v>81</v>
      </c>
      <c r="I541" s="6" t="s">
        <v>80</v>
      </c>
      <c r="J541" s="6" t="s">
        <v>60</v>
      </c>
      <c r="K541" s="6" t="n">
        <v>114381</v>
      </c>
      <c r="L541" s="6" t="n">
        <v>126280</v>
      </c>
      <c r="M541" s="6" t="s">
        <v>142</v>
      </c>
      <c r="N541" s="6" t="n">
        <v>51</v>
      </c>
      <c r="O541" s="6" t="s">
        <v>60</v>
      </c>
      <c r="P541" s="6" t="n">
        <v>7</v>
      </c>
      <c r="Q541" s="6" t="n">
        <v>4.49</v>
      </c>
      <c r="R541" s="20" t="n">
        <f aca="false">(L541-K541)/K541</f>
        <v>0.104029515391542</v>
      </c>
    </row>
    <row r="542" customFormat="false" ht="15" hidden="false" customHeight="false" outlineLevel="0" collapsed="false">
      <c r="A542" s="6" t="s">
        <v>704</v>
      </c>
      <c r="B542" s="6" t="n">
        <v>25</v>
      </c>
      <c r="C542" s="6" t="s">
        <v>159</v>
      </c>
      <c r="D542" s="6" t="s">
        <v>148</v>
      </c>
      <c r="E542" s="6" t="s">
        <v>93</v>
      </c>
      <c r="F542" s="6" t="s">
        <v>164</v>
      </c>
      <c r="G542" s="6" t="n">
        <v>3</v>
      </c>
      <c r="H542" s="6" t="s">
        <v>82</v>
      </c>
      <c r="I542" s="6" t="s">
        <v>81</v>
      </c>
      <c r="J542" s="6" t="s">
        <v>60</v>
      </c>
      <c r="K542" s="6" t="n">
        <v>95618</v>
      </c>
      <c r="L542" s="6" t="n">
        <v>131431</v>
      </c>
      <c r="M542" s="6" t="s">
        <v>146</v>
      </c>
      <c r="N542" s="6" t="n">
        <v>47</v>
      </c>
      <c r="O542" s="6" t="s">
        <v>60</v>
      </c>
      <c r="P542" s="6" t="n">
        <v>8</v>
      </c>
      <c r="Q542" s="6" t="n">
        <v>3.94</v>
      </c>
      <c r="R542" s="20" t="n">
        <f aca="false">(L542-K542)/K542</f>
        <v>0.374542450166287</v>
      </c>
    </row>
    <row r="543" customFormat="false" ht="15" hidden="false" customHeight="false" outlineLevel="0" collapsed="false">
      <c r="A543" s="6" t="s">
        <v>705</v>
      </c>
      <c r="B543" s="6" t="n">
        <v>53</v>
      </c>
      <c r="C543" s="6" t="s">
        <v>134</v>
      </c>
      <c r="D543" s="6" t="s">
        <v>135</v>
      </c>
      <c r="E543" s="6" t="s">
        <v>92</v>
      </c>
      <c r="F543" s="6" t="s">
        <v>136</v>
      </c>
      <c r="G543" s="6" t="n">
        <v>31</v>
      </c>
      <c r="H543" s="6" t="s">
        <v>81</v>
      </c>
      <c r="I543" s="6" t="s">
        <v>80</v>
      </c>
      <c r="J543" s="6" t="s">
        <v>58</v>
      </c>
      <c r="K543" s="6" t="n">
        <v>112289</v>
      </c>
      <c r="L543" s="6" t="n">
        <v>126083</v>
      </c>
      <c r="M543" s="6" t="s">
        <v>142</v>
      </c>
      <c r="N543" s="6" t="n">
        <v>54</v>
      </c>
      <c r="O543" s="6" t="s">
        <v>60</v>
      </c>
      <c r="P543" s="6" t="n">
        <v>5</v>
      </c>
      <c r="Q543" s="6" t="n">
        <v>-0.38</v>
      </c>
      <c r="R543" s="20" t="n">
        <f aca="false">(L543-K543)/K543</f>
        <v>0.122843733580315</v>
      </c>
    </row>
    <row r="544" customFormat="false" ht="15" hidden="false" customHeight="false" outlineLevel="0" collapsed="false">
      <c r="A544" s="6" t="s">
        <v>706</v>
      </c>
      <c r="B544" s="6" t="n">
        <v>42</v>
      </c>
      <c r="C544" s="6" t="s">
        <v>159</v>
      </c>
      <c r="D544" s="6" t="s">
        <v>135</v>
      </c>
      <c r="E544" s="6" t="s">
        <v>88</v>
      </c>
      <c r="F544" s="6" t="s">
        <v>234</v>
      </c>
      <c r="G544" s="6" t="n">
        <v>20</v>
      </c>
      <c r="H544" s="6" t="s">
        <v>82</v>
      </c>
      <c r="I544" s="6" t="s">
        <v>81</v>
      </c>
      <c r="J544" s="6" t="s">
        <v>60</v>
      </c>
      <c r="K544" s="6" t="n">
        <v>90686</v>
      </c>
      <c r="L544" s="6" t="n">
        <v>117016</v>
      </c>
      <c r="M544" s="6" t="s">
        <v>146</v>
      </c>
      <c r="N544" s="6" t="n">
        <v>53</v>
      </c>
      <c r="O544" s="6" t="s">
        <v>60</v>
      </c>
      <c r="P544" s="6" t="n">
        <v>6</v>
      </c>
      <c r="Q544" s="6" t="n">
        <v>10.76</v>
      </c>
      <c r="R544" s="20" t="n">
        <f aca="false">(L544-K544)/K544</f>
        <v>0.290342500496218</v>
      </c>
    </row>
    <row r="545" customFormat="false" ht="15" hidden="false" customHeight="false" outlineLevel="0" collapsed="false">
      <c r="A545" s="6" t="s">
        <v>707</v>
      </c>
      <c r="B545" s="6" t="n">
        <v>38</v>
      </c>
      <c r="C545" s="6" t="s">
        <v>139</v>
      </c>
      <c r="D545" s="6" t="s">
        <v>135</v>
      </c>
      <c r="E545" s="6" t="s">
        <v>93</v>
      </c>
      <c r="F545" s="6" t="s">
        <v>197</v>
      </c>
      <c r="G545" s="6" t="n">
        <v>14</v>
      </c>
      <c r="H545" s="6" t="s">
        <v>81</v>
      </c>
      <c r="I545" s="6" t="s">
        <v>81</v>
      </c>
      <c r="J545" s="6" t="s">
        <v>58</v>
      </c>
      <c r="K545" s="6" t="n">
        <v>105945</v>
      </c>
      <c r="L545" s="6" t="n">
        <v>117626</v>
      </c>
      <c r="M545" s="6" t="s">
        <v>146</v>
      </c>
      <c r="N545" s="6" t="n">
        <v>41</v>
      </c>
      <c r="O545" s="6" t="s">
        <v>58</v>
      </c>
      <c r="P545" s="6" t="n">
        <v>3</v>
      </c>
      <c r="Q545" s="6" t="n">
        <v>-7.76</v>
      </c>
      <c r="R545" s="20" t="n">
        <f aca="false">(L545-K545)/K545</f>
        <v>0.110255321157204</v>
      </c>
    </row>
    <row r="546" customFormat="false" ht="15" hidden="false" customHeight="false" outlineLevel="0" collapsed="false">
      <c r="A546" s="6" t="s">
        <v>708</v>
      </c>
      <c r="B546" s="6" t="n">
        <v>44</v>
      </c>
      <c r="C546" s="6" t="s">
        <v>134</v>
      </c>
      <c r="D546" s="6" t="s">
        <v>135</v>
      </c>
      <c r="E546" s="6" t="s">
        <v>88</v>
      </c>
      <c r="F546" s="6" t="s">
        <v>234</v>
      </c>
      <c r="G546" s="6" t="n">
        <v>19</v>
      </c>
      <c r="H546" s="6" t="s">
        <v>82</v>
      </c>
      <c r="I546" s="6" t="s">
        <v>81</v>
      </c>
      <c r="J546" s="6" t="s">
        <v>58</v>
      </c>
      <c r="K546" s="6" t="n">
        <v>84318</v>
      </c>
      <c r="L546" s="6" t="n">
        <v>68947</v>
      </c>
      <c r="M546" s="6" t="s">
        <v>146</v>
      </c>
      <c r="N546" s="6" t="n">
        <v>48</v>
      </c>
      <c r="O546" s="6" t="s">
        <v>60</v>
      </c>
      <c r="P546" s="6" t="n">
        <v>7</v>
      </c>
      <c r="Q546" s="6" t="n">
        <v>1.36</v>
      </c>
      <c r="R546" s="20" t="n">
        <f aca="false">(L546-K546)/K546</f>
        <v>-0.182297967219336</v>
      </c>
    </row>
    <row r="547" customFormat="false" ht="15" hidden="false" customHeight="false" outlineLevel="0" collapsed="false">
      <c r="A547" s="6" t="s">
        <v>709</v>
      </c>
      <c r="B547" s="6" t="n">
        <v>55</v>
      </c>
      <c r="C547" s="6" t="s">
        <v>159</v>
      </c>
      <c r="D547" s="6" t="s">
        <v>148</v>
      </c>
      <c r="E547" s="6" t="s">
        <v>90</v>
      </c>
      <c r="F547" s="6" t="s">
        <v>202</v>
      </c>
      <c r="G547" s="6" t="n">
        <v>31</v>
      </c>
      <c r="H547" s="6" t="s">
        <v>80</v>
      </c>
      <c r="I547" s="6" t="s">
        <v>80</v>
      </c>
      <c r="J547" s="6" t="s">
        <v>60</v>
      </c>
      <c r="K547" s="6" t="n">
        <v>103788</v>
      </c>
      <c r="L547" s="6" t="n">
        <v>105211</v>
      </c>
      <c r="M547" s="6" t="s">
        <v>142</v>
      </c>
      <c r="N547" s="6" t="n">
        <v>35</v>
      </c>
      <c r="O547" s="6" t="s">
        <v>58</v>
      </c>
      <c r="P547" s="6" t="n">
        <v>5</v>
      </c>
      <c r="Q547" s="6" t="n">
        <v>-7.08</v>
      </c>
      <c r="R547" s="20" t="n">
        <f aca="false">(L547-K547)/K547</f>
        <v>0.0137106409218792</v>
      </c>
    </row>
    <row r="548" customFormat="false" ht="15" hidden="false" customHeight="false" outlineLevel="0" collapsed="false">
      <c r="A548" s="6" t="s">
        <v>710</v>
      </c>
      <c r="B548" s="6" t="n">
        <v>37</v>
      </c>
      <c r="C548" s="6" t="s">
        <v>139</v>
      </c>
      <c r="D548" s="6" t="s">
        <v>144</v>
      </c>
      <c r="E548" s="6" t="s">
        <v>89</v>
      </c>
      <c r="F548" s="6" t="s">
        <v>151</v>
      </c>
      <c r="G548" s="6" t="n">
        <v>14</v>
      </c>
      <c r="H548" s="6" t="s">
        <v>81</v>
      </c>
      <c r="I548" s="6" t="s">
        <v>82</v>
      </c>
      <c r="J548" s="6" t="s">
        <v>60</v>
      </c>
      <c r="K548" s="6" t="n">
        <v>64397</v>
      </c>
      <c r="L548" s="6" t="n">
        <v>76339</v>
      </c>
      <c r="M548" s="6" t="s">
        <v>142</v>
      </c>
      <c r="N548" s="6" t="n">
        <v>40</v>
      </c>
      <c r="O548" s="6" t="s">
        <v>60</v>
      </c>
      <c r="P548" s="6" t="n">
        <v>9</v>
      </c>
      <c r="Q548" s="6" t="n">
        <v>30.31</v>
      </c>
      <c r="R548" s="20" t="n">
        <f aca="false">(L548-K548)/K548</f>
        <v>0.185443421277389</v>
      </c>
    </row>
    <row r="549" customFormat="false" ht="15" hidden="false" customHeight="false" outlineLevel="0" collapsed="false">
      <c r="A549" s="6" t="s">
        <v>711</v>
      </c>
      <c r="B549" s="6" t="n">
        <v>40</v>
      </c>
      <c r="C549" s="6" t="s">
        <v>139</v>
      </c>
      <c r="D549" s="6" t="s">
        <v>144</v>
      </c>
      <c r="E549" s="6" t="s">
        <v>87</v>
      </c>
      <c r="F549" s="6" t="s">
        <v>155</v>
      </c>
      <c r="G549" s="6" t="n">
        <v>15</v>
      </c>
      <c r="H549" s="6" t="s">
        <v>82</v>
      </c>
      <c r="I549" s="6" t="s">
        <v>80</v>
      </c>
      <c r="J549" s="6" t="s">
        <v>60</v>
      </c>
      <c r="K549" s="6" t="n">
        <v>37610</v>
      </c>
      <c r="L549" s="6" t="n">
        <v>36481</v>
      </c>
      <c r="M549" s="6" t="s">
        <v>142</v>
      </c>
      <c r="N549" s="6" t="n">
        <v>37</v>
      </c>
      <c r="O549" s="6" t="s">
        <v>60</v>
      </c>
      <c r="P549" s="6" t="n">
        <v>4</v>
      </c>
      <c r="Q549" s="6" t="n">
        <v>27.21</v>
      </c>
      <c r="R549" s="20" t="n">
        <f aca="false">(L549-K549)/K549</f>
        <v>-0.0300186120712576</v>
      </c>
    </row>
    <row r="550" customFormat="false" ht="15" hidden="false" customHeight="false" outlineLevel="0" collapsed="false">
      <c r="A550" s="6" t="s">
        <v>712</v>
      </c>
      <c r="B550" s="6" t="n">
        <v>59</v>
      </c>
      <c r="C550" s="6" t="s">
        <v>139</v>
      </c>
      <c r="D550" s="6" t="s">
        <v>144</v>
      </c>
      <c r="E550" s="6" t="s">
        <v>88</v>
      </c>
      <c r="F550" s="6" t="s">
        <v>179</v>
      </c>
      <c r="G550" s="6" t="n">
        <v>37</v>
      </c>
      <c r="H550" s="6" t="s">
        <v>81</v>
      </c>
      <c r="I550" s="6" t="s">
        <v>81</v>
      </c>
      <c r="J550" s="6" t="s">
        <v>58</v>
      </c>
      <c r="K550" s="6" t="n">
        <v>31014</v>
      </c>
      <c r="L550" s="6" t="n">
        <v>34778</v>
      </c>
      <c r="M550" s="6" t="s">
        <v>146</v>
      </c>
      <c r="N550" s="6" t="n">
        <v>53</v>
      </c>
      <c r="O550" s="6" t="s">
        <v>60</v>
      </c>
      <c r="P550" s="6" t="n">
        <v>8</v>
      </c>
      <c r="Q550" s="6" t="n">
        <v>11.29</v>
      </c>
      <c r="R550" s="20" t="n">
        <f aca="false">(L550-K550)/K550</f>
        <v>0.121364545044174</v>
      </c>
    </row>
    <row r="551" customFormat="false" ht="15" hidden="false" customHeight="false" outlineLevel="0" collapsed="false">
      <c r="A551" s="6" t="s">
        <v>713</v>
      </c>
      <c r="B551" s="6" t="n">
        <v>38</v>
      </c>
      <c r="C551" s="6" t="s">
        <v>139</v>
      </c>
      <c r="D551" s="6" t="s">
        <v>140</v>
      </c>
      <c r="E551" s="6" t="s">
        <v>92</v>
      </c>
      <c r="F551" s="6" t="s">
        <v>222</v>
      </c>
      <c r="G551" s="6" t="n">
        <v>16</v>
      </c>
      <c r="H551" s="6" t="s">
        <v>81</v>
      </c>
      <c r="I551" s="6" t="s">
        <v>82</v>
      </c>
      <c r="J551" s="6" t="s">
        <v>58</v>
      </c>
      <c r="K551" s="6" t="n">
        <v>73516</v>
      </c>
      <c r="L551" s="6" t="n">
        <v>79054</v>
      </c>
      <c r="M551" s="6" t="s">
        <v>142</v>
      </c>
      <c r="N551" s="6" t="n">
        <v>51</v>
      </c>
      <c r="O551" s="6" t="s">
        <v>60</v>
      </c>
      <c r="P551" s="6" t="n">
        <v>6</v>
      </c>
      <c r="Q551" s="6" t="n">
        <v>12.3</v>
      </c>
      <c r="R551" s="20" t="n">
        <f aca="false">(L551-K551)/K551</f>
        <v>0.075330540290549</v>
      </c>
    </row>
    <row r="552" customFormat="false" ht="15" hidden="false" customHeight="false" outlineLevel="0" collapsed="false">
      <c r="A552" s="6" t="s">
        <v>714</v>
      </c>
      <c r="B552" s="6" t="n">
        <v>49</v>
      </c>
      <c r="C552" s="6" t="s">
        <v>134</v>
      </c>
      <c r="D552" s="6" t="s">
        <v>135</v>
      </c>
      <c r="E552" s="6" t="s">
        <v>91</v>
      </c>
      <c r="F552" s="6" t="s">
        <v>208</v>
      </c>
      <c r="G552" s="6" t="n">
        <v>27</v>
      </c>
      <c r="H552" s="6" t="s">
        <v>80</v>
      </c>
      <c r="I552" s="6" t="s">
        <v>82</v>
      </c>
      <c r="J552" s="6" t="s">
        <v>58</v>
      </c>
      <c r="K552" s="6" t="n">
        <v>116664</v>
      </c>
      <c r="L552" s="6" t="n">
        <v>111443</v>
      </c>
      <c r="M552" s="6" t="s">
        <v>142</v>
      </c>
      <c r="N552" s="6" t="n">
        <v>36</v>
      </c>
      <c r="O552" s="6" t="s">
        <v>60</v>
      </c>
      <c r="P552" s="6" t="n">
        <v>7</v>
      </c>
      <c r="Q552" s="6" t="n">
        <v>27.24</v>
      </c>
      <c r="R552" s="20" t="n">
        <f aca="false">(L552-K552)/K552</f>
        <v>-0.0447524514846054</v>
      </c>
    </row>
    <row r="553" customFormat="false" ht="15" hidden="false" customHeight="false" outlineLevel="0" collapsed="false">
      <c r="A553" s="6" t="s">
        <v>715</v>
      </c>
      <c r="B553" s="6" t="n">
        <v>59</v>
      </c>
      <c r="C553" s="6" t="s">
        <v>139</v>
      </c>
      <c r="D553" s="6" t="s">
        <v>144</v>
      </c>
      <c r="E553" s="6" t="s">
        <v>88</v>
      </c>
      <c r="F553" s="6" t="s">
        <v>234</v>
      </c>
      <c r="G553" s="6" t="n">
        <v>36</v>
      </c>
      <c r="H553" s="6" t="s">
        <v>82</v>
      </c>
      <c r="I553" s="6" t="s">
        <v>80</v>
      </c>
      <c r="J553" s="6" t="s">
        <v>60</v>
      </c>
      <c r="K553" s="6" t="n">
        <v>79831</v>
      </c>
      <c r="L553" s="6" t="n">
        <v>85062</v>
      </c>
      <c r="M553" s="6" t="s">
        <v>142</v>
      </c>
      <c r="N553" s="6" t="n">
        <v>39</v>
      </c>
      <c r="O553" s="6" t="s">
        <v>58</v>
      </c>
      <c r="P553" s="6" t="n">
        <v>9</v>
      </c>
      <c r="Q553" s="6" t="n">
        <v>18.96</v>
      </c>
      <c r="R553" s="20" t="n">
        <f aca="false">(L553-K553)/K553</f>
        <v>0.0655259235134221</v>
      </c>
    </row>
    <row r="554" customFormat="false" ht="15" hidden="false" customHeight="false" outlineLevel="0" collapsed="false">
      <c r="A554" s="6" t="s">
        <v>716</v>
      </c>
      <c r="B554" s="6" t="n">
        <v>49</v>
      </c>
      <c r="C554" s="6" t="s">
        <v>139</v>
      </c>
      <c r="D554" s="6" t="s">
        <v>144</v>
      </c>
      <c r="E554" s="6" t="s">
        <v>87</v>
      </c>
      <c r="F554" s="6" t="s">
        <v>155</v>
      </c>
      <c r="G554" s="6" t="n">
        <v>26</v>
      </c>
      <c r="H554" s="6" t="s">
        <v>82</v>
      </c>
      <c r="I554" s="6" t="s">
        <v>81</v>
      </c>
      <c r="J554" s="6" t="s">
        <v>60</v>
      </c>
      <c r="K554" s="6" t="n">
        <v>54417</v>
      </c>
      <c r="L554" s="6" t="n">
        <v>59861</v>
      </c>
      <c r="M554" s="6" t="s">
        <v>146</v>
      </c>
      <c r="N554" s="6" t="n">
        <v>47</v>
      </c>
      <c r="O554" s="6" t="s">
        <v>58</v>
      </c>
      <c r="P554" s="6" t="n">
        <v>6</v>
      </c>
      <c r="Q554" s="6" t="n">
        <v>27.11</v>
      </c>
      <c r="R554" s="20" t="n">
        <f aca="false">(L554-K554)/K554</f>
        <v>0.100042266203576</v>
      </c>
    </row>
    <row r="555" customFormat="false" ht="15" hidden="false" customHeight="false" outlineLevel="0" collapsed="false">
      <c r="A555" s="6" t="s">
        <v>717</v>
      </c>
      <c r="B555" s="6" t="n">
        <v>43</v>
      </c>
      <c r="C555" s="6" t="s">
        <v>159</v>
      </c>
      <c r="D555" s="6" t="s">
        <v>148</v>
      </c>
      <c r="E555" s="6" t="s">
        <v>88</v>
      </c>
      <c r="F555" s="6" t="s">
        <v>234</v>
      </c>
      <c r="G555" s="6" t="n">
        <v>17</v>
      </c>
      <c r="H555" s="6" t="s">
        <v>80</v>
      </c>
      <c r="I555" s="6" t="s">
        <v>81</v>
      </c>
      <c r="J555" s="6" t="s">
        <v>60</v>
      </c>
      <c r="K555" s="6" t="n">
        <v>84122</v>
      </c>
      <c r="L555" s="6" t="n">
        <v>86112</v>
      </c>
      <c r="M555" s="6" t="s">
        <v>146</v>
      </c>
      <c r="N555" s="6" t="n">
        <v>49</v>
      </c>
      <c r="O555" s="6" t="s">
        <v>58</v>
      </c>
      <c r="P555" s="6" t="n">
        <v>3</v>
      </c>
      <c r="Q555" s="6" t="n">
        <v>35.63</v>
      </c>
      <c r="R555" s="20" t="n">
        <f aca="false">(L555-K555)/K555</f>
        <v>0.0236561184945674</v>
      </c>
    </row>
    <row r="556" customFormat="false" ht="15" hidden="false" customHeight="false" outlineLevel="0" collapsed="false">
      <c r="A556" s="6" t="s">
        <v>718</v>
      </c>
      <c r="B556" s="6" t="n">
        <v>24</v>
      </c>
      <c r="C556" s="6" t="s">
        <v>139</v>
      </c>
      <c r="D556" s="6" t="s">
        <v>135</v>
      </c>
      <c r="E556" s="6" t="s">
        <v>87</v>
      </c>
      <c r="F556" s="6" t="s">
        <v>149</v>
      </c>
      <c r="G556" s="6" t="n">
        <v>1</v>
      </c>
      <c r="H556" s="6" t="s">
        <v>80</v>
      </c>
      <c r="I556" s="6" t="s">
        <v>82</v>
      </c>
      <c r="J556" s="6" t="s">
        <v>60</v>
      </c>
      <c r="K556" s="6" t="n">
        <v>86704</v>
      </c>
      <c r="L556" s="6" t="n">
        <v>94386</v>
      </c>
      <c r="M556" s="6" t="s">
        <v>142</v>
      </c>
      <c r="N556" s="6" t="n">
        <v>39</v>
      </c>
      <c r="O556" s="6" t="s">
        <v>60</v>
      </c>
      <c r="P556" s="6" t="n">
        <v>3</v>
      </c>
      <c r="Q556" s="6" t="n">
        <v>-13.29</v>
      </c>
      <c r="R556" s="20" t="n">
        <f aca="false">(L556-K556)/K556</f>
        <v>0.0886002952574276</v>
      </c>
    </row>
    <row r="557" customFormat="false" ht="15" hidden="false" customHeight="false" outlineLevel="0" collapsed="false">
      <c r="A557" s="6" t="s">
        <v>719</v>
      </c>
      <c r="B557" s="6" t="n">
        <v>31</v>
      </c>
      <c r="C557" s="6" t="s">
        <v>139</v>
      </c>
      <c r="D557" s="6" t="s">
        <v>148</v>
      </c>
      <c r="E557" s="6" t="s">
        <v>87</v>
      </c>
      <c r="F557" s="6" t="s">
        <v>160</v>
      </c>
      <c r="G557" s="6" t="n">
        <v>6</v>
      </c>
      <c r="H557" s="6" t="s">
        <v>80</v>
      </c>
      <c r="I557" s="6" t="s">
        <v>82</v>
      </c>
      <c r="J557" s="6" t="s">
        <v>60</v>
      </c>
      <c r="K557" s="6" t="n">
        <v>48452</v>
      </c>
      <c r="L557" s="6" t="n">
        <v>51456</v>
      </c>
      <c r="M557" s="6" t="s">
        <v>142</v>
      </c>
      <c r="N557" s="6" t="n">
        <v>49</v>
      </c>
      <c r="O557" s="6" t="s">
        <v>58</v>
      </c>
      <c r="P557" s="6" t="n">
        <v>6</v>
      </c>
      <c r="Q557" s="6" t="n">
        <v>23.23</v>
      </c>
      <c r="R557" s="20" t="n">
        <f aca="false">(L557-K557)/K557</f>
        <v>0.0619995046644101</v>
      </c>
    </row>
    <row r="558" customFormat="false" ht="15" hidden="false" customHeight="false" outlineLevel="0" collapsed="false">
      <c r="A558" s="6" t="s">
        <v>720</v>
      </c>
      <c r="B558" s="6" t="n">
        <v>40</v>
      </c>
      <c r="C558" s="6" t="s">
        <v>159</v>
      </c>
      <c r="D558" s="6" t="s">
        <v>144</v>
      </c>
      <c r="E558" s="6" t="s">
        <v>93</v>
      </c>
      <c r="F558" s="6" t="s">
        <v>164</v>
      </c>
      <c r="G558" s="6" t="n">
        <v>16</v>
      </c>
      <c r="H558" s="6" t="s">
        <v>82</v>
      </c>
      <c r="I558" s="6" t="s">
        <v>81</v>
      </c>
      <c r="J558" s="6" t="s">
        <v>60</v>
      </c>
      <c r="K558" s="6" t="n">
        <v>42356</v>
      </c>
      <c r="L558" s="6" t="n">
        <v>34087</v>
      </c>
      <c r="M558" s="6" t="s">
        <v>146</v>
      </c>
      <c r="N558" s="6" t="n">
        <v>44</v>
      </c>
      <c r="O558" s="6" t="s">
        <v>60</v>
      </c>
      <c r="P558" s="6" t="n">
        <v>9</v>
      </c>
      <c r="Q558" s="6" t="n">
        <v>35.47</v>
      </c>
      <c r="R558" s="20" t="n">
        <f aca="false">(L558-K558)/K558</f>
        <v>-0.195226178109359</v>
      </c>
    </row>
    <row r="559" customFormat="false" ht="15" hidden="false" customHeight="false" outlineLevel="0" collapsed="false">
      <c r="A559" s="6" t="s">
        <v>721</v>
      </c>
      <c r="B559" s="6" t="n">
        <v>46</v>
      </c>
      <c r="C559" s="6" t="s">
        <v>159</v>
      </c>
      <c r="D559" s="6" t="s">
        <v>144</v>
      </c>
      <c r="E559" s="6" t="s">
        <v>89</v>
      </c>
      <c r="F559" s="6" t="s">
        <v>151</v>
      </c>
      <c r="G559" s="6" t="n">
        <v>20</v>
      </c>
      <c r="H559" s="6" t="s">
        <v>82</v>
      </c>
      <c r="I559" s="6" t="s">
        <v>80</v>
      </c>
      <c r="J559" s="6" t="s">
        <v>58</v>
      </c>
      <c r="K559" s="6" t="n">
        <v>62828</v>
      </c>
      <c r="L559" s="6" t="n">
        <v>63599</v>
      </c>
      <c r="M559" s="6" t="s">
        <v>142</v>
      </c>
      <c r="N559" s="6" t="n">
        <v>47</v>
      </c>
      <c r="O559" s="6" t="s">
        <v>60</v>
      </c>
      <c r="P559" s="6" t="n">
        <v>9</v>
      </c>
      <c r="Q559" s="6" t="n">
        <v>29.71</v>
      </c>
      <c r="R559" s="20" t="n">
        <f aca="false">(L559-K559)/K559</f>
        <v>0.0122715986502833</v>
      </c>
    </row>
    <row r="560" customFormat="false" ht="15" hidden="false" customHeight="false" outlineLevel="0" collapsed="false">
      <c r="A560" s="6" t="s">
        <v>722</v>
      </c>
      <c r="B560" s="6" t="n">
        <v>53</v>
      </c>
      <c r="C560" s="6" t="s">
        <v>159</v>
      </c>
      <c r="D560" s="6" t="s">
        <v>135</v>
      </c>
      <c r="E560" s="6" t="s">
        <v>87</v>
      </c>
      <c r="F560" s="6" t="s">
        <v>160</v>
      </c>
      <c r="G560" s="6" t="n">
        <v>27</v>
      </c>
      <c r="H560" s="6" t="s">
        <v>81</v>
      </c>
      <c r="I560" s="6" t="s">
        <v>82</v>
      </c>
      <c r="J560" s="6" t="s">
        <v>60</v>
      </c>
      <c r="K560" s="6" t="n">
        <v>92061</v>
      </c>
      <c r="L560" s="6" t="n">
        <v>92643</v>
      </c>
      <c r="M560" s="6" t="s">
        <v>142</v>
      </c>
      <c r="N560" s="6" t="n">
        <v>41</v>
      </c>
      <c r="O560" s="6" t="s">
        <v>58</v>
      </c>
      <c r="P560" s="6" t="n">
        <v>3</v>
      </c>
      <c r="Q560" s="6" t="n">
        <v>10.34</v>
      </c>
      <c r="R560" s="20" t="n">
        <f aca="false">(L560-K560)/K560</f>
        <v>0.00632189526509597</v>
      </c>
    </row>
    <row r="561" customFormat="false" ht="15" hidden="false" customHeight="false" outlineLevel="0" collapsed="false">
      <c r="A561" s="6" t="s">
        <v>723</v>
      </c>
      <c r="B561" s="6" t="n">
        <v>42</v>
      </c>
      <c r="C561" s="6" t="s">
        <v>134</v>
      </c>
      <c r="D561" s="6" t="s">
        <v>140</v>
      </c>
      <c r="E561" s="6" t="s">
        <v>90</v>
      </c>
      <c r="F561" s="6" t="s">
        <v>236</v>
      </c>
      <c r="G561" s="6" t="n">
        <v>16</v>
      </c>
      <c r="H561" s="6" t="s">
        <v>82</v>
      </c>
      <c r="I561" s="6" t="s">
        <v>81</v>
      </c>
      <c r="J561" s="6" t="s">
        <v>58</v>
      </c>
      <c r="K561" s="6" t="n">
        <v>30136</v>
      </c>
      <c r="L561" s="6" t="n">
        <v>25512</v>
      </c>
      <c r="M561" s="6" t="s">
        <v>146</v>
      </c>
      <c r="N561" s="6" t="n">
        <v>41</v>
      </c>
      <c r="O561" s="6" t="s">
        <v>60</v>
      </c>
      <c r="P561" s="6" t="n">
        <v>8</v>
      </c>
      <c r="Q561" s="6" t="n">
        <v>29.73</v>
      </c>
      <c r="R561" s="20" t="n">
        <f aca="false">(L561-K561)/K561</f>
        <v>-0.153437748871781</v>
      </c>
    </row>
    <row r="562" customFormat="false" ht="15" hidden="false" customHeight="false" outlineLevel="0" collapsed="false">
      <c r="A562" s="6" t="s">
        <v>724</v>
      </c>
      <c r="B562" s="6" t="n">
        <v>26</v>
      </c>
      <c r="C562" s="6" t="s">
        <v>134</v>
      </c>
      <c r="D562" s="6" t="s">
        <v>144</v>
      </c>
      <c r="E562" s="6" t="s">
        <v>90</v>
      </c>
      <c r="F562" s="6" t="s">
        <v>145</v>
      </c>
      <c r="G562" s="6" t="n">
        <v>3</v>
      </c>
      <c r="H562" s="6" t="s">
        <v>81</v>
      </c>
      <c r="I562" s="6" t="s">
        <v>81</v>
      </c>
      <c r="J562" s="6" t="s">
        <v>60</v>
      </c>
      <c r="K562" s="6" t="n">
        <v>62854</v>
      </c>
      <c r="L562" s="6" t="n">
        <v>72368</v>
      </c>
      <c r="M562" s="6" t="s">
        <v>146</v>
      </c>
      <c r="N562" s="6" t="n">
        <v>37</v>
      </c>
      <c r="O562" s="6" t="s">
        <v>58</v>
      </c>
      <c r="P562" s="6" t="n">
        <v>8</v>
      </c>
      <c r="Q562" s="6" t="n">
        <v>31.53</v>
      </c>
      <c r="R562" s="20" t="n">
        <f aca="false">(L562-K562)/K562</f>
        <v>0.151366659242053</v>
      </c>
    </row>
    <row r="563" customFormat="false" ht="15" hidden="false" customHeight="false" outlineLevel="0" collapsed="false">
      <c r="A563" s="6" t="s">
        <v>725</v>
      </c>
      <c r="B563" s="6" t="n">
        <v>43</v>
      </c>
      <c r="C563" s="6" t="s">
        <v>159</v>
      </c>
      <c r="D563" s="6" t="s">
        <v>144</v>
      </c>
      <c r="E563" s="6" t="s">
        <v>93</v>
      </c>
      <c r="F563" s="6" t="s">
        <v>164</v>
      </c>
      <c r="G563" s="6" t="n">
        <v>21</v>
      </c>
      <c r="H563" s="6" t="s">
        <v>82</v>
      </c>
      <c r="I563" s="6" t="s">
        <v>80</v>
      </c>
      <c r="J563" s="6" t="s">
        <v>60</v>
      </c>
      <c r="K563" s="6" t="n">
        <v>31700</v>
      </c>
      <c r="L563" s="6" t="n">
        <v>33179</v>
      </c>
      <c r="M563" s="6" t="s">
        <v>142</v>
      </c>
      <c r="N563" s="6" t="n">
        <v>54</v>
      </c>
      <c r="O563" s="6" t="s">
        <v>60</v>
      </c>
      <c r="P563" s="6" t="n">
        <v>9</v>
      </c>
      <c r="Q563" s="6" t="n">
        <v>23.32</v>
      </c>
      <c r="R563" s="20" t="n">
        <f aca="false">(L563-K563)/K563</f>
        <v>0.0466561514195584</v>
      </c>
    </row>
    <row r="564" customFormat="false" ht="15" hidden="false" customHeight="false" outlineLevel="0" collapsed="false">
      <c r="A564" s="6" t="s">
        <v>726</v>
      </c>
      <c r="B564" s="6" t="n">
        <v>44</v>
      </c>
      <c r="C564" s="6" t="s">
        <v>134</v>
      </c>
      <c r="D564" s="6" t="s">
        <v>135</v>
      </c>
      <c r="E564" s="6" t="s">
        <v>91</v>
      </c>
      <c r="F564" s="6" t="s">
        <v>208</v>
      </c>
      <c r="G564" s="6" t="n">
        <v>18</v>
      </c>
      <c r="H564" s="6" t="s">
        <v>81</v>
      </c>
      <c r="I564" s="6" t="s">
        <v>80</v>
      </c>
      <c r="J564" s="6" t="s">
        <v>58</v>
      </c>
      <c r="K564" s="6" t="n">
        <v>35520</v>
      </c>
      <c r="L564" s="6" t="n">
        <v>39860</v>
      </c>
      <c r="M564" s="6" t="s">
        <v>142</v>
      </c>
      <c r="N564" s="6" t="n">
        <v>39</v>
      </c>
      <c r="O564" s="6" t="s">
        <v>58</v>
      </c>
      <c r="P564" s="6" t="n">
        <v>8</v>
      </c>
      <c r="Q564" s="6" t="n">
        <v>31.78</v>
      </c>
      <c r="R564" s="20" t="n">
        <f aca="false">(L564-K564)/K564</f>
        <v>0.122184684684685</v>
      </c>
    </row>
    <row r="565" customFormat="false" ht="15" hidden="false" customHeight="false" outlineLevel="0" collapsed="false">
      <c r="A565" s="6" t="s">
        <v>727</v>
      </c>
      <c r="B565" s="6" t="n">
        <v>39</v>
      </c>
      <c r="C565" s="6" t="s">
        <v>139</v>
      </c>
      <c r="D565" s="6" t="s">
        <v>135</v>
      </c>
      <c r="E565" s="6" t="s">
        <v>88</v>
      </c>
      <c r="F565" s="6" t="s">
        <v>179</v>
      </c>
      <c r="G565" s="6" t="n">
        <v>17</v>
      </c>
      <c r="H565" s="6" t="s">
        <v>81</v>
      </c>
      <c r="I565" s="6" t="s">
        <v>82</v>
      </c>
      <c r="J565" s="6" t="s">
        <v>60</v>
      </c>
      <c r="K565" s="6" t="n">
        <v>94925</v>
      </c>
      <c r="L565" s="6" t="n">
        <v>85977</v>
      </c>
      <c r="M565" s="6" t="s">
        <v>142</v>
      </c>
      <c r="N565" s="6" t="n">
        <v>44</v>
      </c>
      <c r="O565" s="6" t="s">
        <v>60</v>
      </c>
      <c r="P565" s="6" t="n">
        <v>5</v>
      </c>
      <c r="Q565" s="6" t="n">
        <v>-10.06</v>
      </c>
      <c r="R565" s="20" t="n">
        <f aca="false">(L565-K565)/K565</f>
        <v>-0.0942638925467474</v>
      </c>
    </row>
    <row r="566" customFormat="false" ht="15" hidden="false" customHeight="false" outlineLevel="0" collapsed="false">
      <c r="A566" s="6" t="s">
        <v>728</v>
      </c>
      <c r="B566" s="6" t="n">
        <v>35</v>
      </c>
      <c r="C566" s="6" t="s">
        <v>139</v>
      </c>
      <c r="D566" s="6" t="s">
        <v>144</v>
      </c>
      <c r="E566" s="6" t="s">
        <v>90</v>
      </c>
      <c r="F566" s="6" t="s">
        <v>145</v>
      </c>
      <c r="G566" s="6" t="n">
        <v>12</v>
      </c>
      <c r="H566" s="6" t="s">
        <v>81</v>
      </c>
      <c r="I566" s="6" t="s">
        <v>81</v>
      </c>
      <c r="J566" s="6" t="s">
        <v>58</v>
      </c>
      <c r="K566" s="6" t="n">
        <v>73939</v>
      </c>
      <c r="L566" s="6" t="n">
        <v>69171</v>
      </c>
      <c r="M566" s="6" t="s">
        <v>146</v>
      </c>
      <c r="N566" s="6" t="n">
        <v>45</v>
      </c>
      <c r="O566" s="6" t="s">
        <v>60</v>
      </c>
      <c r="P566" s="6" t="n">
        <v>8</v>
      </c>
      <c r="Q566" s="6" t="n">
        <v>-7.29</v>
      </c>
      <c r="R566" s="20" t="n">
        <f aca="false">(L566-K566)/K566</f>
        <v>-0.0644855894724029</v>
      </c>
    </row>
    <row r="567" customFormat="false" ht="15" hidden="false" customHeight="false" outlineLevel="0" collapsed="false">
      <c r="A567" s="6" t="s">
        <v>729</v>
      </c>
      <c r="B567" s="6" t="n">
        <v>40</v>
      </c>
      <c r="C567" s="6" t="s">
        <v>139</v>
      </c>
      <c r="D567" s="6" t="s">
        <v>148</v>
      </c>
      <c r="E567" s="6" t="s">
        <v>89</v>
      </c>
      <c r="F567" s="6" t="s">
        <v>153</v>
      </c>
      <c r="G567" s="6" t="n">
        <v>15</v>
      </c>
      <c r="H567" s="6" t="s">
        <v>81</v>
      </c>
      <c r="I567" s="6" t="s">
        <v>82</v>
      </c>
      <c r="J567" s="6" t="s">
        <v>58</v>
      </c>
      <c r="K567" s="6" t="n">
        <v>84935</v>
      </c>
      <c r="L567" s="6" t="n">
        <v>92145</v>
      </c>
      <c r="M567" s="6" t="s">
        <v>142</v>
      </c>
      <c r="N567" s="6" t="n">
        <v>49</v>
      </c>
      <c r="O567" s="6" t="s">
        <v>58</v>
      </c>
      <c r="P567" s="6" t="n">
        <v>3</v>
      </c>
      <c r="Q567" s="6" t="n">
        <v>13.41</v>
      </c>
      <c r="R567" s="20" t="n">
        <f aca="false">(L567-K567)/K567</f>
        <v>0.0848884441043151</v>
      </c>
    </row>
    <row r="568" customFormat="false" ht="15" hidden="false" customHeight="false" outlineLevel="0" collapsed="false">
      <c r="A568" s="6" t="s">
        <v>730</v>
      </c>
      <c r="B568" s="6" t="n">
        <v>54</v>
      </c>
      <c r="C568" s="6" t="s">
        <v>159</v>
      </c>
      <c r="D568" s="6" t="s">
        <v>135</v>
      </c>
      <c r="E568" s="6" t="s">
        <v>87</v>
      </c>
      <c r="F568" s="6" t="s">
        <v>149</v>
      </c>
      <c r="G568" s="6" t="n">
        <v>30</v>
      </c>
      <c r="H568" s="6" t="s">
        <v>82</v>
      </c>
      <c r="I568" s="6" t="s">
        <v>81</v>
      </c>
      <c r="J568" s="6" t="s">
        <v>58</v>
      </c>
      <c r="K568" s="6" t="n">
        <v>110201</v>
      </c>
      <c r="L568" s="6" t="n">
        <v>115393</v>
      </c>
      <c r="M568" s="6" t="s">
        <v>146</v>
      </c>
      <c r="N568" s="6" t="n">
        <v>52</v>
      </c>
      <c r="O568" s="6" t="s">
        <v>58</v>
      </c>
      <c r="P568" s="6" t="n">
        <v>4</v>
      </c>
      <c r="Q568" s="6" t="n">
        <v>25.22</v>
      </c>
      <c r="R568" s="20" t="n">
        <f aca="false">(L568-K568)/K568</f>
        <v>0.047113910037114</v>
      </c>
    </row>
    <row r="569" customFormat="false" ht="15" hidden="false" customHeight="false" outlineLevel="0" collapsed="false">
      <c r="A569" s="6" t="s">
        <v>731</v>
      </c>
      <c r="B569" s="6" t="n">
        <v>34</v>
      </c>
      <c r="C569" s="6" t="s">
        <v>134</v>
      </c>
      <c r="D569" s="6" t="s">
        <v>135</v>
      </c>
      <c r="E569" s="6" t="s">
        <v>89</v>
      </c>
      <c r="F569" s="6" t="s">
        <v>162</v>
      </c>
      <c r="G569" s="6" t="n">
        <v>12</v>
      </c>
      <c r="H569" s="6" t="s">
        <v>81</v>
      </c>
      <c r="I569" s="6" t="s">
        <v>82</v>
      </c>
      <c r="J569" s="6" t="s">
        <v>58</v>
      </c>
      <c r="K569" s="6" t="n">
        <v>73937</v>
      </c>
      <c r="L569" s="6" t="n">
        <v>67034</v>
      </c>
      <c r="M569" s="6" t="s">
        <v>142</v>
      </c>
      <c r="N569" s="6" t="n">
        <v>50</v>
      </c>
      <c r="O569" s="6" t="s">
        <v>58</v>
      </c>
      <c r="P569" s="6" t="n">
        <v>3</v>
      </c>
      <c r="Q569" s="6" t="n">
        <v>36.71</v>
      </c>
      <c r="R569" s="20" t="n">
        <f aca="false">(L569-K569)/K569</f>
        <v>-0.0933632687287826</v>
      </c>
    </row>
    <row r="570" customFormat="false" ht="15" hidden="false" customHeight="false" outlineLevel="0" collapsed="false">
      <c r="A570" s="6" t="s">
        <v>732</v>
      </c>
      <c r="B570" s="6" t="n">
        <v>50</v>
      </c>
      <c r="C570" s="6" t="s">
        <v>159</v>
      </c>
      <c r="D570" s="6" t="s">
        <v>140</v>
      </c>
      <c r="E570" s="6" t="s">
        <v>87</v>
      </c>
      <c r="F570" s="6" t="s">
        <v>155</v>
      </c>
      <c r="G570" s="6" t="n">
        <v>27</v>
      </c>
      <c r="H570" s="6" t="s">
        <v>82</v>
      </c>
      <c r="I570" s="6" t="s">
        <v>80</v>
      </c>
      <c r="J570" s="6" t="s">
        <v>58</v>
      </c>
      <c r="K570" s="6" t="n">
        <v>101696</v>
      </c>
      <c r="L570" s="6" t="n">
        <v>93941</v>
      </c>
      <c r="M570" s="6" t="s">
        <v>142</v>
      </c>
      <c r="N570" s="6" t="n">
        <v>51</v>
      </c>
      <c r="O570" s="6" t="s">
        <v>60</v>
      </c>
      <c r="P570" s="6" t="n">
        <v>5</v>
      </c>
      <c r="Q570" s="6" t="n">
        <v>3.51</v>
      </c>
      <c r="R570" s="20" t="n">
        <f aca="false">(L570-K570)/K570</f>
        <v>-0.076256686595343</v>
      </c>
    </row>
    <row r="571" customFormat="false" ht="15" hidden="false" customHeight="false" outlineLevel="0" collapsed="false">
      <c r="A571" s="6" t="s">
        <v>733</v>
      </c>
      <c r="B571" s="6" t="n">
        <v>28</v>
      </c>
      <c r="C571" s="6" t="s">
        <v>134</v>
      </c>
      <c r="D571" s="6" t="s">
        <v>135</v>
      </c>
      <c r="E571" s="6" t="s">
        <v>88</v>
      </c>
      <c r="F571" s="6" t="s">
        <v>234</v>
      </c>
      <c r="G571" s="6" t="n">
        <v>5</v>
      </c>
      <c r="H571" s="6" t="s">
        <v>82</v>
      </c>
      <c r="I571" s="6" t="s">
        <v>82</v>
      </c>
      <c r="J571" s="6" t="s">
        <v>60</v>
      </c>
      <c r="K571" s="6" t="n">
        <v>30192</v>
      </c>
      <c r="L571" s="6" t="n">
        <v>24481</v>
      </c>
      <c r="M571" s="6" t="s">
        <v>146</v>
      </c>
      <c r="N571" s="6" t="n">
        <v>37</v>
      </c>
      <c r="O571" s="6" t="s">
        <v>58</v>
      </c>
      <c r="P571" s="6" t="n">
        <v>9</v>
      </c>
      <c r="Q571" s="6" t="n">
        <v>27.57</v>
      </c>
      <c r="R571" s="20" t="n">
        <f aca="false">(L571-K571)/K571</f>
        <v>-0.189156067832538</v>
      </c>
    </row>
    <row r="572" customFormat="false" ht="15" hidden="false" customHeight="false" outlineLevel="0" collapsed="false">
      <c r="A572" s="6" t="s">
        <v>734</v>
      </c>
      <c r="B572" s="6" t="n">
        <v>50</v>
      </c>
      <c r="C572" s="6" t="s">
        <v>134</v>
      </c>
      <c r="D572" s="6" t="s">
        <v>148</v>
      </c>
      <c r="E572" s="6" t="s">
        <v>92</v>
      </c>
      <c r="F572" s="6" t="s">
        <v>222</v>
      </c>
      <c r="G572" s="6" t="n">
        <v>24</v>
      </c>
      <c r="H572" s="6" t="s">
        <v>80</v>
      </c>
      <c r="I572" s="6" t="s">
        <v>82</v>
      </c>
      <c r="J572" s="6" t="s">
        <v>60</v>
      </c>
      <c r="K572" s="6" t="n">
        <v>60698</v>
      </c>
      <c r="L572" s="6" t="n">
        <v>63932</v>
      </c>
      <c r="M572" s="6" t="s">
        <v>142</v>
      </c>
      <c r="N572" s="6" t="n">
        <v>43</v>
      </c>
      <c r="O572" s="6" t="s">
        <v>60</v>
      </c>
      <c r="P572" s="6" t="n">
        <v>3</v>
      </c>
      <c r="Q572" s="6" t="n">
        <v>-4.8</v>
      </c>
      <c r="R572" s="20" t="n">
        <f aca="false">(L572-K572)/K572</f>
        <v>0.0532801739760783</v>
      </c>
    </row>
    <row r="573" customFormat="false" ht="15" hidden="false" customHeight="false" outlineLevel="0" collapsed="false">
      <c r="A573" s="6" t="s">
        <v>735</v>
      </c>
      <c r="B573" s="6" t="n">
        <v>50</v>
      </c>
      <c r="C573" s="6" t="s">
        <v>134</v>
      </c>
      <c r="D573" s="6" t="s">
        <v>148</v>
      </c>
      <c r="E573" s="6" t="s">
        <v>91</v>
      </c>
      <c r="F573" s="6" t="s">
        <v>208</v>
      </c>
      <c r="G573" s="6" t="n">
        <v>28</v>
      </c>
      <c r="H573" s="6" t="s">
        <v>80</v>
      </c>
      <c r="I573" s="6" t="s">
        <v>82</v>
      </c>
      <c r="J573" s="6" t="s">
        <v>58</v>
      </c>
      <c r="K573" s="6" t="n">
        <v>44671</v>
      </c>
      <c r="L573" s="6" t="n">
        <v>43800</v>
      </c>
      <c r="M573" s="6" t="s">
        <v>142</v>
      </c>
      <c r="N573" s="6" t="n">
        <v>43</v>
      </c>
      <c r="O573" s="6" t="s">
        <v>60</v>
      </c>
      <c r="P573" s="6" t="n">
        <v>9</v>
      </c>
      <c r="Q573" s="6" t="n">
        <v>-12.36</v>
      </c>
      <c r="R573" s="20" t="n">
        <f aca="false">(L573-K573)/K573</f>
        <v>-0.0194981083924694</v>
      </c>
    </row>
    <row r="574" customFormat="false" ht="15" hidden="false" customHeight="false" outlineLevel="0" collapsed="false">
      <c r="A574" s="6" t="s">
        <v>736</v>
      </c>
      <c r="B574" s="6" t="n">
        <v>35</v>
      </c>
      <c r="C574" s="6" t="s">
        <v>159</v>
      </c>
      <c r="D574" s="6" t="s">
        <v>144</v>
      </c>
      <c r="E574" s="6" t="s">
        <v>92</v>
      </c>
      <c r="F574" s="6" t="s">
        <v>222</v>
      </c>
      <c r="G574" s="6" t="n">
        <v>9</v>
      </c>
      <c r="H574" s="6" t="s">
        <v>80</v>
      </c>
      <c r="I574" s="6" t="s">
        <v>80</v>
      </c>
      <c r="J574" s="6" t="s">
        <v>60</v>
      </c>
      <c r="K574" s="6" t="n">
        <v>34434</v>
      </c>
      <c r="L574" s="6" t="n">
        <v>36950</v>
      </c>
      <c r="M574" s="6" t="s">
        <v>142</v>
      </c>
      <c r="N574" s="6" t="n">
        <v>49</v>
      </c>
      <c r="O574" s="6" t="s">
        <v>58</v>
      </c>
      <c r="P574" s="6" t="n">
        <v>5</v>
      </c>
      <c r="Q574" s="6" t="n">
        <v>4.27</v>
      </c>
      <c r="R574" s="20" t="n">
        <f aca="false">(L574-K574)/K574</f>
        <v>0.0730673171865017</v>
      </c>
    </row>
    <row r="575" customFormat="false" ht="15" hidden="false" customHeight="false" outlineLevel="0" collapsed="false">
      <c r="A575" s="6" t="s">
        <v>737</v>
      </c>
      <c r="B575" s="6" t="n">
        <v>32</v>
      </c>
      <c r="C575" s="6" t="s">
        <v>139</v>
      </c>
      <c r="D575" s="6" t="s">
        <v>140</v>
      </c>
      <c r="E575" s="6" t="s">
        <v>91</v>
      </c>
      <c r="F575" s="6" t="s">
        <v>206</v>
      </c>
      <c r="G575" s="6" t="n">
        <v>6</v>
      </c>
      <c r="H575" s="6" t="s">
        <v>80</v>
      </c>
      <c r="I575" s="6" t="s">
        <v>80</v>
      </c>
      <c r="J575" s="6" t="s">
        <v>58</v>
      </c>
      <c r="K575" s="6" t="n">
        <v>73949</v>
      </c>
      <c r="L575" s="6" t="n">
        <v>74553</v>
      </c>
      <c r="M575" s="6" t="s">
        <v>142</v>
      </c>
      <c r="N575" s="6" t="n">
        <v>53</v>
      </c>
      <c r="O575" s="6" t="s">
        <v>58</v>
      </c>
      <c r="P575" s="6" t="n">
        <v>4</v>
      </c>
      <c r="Q575" s="6" t="n">
        <v>28.21</v>
      </c>
      <c r="R575" s="20" t="n">
        <f aca="false">(L575-K575)/K575</f>
        <v>0.00816779131563645</v>
      </c>
    </row>
    <row r="576" customFormat="false" ht="15" hidden="false" customHeight="false" outlineLevel="0" collapsed="false">
      <c r="A576" s="6" t="s">
        <v>738</v>
      </c>
      <c r="B576" s="6" t="n">
        <v>53</v>
      </c>
      <c r="C576" s="6" t="s">
        <v>134</v>
      </c>
      <c r="D576" s="6" t="s">
        <v>144</v>
      </c>
      <c r="E576" s="6" t="s">
        <v>88</v>
      </c>
      <c r="F576" s="6" t="s">
        <v>157</v>
      </c>
      <c r="G576" s="6" t="n">
        <v>28</v>
      </c>
      <c r="H576" s="6" t="s">
        <v>82</v>
      </c>
      <c r="I576" s="6" t="s">
        <v>81</v>
      </c>
      <c r="J576" s="6" t="s">
        <v>58</v>
      </c>
      <c r="K576" s="6" t="n">
        <v>85480</v>
      </c>
      <c r="L576" s="6" t="n">
        <v>106495</v>
      </c>
      <c r="M576" s="6" t="s">
        <v>146</v>
      </c>
      <c r="N576" s="6" t="n">
        <v>54</v>
      </c>
      <c r="O576" s="6" t="s">
        <v>58</v>
      </c>
      <c r="P576" s="6" t="n">
        <v>3</v>
      </c>
      <c r="Q576" s="6" t="n">
        <v>30.88</v>
      </c>
      <c r="R576" s="20" t="n">
        <f aca="false">(L576-K576)/K576</f>
        <v>0.245846981750117</v>
      </c>
    </row>
    <row r="577" customFormat="false" ht="15" hidden="false" customHeight="false" outlineLevel="0" collapsed="false">
      <c r="A577" s="6" t="s">
        <v>739</v>
      </c>
      <c r="B577" s="6" t="n">
        <v>39</v>
      </c>
      <c r="C577" s="6" t="s">
        <v>159</v>
      </c>
      <c r="D577" s="6" t="s">
        <v>135</v>
      </c>
      <c r="E577" s="6" t="s">
        <v>90</v>
      </c>
      <c r="F577" s="6" t="s">
        <v>236</v>
      </c>
      <c r="G577" s="6" t="n">
        <v>16</v>
      </c>
      <c r="H577" s="6" t="s">
        <v>81</v>
      </c>
      <c r="I577" s="6" t="s">
        <v>82</v>
      </c>
      <c r="J577" s="6" t="s">
        <v>60</v>
      </c>
      <c r="K577" s="6" t="n">
        <v>36476</v>
      </c>
      <c r="L577" s="6" t="n">
        <v>41624</v>
      </c>
      <c r="M577" s="6" t="s">
        <v>142</v>
      </c>
      <c r="N577" s="6" t="n">
        <v>44</v>
      </c>
      <c r="O577" s="6" t="s">
        <v>58</v>
      </c>
      <c r="P577" s="6" t="n">
        <v>7</v>
      </c>
      <c r="Q577" s="6" t="n">
        <v>6.01</v>
      </c>
      <c r="R577" s="20" t="n">
        <f aca="false">(L577-K577)/K577</f>
        <v>0.141133896260555</v>
      </c>
    </row>
    <row r="578" customFormat="false" ht="15" hidden="false" customHeight="false" outlineLevel="0" collapsed="false">
      <c r="A578" s="6" t="s">
        <v>740</v>
      </c>
      <c r="B578" s="6" t="n">
        <v>24</v>
      </c>
      <c r="C578" s="6" t="s">
        <v>134</v>
      </c>
      <c r="D578" s="6" t="s">
        <v>148</v>
      </c>
      <c r="E578" s="6" t="s">
        <v>91</v>
      </c>
      <c r="F578" s="6" t="s">
        <v>141</v>
      </c>
      <c r="G578" s="6" t="n">
        <v>0</v>
      </c>
      <c r="H578" s="6" t="s">
        <v>80</v>
      </c>
      <c r="I578" s="6" t="s">
        <v>82</v>
      </c>
      <c r="J578" s="6" t="s">
        <v>58</v>
      </c>
      <c r="K578" s="6" t="n">
        <v>103933</v>
      </c>
      <c r="L578" s="6" t="n">
        <v>104544</v>
      </c>
      <c r="M578" s="6" t="s">
        <v>142</v>
      </c>
      <c r="N578" s="6" t="n">
        <v>38</v>
      </c>
      <c r="O578" s="6" t="s">
        <v>58</v>
      </c>
      <c r="P578" s="6" t="n">
        <v>5</v>
      </c>
      <c r="Q578" s="6" t="n">
        <v>-15.88</v>
      </c>
      <c r="R578" s="20" t="n">
        <f aca="false">(L578-K578)/K578</f>
        <v>0.00587878729566163</v>
      </c>
    </row>
    <row r="579" customFormat="false" ht="15" hidden="false" customHeight="false" outlineLevel="0" collapsed="false">
      <c r="A579" s="6" t="s">
        <v>741</v>
      </c>
      <c r="B579" s="6" t="n">
        <v>32</v>
      </c>
      <c r="C579" s="6" t="s">
        <v>139</v>
      </c>
      <c r="D579" s="6" t="s">
        <v>148</v>
      </c>
      <c r="E579" s="6" t="s">
        <v>92</v>
      </c>
      <c r="F579" s="6" t="s">
        <v>192</v>
      </c>
      <c r="G579" s="6" t="n">
        <v>9</v>
      </c>
      <c r="H579" s="6" t="s">
        <v>80</v>
      </c>
      <c r="I579" s="6" t="s">
        <v>80</v>
      </c>
      <c r="J579" s="6" t="s">
        <v>60</v>
      </c>
      <c r="K579" s="6" t="n">
        <v>38026</v>
      </c>
      <c r="L579" s="6" t="n">
        <v>38287</v>
      </c>
      <c r="M579" s="6" t="s">
        <v>142</v>
      </c>
      <c r="N579" s="6" t="n">
        <v>51</v>
      </c>
      <c r="O579" s="6" t="s">
        <v>58</v>
      </c>
      <c r="P579" s="6" t="n">
        <v>3</v>
      </c>
      <c r="Q579" s="6" t="n">
        <v>29.88</v>
      </c>
      <c r="R579" s="20" t="n">
        <f aca="false">(L579-K579)/K579</f>
        <v>0.0068637248198601</v>
      </c>
    </row>
    <row r="580" customFormat="false" ht="15" hidden="false" customHeight="false" outlineLevel="0" collapsed="false">
      <c r="A580" s="6" t="s">
        <v>742</v>
      </c>
      <c r="B580" s="6" t="n">
        <v>49</v>
      </c>
      <c r="C580" s="6" t="s">
        <v>159</v>
      </c>
      <c r="D580" s="6" t="s">
        <v>135</v>
      </c>
      <c r="E580" s="6" t="s">
        <v>91</v>
      </c>
      <c r="F580" s="6" t="s">
        <v>208</v>
      </c>
      <c r="G580" s="6" t="n">
        <v>24</v>
      </c>
      <c r="H580" s="6" t="s">
        <v>80</v>
      </c>
      <c r="I580" s="6" t="s">
        <v>82</v>
      </c>
      <c r="J580" s="6" t="s">
        <v>60</v>
      </c>
      <c r="K580" s="6" t="n">
        <v>47889</v>
      </c>
      <c r="L580" s="6" t="n">
        <v>51045</v>
      </c>
      <c r="M580" s="6" t="s">
        <v>142</v>
      </c>
      <c r="N580" s="6" t="n">
        <v>38</v>
      </c>
      <c r="O580" s="6" t="s">
        <v>60</v>
      </c>
      <c r="P580" s="6" t="n">
        <v>3</v>
      </c>
      <c r="Q580" s="6" t="n">
        <v>12.91</v>
      </c>
      <c r="R580" s="20" t="n">
        <f aca="false">(L580-K580)/K580</f>
        <v>0.0659023992983775</v>
      </c>
    </row>
    <row r="581" customFormat="false" ht="15" hidden="false" customHeight="false" outlineLevel="0" collapsed="false">
      <c r="A581" s="6" t="s">
        <v>743</v>
      </c>
      <c r="B581" s="6" t="n">
        <v>58</v>
      </c>
      <c r="C581" s="6" t="s">
        <v>134</v>
      </c>
      <c r="D581" s="6" t="s">
        <v>148</v>
      </c>
      <c r="E581" s="6" t="s">
        <v>88</v>
      </c>
      <c r="F581" s="6" t="s">
        <v>234</v>
      </c>
      <c r="G581" s="6" t="n">
        <v>32</v>
      </c>
      <c r="H581" s="6" t="s">
        <v>81</v>
      </c>
      <c r="I581" s="6" t="s">
        <v>82</v>
      </c>
      <c r="J581" s="6" t="s">
        <v>58</v>
      </c>
      <c r="K581" s="6" t="n">
        <v>89197</v>
      </c>
      <c r="L581" s="6" t="n">
        <v>101764</v>
      </c>
      <c r="M581" s="6" t="s">
        <v>142</v>
      </c>
      <c r="N581" s="6" t="n">
        <v>51</v>
      </c>
      <c r="O581" s="6" t="s">
        <v>58</v>
      </c>
      <c r="P581" s="6" t="n">
        <v>5</v>
      </c>
      <c r="Q581" s="6" t="n">
        <v>11.08</v>
      </c>
      <c r="R581" s="20" t="n">
        <f aca="false">(L581-K581)/K581</f>
        <v>0.140890388690203</v>
      </c>
    </row>
    <row r="582" customFormat="false" ht="15" hidden="false" customHeight="false" outlineLevel="0" collapsed="false">
      <c r="A582" s="6" t="s">
        <v>744</v>
      </c>
      <c r="B582" s="6" t="n">
        <v>58</v>
      </c>
      <c r="C582" s="6" t="s">
        <v>139</v>
      </c>
      <c r="D582" s="6" t="s">
        <v>144</v>
      </c>
      <c r="E582" s="6" t="s">
        <v>90</v>
      </c>
      <c r="F582" s="6" t="s">
        <v>236</v>
      </c>
      <c r="G582" s="6" t="n">
        <v>34</v>
      </c>
      <c r="H582" s="6" t="s">
        <v>82</v>
      </c>
      <c r="I582" s="6" t="s">
        <v>80</v>
      </c>
      <c r="J582" s="6" t="s">
        <v>60</v>
      </c>
      <c r="K582" s="6" t="n">
        <v>119791</v>
      </c>
      <c r="L582" s="6" t="n">
        <v>147096</v>
      </c>
      <c r="M582" s="6" t="s">
        <v>142</v>
      </c>
      <c r="N582" s="6" t="n">
        <v>43</v>
      </c>
      <c r="O582" s="6" t="s">
        <v>58</v>
      </c>
      <c r="P582" s="6" t="n">
        <v>9</v>
      </c>
      <c r="Q582" s="6" t="n">
        <v>3.2</v>
      </c>
      <c r="R582" s="20" t="n">
        <f aca="false">(L582-K582)/K582</f>
        <v>0.227938659832542</v>
      </c>
    </row>
    <row r="583" customFormat="false" ht="15" hidden="false" customHeight="false" outlineLevel="0" collapsed="false">
      <c r="A583" s="6" t="s">
        <v>745</v>
      </c>
      <c r="B583" s="6" t="n">
        <v>49</v>
      </c>
      <c r="C583" s="6" t="s">
        <v>159</v>
      </c>
      <c r="D583" s="6" t="s">
        <v>140</v>
      </c>
      <c r="E583" s="6" t="s">
        <v>93</v>
      </c>
      <c r="F583" s="6" t="s">
        <v>164</v>
      </c>
      <c r="G583" s="6" t="n">
        <v>23</v>
      </c>
      <c r="H583" s="6" t="s">
        <v>82</v>
      </c>
      <c r="I583" s="6" t="s">
        <v>80</v>
      </c>
      <c r="J583" s="6" t="s">
        <v>58</v>
      </c>
      <c r="K583" s="6" t="n">
        <v>107241</v>
      </c>
      <c r="L583" s="6" t="n">
        <v>144232</v>
      </c>
      <c r="M583" s="6" t="s">
        <v>142</v>
      </c>
      <c r="N583" s="6" t="n">
        <v>37</v>
      </c>
      <c r="O583" s="6" t="s">
        <v>60</v>
      </c>
      <c r="P583" s="6" t="n">
        <v>7</v>
      </c>
      <c r="Q583" s="6" t="n">
        <v>25.52</v>
      </c>
      <c r="R583" s="20" t="n">
        <f aca="false">(L583-K583)/K583</f>
        <v>0.344933374362417</v>
      </c>
    </row>
    <row r="584" customFormat="false" ht="15" hidden="false" customHeight="false" outlineLevel="0" collapsed="false">
      <c r="A584" s="6" t="s">
        <v>746</v>
      </c>
      <c r="B584" s="6" t="n">
        <v>47</v>
      </c>
      <c r="C584" s="6" t="s">
        <v>159</v>
      </c>
      <c r="D584" s="6" t="s">
        <v>144</v>
      </c>
      <c r="E584" s="6" t="s">
        <v>92</v>
      </c>
      <c r="F584" s="6" t="s">
        <v>192</v>
      </c>
      <c r="G584" s="6" t="n">
        <v>22</v>
      </c>
      <c r="H584" s="6" t="s">
        <v>82</v>
      </c>
      <c r="I584" s="6" t="s">
        <v>80</v>
      </c>
      <c r="J584" s="6" t="s">
        <v>60</v>
      </c>
      <c r="K584" s="6" t="n">
        <v>96025</v>
      </c>
      <c r="L584" s="6" t="n">
        <v>110167</v>
      </c>
      <c r="M584" s="6" t="s">
        <v>142</v>
      </c>
      <c r="N584" s="6" t="n">
        <v>44</v>
      </c>
      <c r="O584" s="6" t="s">
        <v>60</v>
      </c>
      <c r="P584" s="6" t="n">
        <v>6</v>
      </c>
      <c r="Q584" s="6" t="n">
        <v>17.94</v>
      </c>
      <c r="R584" s="20" t="n">
        <f aca="false">(L584-K584)/K584</f>
        <v>0.147274147357459</v>
      </c>
    </row>
    <row r="585" customFormat="false" ht="15" hidden="false" customHeight="false" outlineLevel="0" collapsed="false">
      <c r="A585" s="6" t="s">
        <v>747</v>
      </c>
      <c r="B585" s="6" t="n">
        <v>34</v>
      </c>
      <c r="C585" s="6" t="s">
        <v>134</v>
      </c>
      <c r="D585" s="6" t="s">
        <v>144</v>
      </c>
      <c r="E585" s="6" t="s">
        <v>89</v>
      </c>
      <c r="F585" s="6" t="s">
        <v>151</v>
      </c>
      <c r="G585" s="6" t="n">
        <v>10</v>
      </c>
      <c r="H585" s="6" t="s">
        <v>81</v>
      </c>
      <c r="I585" s="6" t="s">
        <v>80</v>
      </c>
      <c r="J585" s="6" t="s">
        <v>58</v>
      </c>
      <c r="K585" s="6" t="n">
        <v>62821</v>
      </c>
      <c r="L585" s="6" t="n">
        <v>63817</v>
      </c>
      <c r="M585" s="6" t="s">
        <v>142</v>
      </c>
      <c r="N585" s="6" t="n">
        <v>42</v>
      </c>
      <c r="O585" s="6" t="s">
        <v>60</v>
      </c>
      <c r="P585" s="6" t="n">
        <v>7</v>
      </c>
      <c r="Q585" s="6" t="n">
        <v>15.31</v>
      </c>
      <c r="R585" s="20" t="n">
        <f aca="false">(L585-K585)/K585</f>
        <v>0.0158545709237357</v>
      </c>
    </row>
    <row r="586" customFormat="false" ht="15" hidden="false" customHeight="false" outlineLevel="0" collapsed="false">
      <c r="A586" s="6" t="s">
        <v>748</v>
      </c>
      <c r="B586" s="6" t="n">
        <v>23</v>
      </c>
      <c r="C586" s="6" t="s">
        <v>139</v>
      </c>
      <c r="D586" s="6" t="s">
        <v>135</v>
      </c>
      <c r="E586" s="6" t="s">
        <v>92</v>
      </c>
      <c r="F586" s="6" t="s">
        <v>192</v>
      </c>
      <c r="G586" s="6" t="n">
        <v>0</v>
      </c>
      <c r="H586" s="6" t="s">
        <v>81</v>
      </c>
      <c r="I586" s="6" t="s">
        <v>80</v>
      </c>
      <c r="J586" s="6" t="s">
        <v>60</v>
      </c>
      <c r="K586" s="6" t="n">
        <v>71609</v>
      </c>
      <c r="L586" s="6" t="n">
        <v>75341</v>
      </c>
      <c r="M586" s="6" t="s">
        <v>142</v>
      </c>
      <c r="N586" s="6" t="n">
        <v>51</v>
      </c>
      <c r="O586" s="6" t="s">
        <v>58</v>
      </c>
      <c r="P586" s="6" t="n">
        <v>4</v>
      </c>
      <c r="Q586" s="6" t="n">
        <v>-8.72</v>
      </c>
      <c r="R586" s="20" t="n">
        <f aca="false">(L586-K586)/K586</f>
        <v>0.0521163540895697</v>
      </c>
    </row>
    <row r="587" customFormat="false" ht="15" hidden="false" customHeight="false" outlineLevel="0" collapsed="false">
      <c r="A587" s="6" t="s">
        <v>749</v>
      </c>
      <c r="B587" s="6" t="n">
        <v>23</v>
      </c>
      <c r="C587" s="6" t="s">
        <v>139</v>
      </c>
      <c r="D587" s="6" t="s">
        <v>144</v>
      </c>
      <c r="E587" s="6" t="s">
        <v>91</v>
      </c>
      <c r="F587" s="6" t="s">
        <v>208</v>
      </c>
      <c r="G587" s="6" t="n">
        <v>0</v>
      </c>
      <c r="H587" s="6" t="s">
        <v>81</v>
      </c>
      <c r="I587" s="6" t="s">
        <v>82</v>
      </c>
      <c r="J587" s="6" t="s">
        <v>58</v>
      </c>
      <c r="K587" s="6" t="n">
        <v>102075</v>
      </c>
      <c r="L587" s="6" t="n">
        <v>105459</v>
      </c>
      <c r="M587" s="6" t="s">
        <v>142</v>
      </c>
      <c r="N587" s="6" t="n">
        <v>51</v>
      </c>
      <c r="O587" s="6" t="s">
        <v>60</v>
      </c>
      <c r="P587" s="6" t="n">
        <v>8</v>
      </c>
      <c r="Q587" s="6" t="n">
        <v>7.05</v>
      </c>
      <c r="R587" s="20" t="n">
        <f aca="false">(L587-K587)/K587</f>
        <v>0.0331520940484938</v>
      </c>
    </row>
    <row r="588" customFormat="false" ht="15" hidden="false" customHeight="false" outlineLevel="0" collapsed="false">
      <c r="A588" s="6" t="s">
        <v>750</v>
      </c>
      <c r="B588" s="6" t="n">
        <v>59</v>
      </c>
      <c r="C588" s="6" t="s">
        <v>134</v>
      </c>
      <c r="D588" s="6" t="s">
        <v>135</v>
      </c>
      <c r="E588" s="6" t="s">
        <v>88</v>
      </c>
      <c r="F588" s="6" t="s">
        <v>179</v>
      </c>
      <c r="G588" s="6" t="n">
        <v>37</v>
      </c>
      <c r="H588" s="6" t="s">
        <v>82</v>
      </c>
      <c r="I588" s="6" t="s">
        <v>82</v>
      </c>
      <c r="J588" s="6" t="s">
        <v>58</v>
      </c>
      <c r="K588" s="6" t="n">
        <v>83442</v>
      </c>
      <c r="L588" s="6" t="n">
        <v>113768</v>
      </c>
      <c r="M588" s="6" t="s">
        <v>146</v>
      </c>
      <c r="N588" s="6" t="n">
        <v>35</v>
      </c>
      <c r="O588" s="6" t="s">
        <v>60</v>
      </c>
      <c r="P588" s="6" t="n">
        <v>8</v>
      </c>
      <c r="Q588" s="6" t="n">
        <v>18.18</v>
      </c>
      <c r="R588" s="20" t="n">
        <f aca="false">(L588-K588)/K588</f>
        <v>0.363438076747921</v>
      </c>
    </row>
    <row r="589" customFormat="false" ht="15" hidden="false" customHeight="false" outlineLevel="0" collapsed="false">
      <c r="A589" s="6" t="s">
        <v>751</v>
      </c>
      <c r="B589" s="6" t="n">
        <v>53</v>
      </c>
      <c r="C589" s="6" t="s">
        <v>159</v>
      </c>
      <c r="D589" s="6" t="s">
        <v>148</v>
      </c>
      <c r="E589" s="6" t="s">
        <v>93</v>
      </c>
      <c r="F589" s="6" t="s">
        <v>181</v>
      </c>
      <c r="G589" s="6" t="n">
        <v>28</v>
      </c>
      <c r="H589" s="6" t="s">
        <v>80</v>
      </c>
      <c r="I589" s="6" t="s">
        <v>82</v>
      </c>
      <c r="J589" s="6" t="s">
        <v>58</v>
      </c>
      <c r="K589" s="6" t="n">
        <v>74948</v>
      </c>
      <c r="L589" s="6" t="n">
        <v>79009</v>
      </c>
      <c r="M589" s="6" t="s">
        <v>142</v>
      </c>
      <c r="N589" s="6" t="n">
        <v>38</v>
      </c>
      <c r="O589" s="6" t="s">
        <v>60</v>
      </c>
      <c r="P589" s="6" t="n">
        <v>9</v>
      </c>
      <c r="Q589" s="6" t="n">
        <v>-6.88</v>
      </c>
      <c r="R589" s="20" t="n">
        <f aca="false">(L589-K589)/K589</f>
        <v>0.0541842344025191</v>
      </c>
    </row>
    <row r="590" customFormat="false" ht="15" hidden="false" customHeight="false" outlineLevel="0" collapsed="false">
      <c r="A590" s="6" t="s">
        <v>752</v>
      </c>
      <c r="B590" s="6" t="n">
        <v>43</v>
      </c>
      <c r="C590" s="6" t="s">
        <v>139</v>
      </c>
      <c r="D590" s="6" t="s">
        <v>144</v>
      </c>
      <c r="E590" s="6" t="s">
        <v>93</v>
      </c>
      <c r="F590" s="6" t="s">
        <v>164</v>
      </c>
      <c r="G590" s="6" t="n">
        <v>20</v>
      </c>
      <c r="H590" s="6" t="s">
        <v>80</v>
      </c>
      <c r="I590" s="6" t="s">
        <v>81</v>
      </c>
      <c r="J590" s="6" t="s">
        <v>58</v>
      </c>
      <c r="K590" s="6" t="n">
        <v>82198</v>
      </c>
      <c r="L590" s="6" t="n">
        <v>87665</v>
      </c>
      <c r="M590" s="6" t="s">
        <v>146</v>
      </c>
      <c r="N590" s="6" t="n">
        <v>40</v>
      </c>
      <c r="O590" s="6" t="s">
        <v>60</v>
      </c>
      <c r="P590" s="6" t="n">
        <v>6</v>
      </c>
      <c r="Q590" s="6" t="n">
        <v>29.3</v>
      </c>
      <c r="R590" s="20" t="n">
        <f aca="false">(L590-K590)/K590</f>
        <v>0.0665101340665223</v>
      </c>
    </row>
    <row r="591" customFormat="false" ht="15" hidden="false" customHeight="false" outlineLevel="0" collapsed="false">
      <c r="A591" s="6" t="s">
        <v>753</v>
      </c>
      <c r="B591" s="6" t="n">
        <v>58</v>
      </c>
      <c r="C591" s="6" t="s">
        <v>159</v>
      </c>
      <c r="D591" s="6" t="s">
        <v>140</v>
      </c>
      <c r="E591" s="6" t="s">
        <v>92</v>
      </c>
      <c r="F591" s="6" t="s">
        <v>222</v>
      </c>
      <c r="G591" s="6" t="n">
        <v>33</v>
      </c>
      <c r="H591" s="6" t="s">
        <v>80</v>
      </c>
      <c r="I591" s="6" t="s">
        <v>81</v>
      </c>
      <c r="J591" s="6" t="s">
        <v>58</v>
      </c>
      <c r="K591" s="6" t="n">
        <v>30203</v>
      </c>
      <c r="L591" s="6" t="n">
        <v>29375</v>
      </c>
      <c r="M591" s="6" t="s">
        <v>146</v>
      </c>
      <c r="N591" s="6" t="n">
        <v>39</v>
      </c>
      <c r="O591" s="6" t="s">
        <v>58</v>
      </c>
      <c r="P591" s="6" t="n">
        <v>9</v>
      </c>
      <c r="Q591" s="6" t="n">
        <v>-6.97</v>
      </c>
      <c r="R591" s="20" t="n">
        <f aca="false">(L591-K591)/K591</f>
        <v>-0.0274144952488163</v>
      </c>
    </row>
    <row r="592" customFormat="false" ht="15" hidden="false" customHeight="false" outlineLevel="0" collapsed="false">
      <c r="A592" s="6" t="s">
        <v>754</v>
      </c>
      <c r="B592" s="6" t="n">
        <v>43</v>
      </c>
      <c r="C592" s="6" t="s">
        <v>139</v>
      </c>
      <c r="D592" s="6" t="s">
        <v>148</v>
      </c>
      <c r="E592" s="6" t="s">
        <v>87</v>
      </c>
      <c r="F592" s="6" t="s">
        <v>160</v>
      </c>
      <c r="G592" s="6" t="n">
        <v>17</v>
      </c>
      <c r="H592" s="6" t="s">
        <v>81</v>
      </c>
      <c r="I592" s="6" t="s">
        <v>81</v>
      </c>
      <c r="J592" s="6" t="s">
        <v>58</v>
      </c>
      <c r="K592" s="6" t="n">
        <v>50884</v>
      </c>
      <c r="L592" s="6" t="n">
        <v>59358</v>
      </c>
      <c r="M592" s="6" t="s">
        <v>146</v>
      </c>
      <c r="N592" s="6" t="n">
        <v>48</v>
      </c>
      <c r="O592" s="6" t="s">
        <v>60</v>
      </c>
      <c r="P592" s="6" t="n">
        <v>4</v>
      </c>
      <c r="Q592" s="6" t="n">
        <v>29.46</v>
      </c>
      <c r="R592" s="20" t="n">
        <f aca="false">(L592-K592)/K592</f>
        <v>0.166535649713073</v>
      </c>
    </row>
    <row r="593" customFormat="false" ht="15" hidden="false" customHeight="false" outlineLevel="0" collapsed="false">
      <c r="A593" s="6" t="s">
        <v>755</v>
      </c>
      <c r="B593" s="6" t="n">
        <v>27</v>
      </c>
      <c r="C593" s="6" t="s">
        <v>139</v>
      </c>
      <c r="D593" s="6" t="s">
        <v>135</v>
      </c>
      <c r="E593" s="6" t="s">
        <v>90</v>
      </c>
      <c r="F593" s="6" t="s">
        <v>236</v>
      </c>
      <c r="G593" s="6" t="n">
        <v>5</v>
      </c>
      <c r="H593" s="6" t="s">
        <v>80</v>
      </c>
      <c r="I593" s="6" t="s">
        <v>81</v>
      </c>
      <c r="J593" s="6" t="s">
        <v>60</v>
      </c>
      <c r="K593" s="6" t="n">
        <v>32103</v>
      </c>
      <c r="L593" s="6" t="n">
        <v>31466</v>
      </c>
      <c r="M593" s="6" t="s">
        <v>146</v>
      </c>
      <c r="N593" s="6" t="n">
        <v>41</v>
      </c>
      <c r="O593" s="6" t="s">
        <v>58</v>
      </c>
      <c r="P593" s="6" t="n">
        <v>7</v>
      </c>
      <c r="Q593" s="6" t="n">
        <v>10.85</v>
      </c>
      <c r="R593" s="20" t="n">
        <f aca="false">(L593-K593)/K593</f>
        <v>-0.0198423823318693</v>
      </c>
    </row>
    <row r="594" customFormat="false" ht="15" hidden="false" customHeight="false" outlineLevel="0" collapsed="false">
      <c r="A594" s="6" t="s">
        <v>756</v>
      </c>
      <c r="B594" s="6" t="n">
        <v>59</v>
      </c>
      <c r="C594" s="6" t="s">
        <v>134</v>
      </c>
      <c r="D594" s="6" t="s">
        <v>148</v>
      </c>
      <c r="E594" s="6" t="s">
        <v>89</v>
      </c>
      <c r="F594" s="6" t="s">
        <v>162</v>
      </c>
      <c r="G594" s="6" t="n">
        <v>36</v>
      </c>
      <c r="H594" s="6" t="s">
        <v>82</v>
      </c>
      <c r="I594" s="6" t="s">
        <v>81</v>
      </c>
      <c r="J594" s="6" t="s">
        <v>60</v>
      </c>
      <c r="K594" s="6" t="n">
        <v>111159</v>
      </c>
      <c r="L594" s="6" t="n">
        <v>105534</v>
      </c>
      <c r="M594" s="6" t="s">
        <v>146</v>
      </c>
      <c r="N594" s="6" t="n">
        <v>40</v>
      </c>
      <c r="O594" s="6" t="s">
        <v>60</v>
      </c>
      <c r="P594" s="6" t="n">
        <v>5</v>
      </c>
      <c r="Q594" s="6" t="n">
        <v>14.6</v>
      </c>
      <c r="R594" s="20" t="n">
        <f aca="false">(L594-K594)/K594</f>
        <v>-0.0506031900250992</v>
      </c>
    </row>
    <row r="595" customFormat="false" ht="15" hidden="false" customHeight="false" outlineLevel="0" collapsed="false">
      <c r="A595" s="6" t="s">
        <v>757</v>
      </c>
      <c r="B595" s="6" t="n">
        <v>41</v>
      </c>
      <c r="C595" s="6" t="s">
        <v>139</v>
      </c>
      <c r="D595" s="6" t="s">
        <v>148</v>
      </c>
      <c r="E595" s="6" t="s">
        <v>87</v>
      </c>
      <c r="F595" s="6" t="s">
        <v>149</v>
      </c>
      <c r="G595" s="6" t="n">
        <v>16</v>
      </c>
      <c r="H595" s="6" t="s">
        <v>81</v>
      </c>
      <c r="I595" s="6" t="s">
        <v>80</v>
      </c>
      <c r="J595" s="6" t="s">
        <v>60</v>
      </c>
      <c r="K595" s="6" t="n">
        <v>71258</v>
      </c>
      <c r="L595" s="6" t="n">
        <v>84089</v>
      </c>
      <c r="M595" s="6" t="s">
        <v>142</v>
      </c>
      <c r="N595" s="6" t="n">
        <v>44</v>
      </c>
      <c r="O595" s="6" t="s">
        <v>58</v>
      </c>
      <c r="P595" s="6" t="n">
        <v>5</v>
      </c>
      <c r="Q595" s="6" t="n">
        <v>28.08</v>
      </c>
      <c r="R595" s="20" t="n">
        <f aca="false">(L595-K595)/K595</f>
        <v>0.180063992814842</v>
      </c>
    </row>
    <row r="596" customFormat="false" ht="15" hidden="false" customHeight="false" outlineLevel="0" collapsed="false">
      <c r="A596" s="6" t="s">
        <v>758</v>
      </c>
      <c r="B596" s="6" t="n">
        <v>48</v>
      </c>
      <c r="C596" s="6" t="s">
        <v>159</v>
      </c>
      <c r="D596" s="6" t="s">
        <v>148</v>
      </c>
      <c r="E596" s="6" t="s">
        <v>91</v>
      </c>
      <c r="F596" s="6" t="s">
        <v>208</v>
      </c>
      <c r="G596" s="6" t="n">
        <v>24</v>
      </c>
      <c r="H596" s="6" t="s">
        <v>81</v>
      </c>
      <c r="I596" s="6" t="s">
        <v>81</v>
      </c>
      <c r="J596" s="6" t="s">
        <v>58</v>
      </c>
      <c r="K596" s="6" t="n">
        <v>58302</v>
      </c>
      <c r="L596" s="6" t="n">
        <v>57789</v>
      </c>
      <c r="M596" s="6" t="s">
        <v>146</v>
      </c>
      <c r="N596" s="6" t="n">
        <v>37</v>
      </c>
      <c r="O596" s="6" t="s">
        <v>58</v>
      </c>
      <c r="P596" s="6" t="n">
        <v>6</v>
      </c>
      <c r="Q596" s="6" t="n">
        <v>-0.91</v>
      </c>
      <c r="R596" s="20" t="n">
        <f aca="false">(L596-K596)/K596</f>
        <v>-0.00879901204075332</v>
      </c>
    </row>
    <row r="597" customFormat="false" ht="15" hidden="false" customHeight="false" outlineLevel="0" collapsed="false">
      <c r="A597" s="6" t="s">
        <v>759</v>
      </c>
      <c r="B597" s="6" t="n">
        <v>32</v>
      </c>
      <c r="C597" s="6" t="s">
        <v>139</v>
      </c>
      <c r="D597" s="6" t="s">
        <v>140</v>
      </c>
      <c r="E597" s="6" t="s">
        <v>90</v>
      </c>
      <c r="F597" s="6" t="s">
        <v>236</v>
      </c>
      <c r="G597" s="6" t="n">
        <v>8</v>
      </c>
      <c r="H597" s="6" t="s">
        <v>80</v>
      </c>
      <c r="I597" s="6" t="s">
        <v>81</v>
      </c>
      <c r="J597" s="6" t="s">
        <v>58</v>
      </c>
      <c r="K597" s="6" t="n">
        <v>100130</v>
      </c>
      <c r="L597" s="6" t="n">
        <v>101221</v>
      </c>
      <c r="M597" s="6" t="s">
        <v>146</v>
      </c>
      <c r="N597" s="6" t="n">
        <v>50</v>
      </c>
      <c r="O597" s="6" t="s">
        <v>58</v>
      </c>
      <c r="P597" s="6" t="n">
        <v>7</v>
      </c>
      <c r="Q597" s="6" t="n">
        <v>-19.18</v>
      </c>
      <c r="R597" s="20" t="n">
        <f aca="false">(L597-K597)/K597</f>
        <v>0.0108958354139619</v>
      </c>
    </row>
    <row r="598" customFormat="false" ht="15" hidden="false" customHeight="false" outlineLevel="0" collapsed="false">
      <c r="A598" s="6" t="s">
        <v>760</v>
      </c>
      <c r="B598" s="6" t="n">
        <v>56</v>
      </c>
      <c r="C598" s="6" t="s">
        <v>159</v>
      </c>
      <c r="D598" s="6" t="s">
        <v>148</v>
      </c>
      <c r="E598" s="6" t="s">
        <v>88</v>
      </c>
      <c r="F598" s="6" t="s">
        <v>234</v>
      </c>
      <c r="G598" s="6" t="n">
        <v>33</v>
      </c>
      <c r="H598" s="6" t="s">
        <v>80</v>
      </c>
      <c r="I598" s="6" t="s">
        <v>80</v>
      </c>
      <c r="J598" s="6" t="s">
        <v>60</v>
      </c>
      <c r="K598" s="6" t="n">
        <v>82656</v>
      </c>
      <c r="L598" s="6" t="n">
        <v>87974</v>
      </c>
      <c r="M598" s="6" t="s">
        <v>142</v>
      </c>
      <c r="N598" s="6" t="n">
        <v>49</v>
      </c>
      <c r="O598" s="6" t="s">
        <v>58</v>
      </c>
      <c r="P598" s="6" t="n">
        <v>5</v>
      </c>
      <c r="Q598" s="6" t="n">
        <v>-17.66</v>
      </c>
      <c r="R598" s="20" t="n">
        <f aca="false">(L598-K598)/K598</f>
        <v>0.0643389469608982</v>
      </c>
    </row>
    <row r="599" customFormat="false" ht="15" hidden="false" customHeight="false" outlineLevel="0" collapsed="false">
      <c r="A599" s="6" t="s">
        <v>761</v>
      </c>
      <c r="B599" s="6" t="n">
        <v>56</v>
      </c>
      <c r="C599" s="6" t="s">
        <v>159</v>
      </c>
      <c r="D599" s="6" t="s">
        <v>144</v>
      </c>
      <c r="E599" s="6" t="s">
        <v>92</v>
      </c>
      <c r="F599" s="6" t="s">
        <v>136</v>
      </c>
      <c r="G599" s="6" t="n">
        <v>32</v>
      </c>
      <c r="H599" s="6" t="s">
        <v>81</v>
      </c>
      <c r="I599" s="6" t="s">
        <v>81</v>
      </c>
      <c r="J599" s="6" t="s">
        <v>60</v>
      </c>
      <c r="K599" s="6" t="n">
        <v>76287</v>
      </c>
      <c r="L599" s="6" t="n">
        <v>78151</v>
      </c>
      <c r="M599" s="6" t="s">
        <v>146</v>
      </c>
      <c r="N599" s="6" t="n">
        <v>53</v>
      </c>
      <c r="O599" s="6" t="s">
        <v>58</v>
      </c>
      <c r="P599" s="6" t="n">
        <v>3</v>
      </c>
      <c r="Q599" s="6" t="n">
        <v>4.14</v>
      </c>
      <c r="R599" s="20" t="n">
        <f aca="false">(L599-K599)/K599</f>
        <v>0.0244340451190898</v>
      </c>
    </row>
    <row r="600" customFormat="false" ht="15" hidden="false" customHeight="false" outlineLevel="0" collapsed="false">
      <c r="A600" s="6" t="s">
        <v>762</v>
      </c>
      <c r="B600" s="6" t="n">
        <v>25</v>
      </c>
      <c r="C600" s="6" t="s">
        <v>134</v>
      </c>
      <c r="D600" s="6" t="s">
        <v>135</v>
      </c>
      <c r="E600" s="6" t="s">
        <v>89</v>
      </c>
      <c r="F600" s="6" t="s">
        <v>151</v>
      </c>
      <c r="G600" s="6" t="n">
        <v>0</v>
      </c>
      <c r="H600" s="6" t="s">
        <v>80</v>
      </c>
      <c r="I600" s="6" t="s">
        <v>81</v>
      </c>
      <c r="J600" s="6" t="s">
        <v>58</v>
      </c>
      <c r="K600" s="6" t="n">
        <v>101196</v>
      </c>
      <c r="L600" s="6" t="n">
        <v>107622</v>
      </c>
      <c r="M600" s="6" t="s">
        <v>146</v>
      </c>
      <c r="N600" s="6" t="n">
        <v>44</v>
      </c>
      <c r="O600" s="6" t="s">
        <v>58</v>
      </c>
      <c r="P600" s="6" t="n">
        <v>7</v>
      </c>
      <c r="Q600" s="6" t="n">
        <v>6.54</v>
      </c>
      <c r="R600" s="20" t="n">
        <f aca="false">(L600-K600)/K600</f>
        <v>0.0635005336179296</v>
      </c>
    </row>
    <row r="601" customFormat="false" ht="15" hidden="false" customHeight="false" outlineLevel="0" collapsed="false">
      <c r="A601" s="6" t="s">
        <v>763</v>
      </c>
      <c r="B601" s="6" t="n">
        <v>46</v>
      </c>
      <c r="C601" s="6" t="s">
        <v>159</v>
      </c>
      <c r="D601" s="6" t="s">
        <v>135</v>
      </c>
      <c r="E601" s="6" t="s">
        <v>88</v>
      </c>
      <c r="F601" s="6" t="s">
        <v>179</v>
      </c>
      <c r="G601" s="6" t="n">
        <v>21</v>
      </c>
      <c r="H601" s="6" t="s">
        <v>81</v>
      </c>
      <c r="I601" s="6" t="s">
        <v>82</v>
      </c>
      <c r="J601" s="6" t="s">
        <v>60</v>
      </c>
      <c r="K601" s="6" t="n">
        <v>114178</v>
      </c>
      <c r="L601" s="6" t="n">
        <v>132506</v>
      </c>
      <c r="M601" s="6" t="s">
        <v>142</v>
      </c>
      <c r="N601" s="6" t="n">
        <v>36</v>
      </c>
      <c r="O601" s="6" t="s">
        <v>60</v>
      </c>
      <c r="P601" s="6" t="n">
        <v>9</v>
      </c>
      <c r="Q601" s="6" t="n">
        <v>2.75</v>
      </c>
      <c r="R601" s="20" t="n">
        <f aca="false">(L601-K601)/K601</f>
        <v>0.160521291317066</v>
      </c>
    </row>
    <row r="602" customFormat="false" ht="15" hidden="false" customHeight="false" outlineLevel="0" collapsed="false">
      <c r="A602" s="6" t="s">
        <v>764</v>
      </c>
      <c r="B602" s="6" t="n">
        <v>49</v>
      </c>
      <c r="C602" s="6" t="s">
        <v>134</v>
      </c>
      <c r="D602" s="6" t="s">
        <v>140</v>
      </c>
      <c r="E602" s="6" t="s">
        <v>93</v>
      </c>
      <c r="F602" s="6" t="s">
        <v>164</v>
      </c>
      <c r="G602" s="6" t="n">
        <v>23</v>
      </c>
      <c r="H602" s="6" t="s">
        <v>82</v>
      </c>
      <c r="I602" s="6" t="s">
        <v>81</v>
      </c>
      <c r="J602" s="6" t="s">
        <v>60</v>
      </c>
      <c r="K602" s="6" t="n">
        <v>98798</v>
      </c>
      <c r="L602" s="6" t="n">
        <v>91583</v>
      </c>
      <c r="M602" s="6" t="s">
        <v>146</v>
      </c>
      <c r="N602" s="6" t="n">
        <v>46</v>
      </c>
      <c r="O602" s="6" t="s">
        <v>58</v>
      </c>
      <c r="P602" s="6" t="n">
        <v>4</v>
      </c>
      <c r="Q602" s="6" t="n">
        <v>39.74</v>
      </c>
      <c r="R602" s="20" t="n">
        <f aca="false">(L602-K602)/K602</f>
        <v>-0.0730277940849005</v>
      </c>
    </row>
    <row r="603" customFormat="false" ht="15" hidden="false" customHeight="false" outlineLevel="0" collapsed="false">
      <c r="A603" s="6" t="s">
        <v>765</v>
      </c>
      <c r="B603" s="6" t="n">
        <v>25</v>
      </c>
      <c r="C603" s="6" t="s">
        <v>139</v>
      </c>
      <c r="D603" s="6" t="s">
        <v>140</v>
      </c>
      <c r="E603" s="6" t="s">
        <v>91</v>
      </c>
      <c r="F603" s="6" t="s">
        <v>141</v>
      </c>
      <c r="G603" s="6" t="n">
        <v>3</v>
      </c>
      <c r="H603" s="6" t="s">
        <v>81</v>
      </c>
      <c r="I603" s="6" t="s">
        <v>82</v>
      </c>
      <c r="J603" s="6" t="s">
        <v>58</v>
      </c>
      <c r="K603" s="6" t="n">
        <v>97753</v>
      </c>
      <c r="L603" s="6" t="n">
        <v>108948</v>
      </c>
      <c r="M603" s="6" t="s">
        <v>142</v>
      </c>
      <c r="N603" s="6" t="n">
        <v>45</v>
      </c>
      <c r="O603" s="6" t="s">
        <v>58</v>
      </c>
      <c r="P603" s="6" t="n">
        <v>5</v>
      </c>
      <c r="Q603" s="6" t="n">
        <v>15.59</v>
      </c>
      <c r="R603" s="20" t="n">
        <f aca="false">(L603-K603)/K603</f>
        <v>0.114523339437153</v>
      </c>
    </row>
    <row r="604" customFormat="false" ht="15" hidden="false" customHeight="false" outlineLevel="0" collapsed="false">
      <c r="A604" s="6" t="s">
        <v>766</v>
      </c>
      <c r="B604" s="6" t="n">
        <v>39</v>
      </c>
      <c r="C604" s="6" t="s">
        <v>134</v>
      </c>
      <c r="D604" s="6" t="s">
        <v>148</v>
      </c>
      <c r="E604" s="6" t="s">
        <v>91</v>
      </c>
      <c r="F604" s="6" t="s">
        <v>208</v>
      </c>
      <c r="G604" s="6" t="n">
        <v>15</v>
      </c>
      <c r="H604" s="6" t="s">
        <v>80</v>
      </c>
      <c r="I604" s="6" t="s">
        <v>80</v>
      </c>
      <c r="J604" s="6" t="s">
        <v>60</v>
      </c>
      <c r="K604" s="6" t="n">
        <v>76646</v>
      </c>
      <c r="L604" s="6" t="n">
        <v>82742</v>
      </c>
      <c r="M604" s="6" t="s">
        <v>142</v>
      </c>
      <c r="N604" s="6" t="n">
        <v>45</v>
      </c>
      <c r="O604" s="6" t="s">
        <v>58</v>
      </c>
      <c r="P604" s="6" t="n">
        <v>7</v>
      </c>
      <c r="Q604" s="6" t="n">
        <v>-13.4</v>
      </c>
      <c r="R604" s="20" t="n">
        <f aca="false">(L604-K604)/K604</f>
        <v>0.0795344832085171</v>
      </c>
    </row>
    <row r="605" customFormat="false" ht="15" hidden="false" customHeight="false" outlineLevel="0" collapsed="false">
      <c r="A605" s="6" t="s">
        <v>767</v>
      </c>
      <c r="B605" s="6" t="n">
        <v>26</v>
      </c>
      <c r="C605" s="6" t="s">
        <v>134</v>
      </c>
      <c r="D605" s="6" t="s">
        <v>144</v>
      </c>
      <c r="E605" s="6" t="s">
        <v>88</v>
      </c>
      <c r="F605" s="6" t="s">
        <v>157</v>
      </c>
      <c r="G605" s="6" t="n">
        <v>4</v>
      </c>
      <c r="H605" s="6" t="s">
        <v>80</v>
      </c>
      <c r="I605" s="6" t="s">
        <v>81</v>
      </c>
      <c r="J605" s="6" t="s">
        <v>58</v>
      </c>
      <c r="K605" s="6" t="n">
        <v>30570</v>
      </c>
      <c r="L605" s="6" t="n">
        <v>32238</v>
      </c>
      <c r="M605" s="6" t="s">
        <v>146</v>
      </c>
      <c r="N605" s="6" t="n">
        <v>44</v>
      </c>
      <c r="O605" s="6" t="s">
        <v>58</v>
      </c>
      <c r="P605" s="6" t="n">
        <v>8</v>
      </c>
      <c r="Q605" s="6" t="n">
        <v>18.92</v>
      </c>
      <c r="R605" s="20" t="n">
        <f aca="false">(L605-K605)/K605</f>
        <v>0.0545632973503435</v>
      </c>
    </row>
    <row r="606" customFormat="false" ht="15" hidden="false" customHeight="false" outlineLevel="0" collapsed="false">
      <c r="A606" s="6" t="s">
        <v>768</v>
      </c>
      <c r="B606" s="6" t="n">
        <v>40</v>
      </c>
      <c r="C606" s="6" t="s">
        <v>139</v>
      </c>
      <c r="D606" s="6" t="s">
        <v>144</v>
      </c>
      <c r="E606" s="6" t="s">
        <v>92</v>
      </c>
      <c r="F606" s="6" t="s">
        <v>192</v>
      </c>
      <c r="G606" s="6" t="n">
        <v>18</v>
      </c>
      <c r="H606" s="6" t="s">
        <v>80</v>
      </c>
      <c r="I606" s="6" t="s">
        <v>80</v>
      </c>
      <c r="J606" s="6" t="s">
        <v>60</v>
      </c>
      <c r="K606" s="6" t="n">
        <v>94575</v>
      </c>
      <c r="L606" s="6" t="n">
        <v>101340</v>
      </c>
      <c r="M606" s="6" t="s">
        <v>142</v>
      </c>
      <c r="N606" s="6" t="n">
        <v>42</v>
      </c>
      <c r="O606" s="6" t="s">
        <v>58</v>
      </c>
      <c r="P606" s="6" t="n">
        <v>6</v>
      </c>
      <c r="Q606" s="6" t="n">
        <v>4.83</v>
      </c>
      <c r="R606" s="20" t="n">
        <f aca="false">(L606-K606)/K606</f>
        <v>0.0715305313243458</v>
      </c>
    </row>
    <row r="607" customFormat="false" ht="15" hidden="false" customHeight="false" outlineLevel="0" collapsed="false">
      <c r="A607" s="6" t="s">
        <v>769</v>
      </c>
      <c r="B607" s="6" t="n">
        <v>43</v>
      </c>
      <c r="C607" s="6" t="s">
        <v>139</v>
      </c>
      <c r="D607" s="6" t="s">
        <v>140</v>
      </c>
      <c r="E607" s="6" t="s">
        <v>92</v>
      </c>
      <c r="F607" s="6" t="s">
        <v>192</v>
      </c>
      <c r="G607" s="6" t="n">
        <v>20</v>
      </c>
      <c r="H607" s="6" t="s">
        <v>82</v>
      </c>
      <c r="I607" s="6" t="s">
        <v>81</v>
      </c>
      <c r="J607" s="6" t="s">
        <v>58</v>
      </c>
      <c r="K607" s="6" t="n">
        <v>53470</v>
      </c>
      <c r="L607" s="6" t="n">
        <v>57306</v>
      </c>
      <c r="M607" s="6" t="s">
        <v>146</v>
      </c>
      <c r="N607" s="6" t="n">
        <v>52</v>
      </c>
      <c r="O607" s="6" t="s">
        <v>60</v>
      </c>
      <c r="P607" s="6" t="n">
        <v>6</v>
      </c>
      <c r="Q607" s="6" t="n">
        <v>36.92</v>
      </c>
      <c r="R607" s="20" t="n">
        <f aca="false">(L607-K607)/K607</f>
        <v>0.0717411632691229</v>
      </c>
    </row>
    <row r="608" customFormat="false" ht="15" hidden="false" customHeight="false" outlineLevel="0" collapsed="false">
      <c r="A608" s="6" t="s">
        <v>770</v>
      </c>
      <c r="B608" s="6" t="n">
        <v>54</v>
      </c>
      <c r="C608" s="6" t="s">
        <v>134</v>
      </c>
      <c r="D608" s="6" t="s">
        <v>140</v>
      </c>
      <c r="E608" s="6" t="s">
        <v>92</v>
      </c>
      <c r="F608" s="6" t="s">
        <v>192</v>
      </c>
      <c r="G608" s="6" t="n">
        <v>30</v>
      </c>
      <c r="H608" s="6" t="s">
        <v>81</v>
      </c>
      <c r="I608" s="6" t="s">
        <v>82</v>
      </c>
      <c r="J608" s="6" t="s">
        <v>58</v>
      </c>
      <c r="K608" s="6" t="n">
        <v>116795</v>
      </c>
      <c r="L608" s="6" t="n">
        <v>121053</v>
      </c>
      <c r="M608" s="6" t="s">
        <v>142</v>
      </c>
      <c r="N608" s="6" t="n">
        <v>40</v>
      </c>
      <c r="O608" s="6" t="s">
        <v>60</v>
      </c>
      <c r="P608" s="6" t="n">
        <v>5</v>
      </c>
      <c r="Q608" s="6" t="n">
        <v>21.14</v>
      </c>
      <c r="R608" s="20" t="n">
        <f aca="false">(L608-K608)/K608</f>
        <v>0.0364570401130185</v>
      </c>
    </row>
    <row r="609" customFormat="false" ht="15" hidden="false" customHeight="false" outlineLevel="0" collapsed="false">
      <c r="A609" s="6" t="s">
        <v>771</v>
      </c>
      <c r="B609" s="6" t="n">
        <v>49</v>
      </c>
      <c r="C609" s="6" t="s">
        <v>159</v>
      </c>
      <c r="D609" s="6" t="s">
        <v>148</v>
      </c>
      <c r="E609" s="6" t="s">
        <v>87</v>
      </c>
      <c r="F609" s="6" t="s">
        <v>149</v>
      </c>
      <c r="G609" s="6" t="n">
        <v>26</v>
      </c>
      <c r="H609" s="6" t="s">
        <v>82</v>
      </c>
      <c r="I609" s="6" t="s">
        <v>82</v>
      </c>
      <c r="J609" s="6" t="s">
        <v>60</v>
      </c>
      <c r="K609" s="6" t="n">
        <v>35213</v>
      </c>
      <c r="L609" s="6" t="n">
        <v>46796</v>
      </c>
      <c r="M609" s="6" t="s">
        <v>137</v>
      </c>
      <c r="N609" s="6" t="n">
        <v>51</v>
      </c>
      <c r="O609" s="6" t="s">
        <v>58</v>
      </c>
      <c r="P609" s="6" t="n">
        <v>8</v>
      </c>
      <c r="Q609" s="6" t="n">
        <v>15.07</v>
      </c>
      <c r="R609" s="20" t="n">
        <f aca="false">(L609-K609)/K609</f>
        <v>0.328941016102008</v>
      </c>
    </row>
    <row r="610" customFormat="false" ht="15" hidden="false" customHeight="false" outlineLevel="0" collapsed="false">
      <c r="A610" s="6" t="s">
        <v>772</v>
      </c>
      <c r="B610" s="6" t="n">
        <v>23</v>
      </c>
      <c r="C610" s="6" t="s">
        <v>159</v>
      </c>
      <c r="D610" s="6" t="s">
        <v>148</v>
      </c>
      <c r="E610" s="6" t="s">
        <v>87</v>
      </c>
      <c r="F610" s="6" t="s">
        <v>160</v>
      </c>
      <c r="G610" s="6" t="n">
        <v>0</v>
      </c>
      <c r="H610" s="6" t="s">
        <v>80</v>
      </c>
      <c r="I610" s="6" t="s">
        <v>80</v>
      </c>
      <c r="J610" s="6" t="s">
        <v>60</v>
      </c>
      <c r="K610" s="6" t="n">
        <v>53989</v>
      </c>
      <c r="L610" s="6" t="n">
        <v>56012</v>
      </c>
      <c r="M610" s="6" t="s">
        <v>142</v>
      </c>
      <c r="N610" s="6" t="n">
        <v>42</v>
      </c>
      <c r="O610" s="6" t="s">
        <v>60</v>
      </c>
      <c r="P610" s="6" t="n">
        <v>5</v>
      </c>
      <c r="Q610" s="6" t="n">
        <v>15.57</v>
      </c>
      <c r="R610" s="20" t="n">
        <f aca="false">(L610-K610)/K610</f>
        <v>0.0374705958621201</v>
      </c>
    </row>
    <row r="611" customFormat="false" ht="15" hidden="false" customHeight="false" outlineLevel="0" collapsed="false">
      <c r="A611" s="6" t="s">
        <v>773</v>
      </c>
      <c r="B611" s="6" t="n">
        <v>43</v>
      </c>
      <c r="C611" s="6" t="s">
        <v>159</v>
      </c>
      <c r="D611" s="6" t="s">
        <v>140</v>
      </c>
      <c r="E611" s="6" t="s">
        <v>88</v>
      </c>
      <c r="F611" s="6" t="s">
        <v>157</v>
      </c>
      <c r="G611" s="6" t="n">
        <v>18</v>
      </c>
      <c r="H611" s="6" t="s">
        <v>80</v>
      </c>
      <c r="I611" s="6" t="s">
        <v>82</v>
      </c>
      <c r="J611" s="6" t="s">
        <v>58</v>
      </c>
      <c r="K611" s="6" t="n">
        <v>53559</v>
      </c>
      <c r="L611" s="6" t="n">
        <v>51415</v>
      </c>
      <c r="M611" s="6" t="s">
        <v>142</v>
      </c>
      <c r="N611" s="6" t="n">
        <v>51</v>
      </c>
      <c r="O611" s="6" t="s">
        <v>60</v>
      </c>
      <c r="P611" s="6" t="n">
        <v>6</v>
      </c>
      <c r="Q611" s="6" t="n">
        <v>-6.15</v>
      </c>
      <c r="R611" s="20" t="n">
        <f aca="false">(L611-K611)/K611</f>
        <v>-0.0400306204372748</v>
      </c>
    </row>
    <row r="612" customFormat="false" ht="15" hidden="false" customHeight="false" outlineLevel="0" collapsed="false">
      <c r="A612" s="6" t="s">
        <v>774</v>
      </c>
      <c r="B612" s="6" t="n">
        <v>37</v>
      </c>
      <c r="C612" s="6" t="s">
        <v>139</v>
      </c>
      <c r="D612" s="6" t="s">
        <v>140</v>
      </c>
      <c r="E612" s="6" t="s">
        <v>90</v>
      </c>
      <c r="F612" s="6" t="s">
        <v>145</v>
      </c>
      <c r="G612" s="6" t="n">
        <v>13</v>
      </c>
      <c r="H612" s="6" t="s">
        <v>81</v>
      </c>
      <c r="I612" s="6" t="s">
        <v>81</v>
      </c>
      <c r="J612" s="6" t="s">
        <v>60</v>
      </c>
      <c r="K612" s="6" t="n">
        <v>114486</v>
      </c>
      <c r="L612" s="6" t="n">
        <v>120264</v>
      </c>
      <c r="M612" s="6" t="s">
        <v>146</v>
      </c>
      <c r="N612" s="6" t="n">
        <v>50</v>
      </c>
      <c r="O612" s="6" t="s">
        <v>60</v>
      </c>
      <c r="P612" s="6" t="n">
        <v>5</v>
      </c>
      <c r="Q612" s="6" t="n">
        <v>38.57</v>
      </c>
      <c r="R612" s="20" t="n">
        <f aca="false">(L612-K612)/K612</f>
        <v>0.0504690529846444</v>
      </c>
    </row>
    <row r="613" customFormat="false" ht="15" hidden="false" customHeight="false" outlineLevel="0" collapsed="false">
      <c r="A613" s="6" t="s">
        <v>775</v>
      </c>
      <c r="B613" s="6" t="n">
        <v>44</v>
      </c>
      <c r="C613" s="6" t="s">
        <v>134</v>
      </c>
      <c r="D613" s="6" t="s">
        <v>144</v>
      </c>
      <c r="E613" s="6" t="s">
        <v>89</v>
      </c>
      <c r="F613" s="6" t="s">
        <v>151</v>
      </c>
      <c r="G613" s="6" t="n">
        <v>22</v>
      </c>
      <c r="H613" s="6" t="s">
        <v>80</v>
      </c>
      <c r="I613" s="6" t="s">
        <v>80</v>
      </c>
      <c r="J613" s="6" t="s">
        <v>60</v>
      </c>
      <c r="K613" s="6" t="n">
        <v>94418</v>
      </c>
      <c r="L613" s="6" t="n">
        <v>92537</v>
      </c>
      <c r="M613" s="6" t="s">
        <v>142</v>
      </c>
      <c r="N613" s="6" t="n">
        <v>51</v>
      </c>
      <c r="O613" s="6" t="s">
        <v>60</v>
      </c>
      <c r="P613" s="6" t="n">
        <v>9</v>
      </c>
      <c r="Q613" s="6" t="n">
        <v>-7.03</v>
      </c>
      <c r="R613" s="20" t="n">
        <f aca="false">(L613-K613)/K613</f>
        <v>-0.0199220487618886</v>
      </c>
    </row>
    <row r="614" customFormat="false" ht="15" hidden="false" customHeight="false" outlineLevel="0" collapsed="false">
      <c r="A614" s="6" t="s">
        <v>776</v>
      </c>
      <c r="B614" s="6" t="n">
        <v>52</v>
      </c>
      <c r="C614" s="6" t="s">
        <v>159</v>
      </c>
      <c r="D614" s="6" t="s">
        <v>140</v>
      </c>
      <c r="E614" s="6" t="s">
        <v>92</v>
      </c>
      <c r="F614" s="6" t="s">
        <v>222</v>
      </c>
      <c r="G614" s="6" t="n">
        <v>30</v>
      </c>
      <c r="H614" s="6" t="s">
        <v>82</v>
      </c>
      <c r="I614" s="6" t="s">
        <v>80</v>
      </c>
      <c r="J614" s="6" t="s">
        <v>58</v>
      </c>
      <c r="K614" s="6" t="n">
        <v>86583</v>
      </c>
      <c r="L614" s="6" t="n">
        <v>118139</v>
      </c>
      <c r="M614" s="6" t="s">
        <v>142</v>
      </c>
      <c r="N614" s="6" t="n">
        <v>48</v>
      </c>
      <c r="O614" s="6" t="s">
        <v>58</v>
      </c>
      <c r="P614" s="6" t="n">
        <v>6</v>
      </c>
      <c r="Q614" s="6" t="n">
        <v>26.55</v>
      </c>
      <c r="R614" s="20" t="n">
        <f aca="false">(L614-K614)/K614</f>
        <v>0.364459535936616</v>
      </c>
    </row>
    <row r="615" customFormat="false" ht="15" hidden="false" customHeight="false" outlineLevel="0" collapsed="false">
      <c r="A615" s="6" t="s">
        <v>777</v>
      </c>
      <c r="B615" s="6" t="n">
        <v>33</v>
      </c>
      <c r="C615" s="6" t="s">
        <v>134</v>
      </c>
      <c r="D615" s="6" t="s">
        <v>135</v>
      </c>
      <c r="E615" s="6" t="s">
        <v>92</v>
      </c>
      <c r="F615" s="6" t="s">
        <v>222</v>
      </c>
      <c r="G615" s="6" t="n">
        <v>11</v>
      </c>
      <c r="H615" s="6" t="s">
        <v>80</v>
      </c>
      <c r="I615" s="6" t="s">
        <v>81</v>
      </c>
      <c r="J615" s="6" t="s">
        <v>58</v>
      </c>
      <c r="K615" s="6" t="n">
        <v>65903</v>
      </c>
      <c r="L615" s="6" t="n">
        <v>71424</v>
      </c>
      <c r="M615" s="6" t="s">
        <v>146</v>
      </c>
      <c r="N615" s="6" t="n">
        <v>48</v>
      </c>
      <c r="O615" s="6" t="s">
        <v>58</v>
      </c>
      <c r="P615" s="6" t="n">
        <v>5</v>
      </c>
      <c r="Q615" s="6" t="n">
        <v>-1.64</v>
      </c>
      <c r="R615" s="20" t="n">
        <f aca="false">(L615-K615)/K615</f>
        <v>0.0837746384838323</v>
      </c>
    </row>
    <row r="616" customFormat="false" ht="15" hidden="false" customHeight="false" outlineLevel="0" collapsed="false">
      <c r="A616" s="6" t="s">
        <v>778</v>
      </c>
      <c r="B616" s="6" t="n">
        <v>55</v>
      </c>
      <c r="C616" s="6" t="s">
        <v>134</v>
      </c>
      <c r="D616" s="6" t="s">
        <v>148</v>
      </c>
      <c r="E616" s="6" t="s">
        <v>91</v>
      </c>
      <c r="F616" s="6" t="s">
        <v>141</v>
      </c>
      <c r="G616" s="6" t="n">
        <v>32</v>
      </c>
      <c r="H616" s="6" t="s">
        <v>81</v>
      </c>
      <c r="I616" s="6" t="s">
        <v>82</v>
      </c>
      <c r="J616" s="6" t="s">
        <v>58</v>
      </c>
      <c r="K616" s="6" t="n">
        <v>113014</v>
      </c>
      <c r="L616" s="6" t="n">
        <v>108859</v>
      </c>
      <c r="M616" s="6" t="s">
        <v>142</v>
      </c>
      <c r="N616" s="6" t="n">
        <v>54</v>
      </c>
      <c r="O616" s="6" t="s">
        <v>60</v>
      </c>
      <c r="P616" s="6" t="n">
        <v>4</v>
      </c>
      <c r="Q616" s="6" t="n">
        <v>-6.24</v>
      </c>
      <c r="R616" s="20" t="n">
        <f aca="false">(L616-K616)/K616</f>
        <v>-0.0367653565045039</v>
      </c>
    </row>
    <row r="617" customFormat="false" ht="15" hidden="false" customHeight="false" outlineLevel="0" collapsed="false">
      <c r="A617" s="6" t="s">
        <v>779</v>
      </c>
      <c r="B617" s="6" t="n">
        <v>59</v>
      </c>
      <c r="C617" s="6" t="s">
        <v>134</v>
      </c>
      <c r="D617" s="6" t="s">
        <v>135</v>
      </c>
      <c r="E617" s="6" t="s">
        <v>88</v>
      </c>
      <c r="F617" s="6" t="s">
        <v>157</v>
      </c>
      <c r="G617" s="6" t="n">
        <v>36</v>
      </c>
      <c r="H617" s="6" t="s">
        <v>81</v>
      </c>
      <c r="I617" s="6" t="s">
        <v>81</v>
      </c>
      <c r="J617" s="6" t="s">
        <v>58</v>
      </c>
      <c r="K617" s="6" t="n">
        <v>75619</v>
      </c>
      <c r="L617" s="6" t="n">
        <v>78003</v>
      </c>
      <c r="M617" s="6" t="s">
        <v>146</v>
      </c>
      <c r="N617" s="6" t="n">
        <v>39</v>
      </c>
      <c r="O617" s="6" t="s">
        <v>58</v>
      </c>
      <c r="P617" s="6" t="n">
        <v>8</v>
      </c>
      <c r="Q617" s="6" t="n">
        <v>11.79</v>
      </c>
      <c r="R617" s="20" t="n">
        <f aca="false">(L617-K617)/K617</f>
        <v>0.0315264682156601</v>
      </c>
    </row>
    <row r="618" customFormat="false" ht="15" hidden="false" customHeight="false" outlineLevel="0" collapsed="false">
      <c r="A618" s="6" t="s">
        <v>780</v>
      </c>
      <c r="B618" s="6" t="n">
        <v>29</v>
      </c>
      <c r="C618" s="6" t="s">
        <v>134</v>
      </c>
      <c r="D618" s="6" t="s">
        <v>144</v>
      </c>
      <c r="E618" s="6" t="s">
        <v>90</v>
      </c>
      <c r="F618" s="6" t="s">
        <v>145</v>
      </c>
      <c r="G618" s="6" t="n">
        <v>4</v>
      </c>
      <c r="H618" s="6" t="s">
        <v>81</v>
      </c>
      <c r="I618" s="6" t="s">
        <v>80</v>
      </c>
      <c r="J618" s="6" t="s">
        <v>60</v>
      </c>
      <c r="K618" s="6" t="n">
        <v>105831</v>
      </c>
      <c r="L618" s="6" t="n">
        <v>100187</v>
      </c>
      <c r="M618" s="6" t="s">
        <v>142</v>
      </c>
      <c r="N618" s="6" t="n">
        <v>42</v>
      </c>
      <c r="O618" s="6" t="s">
        <v>58</v>
      </c>
      <c r="P618" s="6" t="n">
        <v>7</v>
      </c>
      <c r="Q618" s="6" t="n">
        <v>-7.56</v>
      </c>
      <c r="R618" s="20" t="n">
        <f aca="false">(L618-K618)/K618</f>
        <v>-0.0533303096446221</v>
      </c>
    </row>
    <row r="619" customFormat="false" ht="15" hidden="false" customHeight="false" outlineLevel="0" collapsed="false">
      <c r="A619" s="6" t="s">
        <v>781</v>
      </c>
      <c r="B619" s="6" t="n">
        <v>51</v>
      </c>
      <c r="C619" s="6" t="s">
        <v>134</v>
      </c>
      <c r="D619" s="6" t="s">
        <v>144</v>
      </c>
      <c r="E619" s="6" t="s">
        <v>91</v>
      </c>
      <c r="F619" s="6" t="s">
        <v>208</v>
      </c>
      <c r="G619" s="6" t="n">
        <v>26</v>
      </c>
      <c r="H619" s="6" t="s">
        <v>81</v>
      </c>
      <c r="I619" s="6" t="s">
        <v>82</v>
      </c>
      <c r="J619" s="6" t="s">
        <v>60</v>
      </c>
      <c r="K619" s="6" t="n">
        <v>112569</v>
      </c>
      <c r="L619" s="6" t="n">
        <v>109973</v>
      </c>
      <c r="M619" s="6" t="s">
        <v>142</v>
      </c>
      <c r="N619" s="6" t="n">
        <v>47</v>
      </c>
      <c r="O619" s="6" t="s">
        <v>58</v>
      </c>
      <c r="P619" s="6" t="n">
        <v>6</v>
      </c>
      <c r="Q619" s="6" t="n">
        <v>1.32</v>
      </c>
      <c r="R619" s="20" t="n">
        <f aca="false">(L619-K619)/K619</f>
        <v>-0.0230614112233386</v>
      </c>
    </row>
    <row r="620" customFormat="false" ht="15" hidden="false" customHeight="false" outlineLevel="0" collapsed="false">
      <c r="A620" s="6" t="s">
        <v>782</v>
      </c>
      <c r="B620" s="6" t="n">
        <v>58</v>
      </c>
      <c r="C620" s="6" t="s">
        <v>134</v>
      </c>
      <c r="D620" s="6" t="s">
        <v>144</v>
      </c>
      <c r="E620" s="6" t="s">
        <v>88</v>
      </c>
      <c r="F620" s="6" t="s">
        <v>157</v>
      </c>
      <c r="G620" s="6" t="n">
        <v>35</v>
      </c>
      <c r="H620" s="6" t="s">
        <v>82</v>
      </c>
      <c r="I620" s="6" t="s">
        <v>81</v>
      </c>
      <c r="J620" s="6" t="s">
        <v>60</v>
      </c>
      <c r="K620" s="6" t="n">
        <v>41349</v>
      </c>
      <c r="L620" s="6" t="n">
        <v>55363</v>
      </c>
      <c r="M620" s="6" t="s">
        <v>146</v>
      </c>
      <c r="N620" s="6" t="n">
        <v>40</v>
      </c>
      <c r="O620" s="6" t="s">
        <v>58</v>
      </c>
      <c r="P620" s="6" t="n">
        <v>9</v>
      </c>
      <c r="Q620" s="6" t="n">
        <v>26.61</v>
      </c>
      <c r="R620" s="20" t="n">
        <f aca="false">(L620-K620)/K620</f>
        <v>0.338919925512104</v>
      </c>
    </row>
    <row r="621" customFormat="false" ht="15" hidden="false" customHeight="false" outlineLevel="0" collapsed="false">
      <c r="A621" s="6" t="s">
        <v>783</v>
      </c>
      <c r="B621" s="6" t="n">
        <v>45</v>
      </c>
      <c r="C621" s="6" t="s">
        <v>159</v>
      </c>
      <c r="D621" s="6" t="s">
        <v>135</v>
      </c>
      <c r="E621" s="6" t="s">
        <v>87</v>
      </c>
      <c r="F621" s="6" t="s">
        <v>155</v>
      </c>
      <c r="G621" s="6" t="n">
        <v>22</v>
      </c>
      <c r="H621" s="6" t="s">
        <v>82</v>
      </c>
      <c r="I621" s="6" t="s">
        <v>82</v>
      </c>
      <c r="J621" s="6" t="s">
        <v>60</v>
      </c>
      <c r="K621" s="6" t="n">
        <v>119462</v>
      </c>
      <c r="L621" s="6" t="n">
        <v>146222</v>
      </c>
      <c r="M621" s="6" t="s">
        <v>137</v>
      </c>
      <c r="N621" s="6" t="n">
        <v>39</v>
      </c>
      <c r="O621" s="6" t="s">
        <v>58</v>
      </c>
      <c r="P621" s="6" t="n">
        <v>8</v>
      </c>
      <c r="Q621" s="6" t="n">
        <v>17.03</v>
      </c>
      <c r="R621" s="20" t="n">
        <f aca="false">(L621-K621)/K621</f>
        <v>0.224004285881703</v>
      </c>
    </row>
    <row r="622" customFormat="false" ht="15" hidden="false" customHeight="false" outlineLevel="0" collapsed="false">
      <c r="A622" s="6" t="s">
        <v>784</v>
      </c>
      <c r="B622" s="6" t="n">
        <v>31</v>
      </c>
      <c r="C622" s="6" t="s">
        <v>159</v>
      </c>
      <c r="D622" s="6" t="s">
        <v>144</v>
      </c>
      <c r="E622" s="6" t="s">
        <v>89</v>
      </c>
      <c r="F622" s="6" t="s">
        <v>151</v>
      </c>
      <c r="G622" s="6" t="n">
        <v>7</v>
      </c>
      <c r="H622" s="6" t="s">
        <v>82</v>
      </c>
      <c r="I622" s="6" t="s">
        <v>82</v>
      </c>
      <c r="J622" s="6" t="s">
        <v>60</v>
      </c>
      <c r="K622" s="6" t="n">
        <v>115103</v>
      </c>
      <c r="L622" s="6" t="n">
        <v>104115</v>
      </c>
      <c r="M622" s="6" t="s">
        <v>137</v>
      </c>
      <c r="N622" s="6" t="n">
        <v>35</v>
      </c>
      <c r="O622" s="6" t="s">
        <v>58</v>
      </c>
      <c r="P622" s="6" t="n">
        <v>9</v>
      </c>
      <c r="Q622" s="6" t="n">
        <v>32.52</v>
      </c>
      <c r="R622" s="20" t="n">
        <f aca="false">(L622-K622)/K622</f>
        <v>-0.0954623250480005</v>
      </c>
    </row>
    <row r="623" customFormat="false" ht="15" hidden="false" customHeight="false" outlineLevel="0" collapsed="false">
      <c r="A623" s="6" t="s">
        <v>785</v>
      </c>
      <c r="B623" s="6" t="n">
        <v>52</v>
      </c>
      <c r="C623" s="6" t="s">
        <v>134</v>
      </c>
      <c r="D623" s="6" t="s">
        <v>140</v>
      </c>
      <c r="E623" s="6" t="s">
        <v>91</v>
      </c>
      <c r="F623" s="6" t="s">
        <v>141</v>
      </c>
      <c r="G623" s="6" t="n">
        <v>29</v>
      </c>
      <c r="H623" s="6" t="s">
        <v>80</v>
      </c>
      <c r="I623" s="6" t="s">
        <v>81</v>
      </c>
      <c r="J623" s="6" t="s">
        <v>60</v>
      </c>
      <c r="K623" s="6" t="n">
        <v>60134</v>
      </c>
      <c r="L623" s="6" t="n">
        <v>57641</v>
      </c>
      <c r="M623" s="6" t="s">
        <v>146</v>
      </c>
      <c r="N623" s="6" t="n">
        <v>43</v>
      </c>
      <c r="O623" s="6" t="s">
        <v>58</v>
      </c>
      <c r="P623" s="6" t="n">
        <v>8</v>
      </c>
      <c r="Q623" s="6" t="n">
        <v>5.12</v>
      </c>
      <c r="R623" s="20" t="n">
        <f aca="false">(L623-K623)/K623</f>
        <v>-0.0414574117803572</v>
      </c>
    </row>
    <row r="624" customFormat="false" ht="15" hidden="false" customHeight="false" outlineLevel="0" collapsed="false">
      <c r="A624" s="6" t="s">
        <v>786</v>
      </c>
      <c r="B624" s="6" t="n">
        <v>34</v>
      </c>
      <c r="C624" s="6" t="s">
        <v>159</v>
      </c>
      <c r="D624" s="6" t="s">
        <v>135</v>
      </c>
      <c r="E624" s="6" t="s">
        <v>92</v>
      </c>
      <c r="F624" s="6" t="s">
        <v>192</v>
      </c>
      <c r="G624" s="6" t="n">
        <v>12</v>
      </c>
      <c r="H624" s="6" t="s">
        <v>82</v>
      </c>
      <c r="I624" s="6" t="s">
        <v>81</v>
      </c>
      <c r="J624" s="6" t="s">
        <v>58</v>
      </c>
      <c r="K624" s="6" t="n">
        <v>63455</v>
      </c>
      <c r="L624" s="6" t="n">
        <v>71598</v>
      </c>
      <c r="M624" s="6" t="s">
        <v>146</v>
      </c>
      <c r="N624" s="6" t="n">
        <v>51</v>
      </c>
      <c r="O624" s="6" t="s">
        <v>58</v>
      </c>
      <c r="P624" s="6" t="n">
        <v>9</v>
      </c>
      <c r="Q624" s="6" t="n">
        <v>39.51</v>
      </c>
      <c r="R624" s="20" t="n">
        <f aca="false">(L624-K624)/K624</f>
        <v>0.128327160980222</v>
      </c>
    </row>
    <row r="625" customFormat="false" ht="15" hidden="false" customHeight="false" outlineLevel="0" collapsed="false">
      <c r="A625" s="6" t="s">
        <v>787</v>
      </c>
      <c r="B625" s="6" t="n">
        <v>36</v>
      </c>
      <c r="C625" s="6" t="s">
        <v>139</v>
      </c>
      <c r="D625" s="6" t="s">
        <v>140</v>
      </c>
      <c r="E625" s="6" t="s">
        <v>88</v>
      </c>
      <c r="F625" s="6" t="s">
        <v>234</v>
      </c>
      <c r="G625" s="6" t="n">
        <v>10</v>
      </c>
      <c r="H625" s="6" t="s">
        <v>82</v>
      </c>
      <c r="I625" s="6" t="s">
        <v>80</v>
      </c>
      <c r="J625" s="6" t="s">
        <v>60</v>
      </c>
      <c r="K625" s="6" t="n">
        <v>73856</v>
      </c>
      <c r="L625" s="6" t="n">
        <v>92991</v>
      </c>
      <c r="M625" s="6" t="s">
        <v>142</v>
      </c>
      <c r="N625" s="6" t="n">
        <v>52</v>
      </c>
      <c r="O625" s="6" t="s">
        <v>60</v>
      </c>
      <c r="P625" s="6" t="n">
        <v>7</v>
      </c>
      <c r="Q625" s="6" t="n">
        <v>36.43</v>
      </c>
      <c r="R625" s="20" t="n">
        <f aca="false">(L625-K625)/K625</f>
        <v>0.259085246967071</v>
      </c>
    </row>
    <row r="626" customFormat="false" ht="15" hidden="false" customHeight="false" outlineLevel="0" collapsed="false">
      <c r="A626" s="6" t="s">
        <v>788</v>
      </c>
      <c r="B626" s="6" t="n">
        <v>37</v>
      </c>
      <c r="C626" s="6" t="s">
        <v>159</v>
      </c>
      <c r="D626" s="6" t="s">
        <v>144</v>
      </c>
      <c r="E626" s="6" t="s">
        <v>92</v>
      </c>
      <c r="F626" s="6" t="s">
        <v>222</v>
      </c>
      <c r="G626" s="6" t="n">
        <v>15</v>
      </c>
      <c r="H626" s="6" t="s">
        <v>82</v>
      </c>
      <c r="I626" s="6" t="s">
        <v>81</v>
      </c>
      <c r="J626" s="6" t="s">
        <v>60</v>
      </c>
      <c r="K626" s="6" t="n">
        <v>95982</v>
      </c>
      <c r="L626" s="6" t="n">
        <v>109011</v>
      </c>
      <c r="M626" s="6" t="s">
        <v>146</v>
      </c>
      <c r="N626" s="6" t="n">
        <v>41</v>
      </c>
      <c r="O626" s="6" t="s">
        <v>60</v>
      </c>
      <c r="P626" s="6" t="n">
        <v>3</v>
      </c>
      <c r="Q626" s="6" t="n">
        <v>21.22</v>
      </c>
      <c r="R626" s="20" t="n">
        <f aca="false">(L626-K626)/K626</f>
        <v>0.135744202037882</v>
      </c>
    </row>
    <row r="627" customFormat="false" ht="15" hidden="false" customHeight="false" outlineLevel="0" collapsed="false">
      <c r="A627" s="6" t="s">
        <v>789</v>
      </c>
      <c r="B627" s="6" t="n">
        <v>56</v>
      </c>
      <c r="C627" s="6" t="s">
        <v>134</v>
      </c>
      <c r="D627" s="6" t="s">
        <v>148</v>
      </c>
      <c r="E627" s="6" t="s">
        <v>90</v>
      </c>
      <c r="F627" s="6" t="s">
        <v>236</v>
      </c>
      <c r="G627" s="6" t="n">
        <v>33</v>
      </c>
      <c r="H627" s="6" t="s">
        <v>80</v>
      </c>
      <c r="I627" s="6" t="s">
        <v>82</v>
      </c>
      <c r="J627" s="6" t="s">
        <v>60</v>
      </c>
      <c r="K627" s="6" t="n">
        <v>41151</v>
      </c>
      <c r="L627" s="6" t="n">
        <v>41119</v>
      </c>
      <c r="M627" s="6" t="s">
        <v>142</v>
      </c>
      <c r="N627" s="6" t="n">
        <v>42</v>
      </c>
      <c r="O627" s="6" t="s">
        <v>58</v>
      </c>
      <c r="P627" s="6" t="n">
        <v>7</v>
      </c>
      <c r="Q627" s="6" t="n">
        <v>7.24</v>
      </c>
      <c r="R627" s="20" t="n">
        <f aca="false">(L627-K627)/K627</f>
        <v>-0.000777623873052903</v>
      </c>
    </row>
    <row r="628" customFormat="false" ht="15" hidden="false" customHeight="false" outlineLevel="0" collapsed="false">
      <c r="A628" s="6" t="s">
        <v>790</v>
      </c>
      <c r="B628" s="6" t="n">
        <v>38</v>
      </c>
      <c r="C628" s="6" t="s">
        <v>134</v>
      </c>
      <c r="D628" s="6" t="s">
        <v>135</v>
      </c>
      <c r="E628" s="6" t="s">
        <v>91</v>
      </c>
      <c r="F628" s="6" t="s">
        <v>141</v>
      </c>
      <c r="G628" s="6" t="n">
        <v>16</v>
      </c>
      <c r="H628" s="6" t="s">
        <v>82</v>
      </c>
      <c r="I628" s="6" t="s">
        <v>81</v>
      </c>
      <c r="J628" s="6" t="s">
        <v>60</v>
      </c>
      <c r="K628" s="6" t="n">
        <v>96788</v>
      </c>
      <c r="L628" s="6" t="n">
        <v>107056</v>
      </c>
      <c r="M628" s="6" t="s">
        <v>146</v>
      </c>
      <c r="N628" s="6" t="n">
        <v>48</v>
      </c>
      <c r="O628" s="6" t="s">
        <v>58</v>
      </c>
      <c r="P628" s="6" t="n">
        <v>9</v>
      </c>
      <c r="Q628" s="6" t="n">
        <v>24.17</v>
      </c>
      <c r="R628" s="20" t="n">
        <f aca="false">(L628-K628)/K628</f>
        <v>0.106087531512171</v>
      </c>
    </row>
    <row r="629" customFormat="false" ht="15" hidden="false" customHeight="false" outlineLevel="0" collapsed="false">
      <c r="A629" s="6" t="s">
        <v>791</v>
      </c>
      <c r="B629" s="6" t="n">
        <v>25</v>
      </c>
      <c r="C629" s="6" t="s">
        <v>134</v>
      </c>
      <c r="D629" s="6" t="s">
        <v>148</v>
      </c>
      <c r="E629" s="6" t="s">
        <v>93</v>
      </c>
      <c r="F629" s="6" t="s">
        <v>181</v>
      </c>
      <c r="G629" s="6" t="n">
        <v>0</v>
      </c>
      <c r="H629" s="6" t="s">
        <v>82</v>
      </c>
      <c r="I629" s="6" t="s">
        <v>81</v>
      </c>
      <c r="J629" s="6" t="s">
        <v>60</v>
      </c>
      <c r="K629" s="6" t="n">
        <v>113494</v>
      </c>
      <c r="L629" s="6" t="n">
        <v>154283</v>
      </c>
      <c r="M629" s="6" t="s">
        <v>146</v>
      </c>
      <c r="N629" s="6" t="n">
        <v>40</v>
      </c>
      <c r="O629" s="6" t="s">
        <v>58</v>
      </c>
      <c r="P629" s="6" t="n">
        <v>9</v>
      </c>
      <c r="Q629" s="6" t="n">
        <v>24.5</v>
      </c>
      <c r="R629" s="20" t="n">
        <f aca="false">(L629-K629)/K629</f>
        <v>0.359393448111794</v>
      </c>
    </row>
    <row r="630" customFormat="false" ht="15" hidden="false" customHeight="false" outlineLevel="0" collapsed="false">
      <c r="A630" s="6" t="s">
        <v>792</v>
      </c>
      <c r="B630" s="6" t="n">
        <v>59</v>
      </c>
      <c r="C630" s="6" t="s">
        <v>134</v>
      </c>
      <c r="D630" s="6" t="s">
        <v>148</v>
      </c>
      <c r="E630" s="6" t="s">
        <v>93</v>
      </c>
      <c r="F630" s="6" t="s">
        <v>181</v>
      </c>
      <c r="G630" s="6" t="n">
        <v>34</v>
      </c>
      <c r="H630" s="6" t="s">
        <v>80</v>
      </c>
      <c r="I630" s="6" t="s">
        <v>80</v>
      </c>
      <c r="J630" s="6" t="s">
        <v>60</v>
      </c>
      <c r="K630" s="6" t="n">
        <v>111972</v>
      </c>
      <c r="L630" s="6" t="n">
        <v>111053</v>
      </c>
      <c r="M630" s="6" t="s">
        <v>142</v>
      </c>
      <c r="N630" s="6" t="n">
        <v>47</v>
      </c>
      <c r="O630" s="6" t="s">
        <v>60</v>
      </c>
      <c r="P630" s="6" t="n">
        <v>8</v>
      </c>
      <c r="Q630" s="6" t="n">
        <v>-6.88</v>
      </c>
      <c r="R630" s="20" t="n">
        <f aca="false">(L630-K630)/K630</f>
        <v>-0.00820740899510592</v>
      </c>
    </row>
    <row r="631" customFormat="false" ht="15" hidden="false" customHeight="false" outlineLevel="0" collapsed="false">
      <c r="A631" s="6" t="s">
        <v>793</v>
      </c>
      <c r="B631" s="6" t="n">
        <v>55</v>
      </c>
      <c r="C631" s="6" t="s">
        <v>139</v>
      </c>
      <c r="D631" s="6" t="s">
        <v>148</v>
      </c>
      <c r="E631" s="6" t="s">
        <v>87</v>
      </c>
      <c r="F631" s="6" t="s">
        <v>155</v>
      </c>
      <c r="G631" s="6" t="n">
        <v>29</v>
      </c>
      <c r="H631" s="6" t="s">
        <v>81</v>
      </c>
      <c r="I631" s="6" t="s">
        <v>82</v>
      </c>
      <c r="J631" s="6" t="s">
        <v>60</v>
      </c>
      <c r="K631" s="6" t="n">
        <v>93909</v>
      </c>
      <c r="L631" s="6" t="n">
        <v>111843</v>
      </c>
      <c r="M631" s="6" t="s">
        <v>142</v>
      </c>
      <c r="N631" s="6" t="n">
        <v>40</v>
      </c>
      <c r="O631" s="6" t="s">
        <v>60</v>
      </c>
      <c r="P631" s="6" t="n">
        <v>8</v>
      </c>
      <c r="Q631" s="6" t="n">
        <v>14.28</v>
      </c>
      <c r="R631" s="20" t="n">
        <f aca="false">(L631-K631)/K631</f>
        <v>0.190972111299237</v>
      </c>
    </row>
    <row r="632" customFormat="false" ht="15" hidden="false" customHeight="false" outlineLevel="0" collapsed="false">
      <c r="A632" s="6" t="s">
        <v>794</v>
      </c>
      <c r="B632" s="6" t="n">
        <v>53</v>
      </c>
      <c r="C632" s="6" t="s">
        <v>159</v>
      </c>
      <c r="D632" s="6" t="s">
        <v>140</v>
      </c>
      <c r="E632" s="6" t="s">
        <v>88</v>
      </c>
      <c r="F632" s="6" t="s">
        <v>179</v>
      </c>
      <c r="G632" s="6" t="n">
        <v>29</v>
      </c>
      <c r="H632" s="6" t="s">
        <v>80</v>
      </c>
      <c r="I632" s="6" t="s">
        <v>82</v>
      </c>
      <c r="J632" s="6" t="s">
        <v>58</v>
      </c>
      <c r="K632" s="6" t="n">
        <v>116402</v>
      </c>
      <c r="L632" s="6" t="n">
        <v>126191</v>
      </c>
      <c r="M632" s="6" t="s">
        <v>142</v>
      </c>
      <c r="N632" s="6" t="n">
        <v>39</v>
      </c>
      <c r="O632" s="6" t="s">
        <v>60</v>
      </c>
      <c r="P632" s="6" t="n">
        <v>8</v>
      </c>
      <c r="Q632" s="6" t="n">
        <v>0.25</v>
      </c>
      <c r="R632" s="20" t="n">
        <f aca="false">(L632-K632)/K632</f>
        <v>0.0840964931874023</v>
      </c>
    </row>
    <row r="633" customFormat="false" ht="15" hidden="false" customHeight="false" outlineLevel="0" collapsed="false">
      <c r="A633" s="6" t="s">
        <v>795</v>
      </c>
      <c r="B633" s="6" t="n">
        <v>46</v>
      </c>
      <c r="C633" s="6" t="s">
        <v>139</v>
      </c>
      <c r="D633" s="6" t="s">
        <v>135</v>
      </c>
      <c r="E633" s="6" t="s">
        <v>87</v>
      </c>
      <c r="F633" s="6" t="s">
        <v>149</v>
      </c>
      <c r="G633" s="6" t="n">
        <v>24</v>
      </c>
      <c r="H633" s="6" t="s">
        <v>81</v>
      </c>
      <c r="I633" s="6" t="s">
        <v>82</v>
      </c>
      <c r="J633" s="6" t="s">
        <v>60</v>
      </c>
      <c r="K633" s="6" t="n">
        <v>59437</v>
      </c>
      <c r="L633" s="6" t="n">
        <v>62766</v>
      </c>
      <c r="M633" s="6" t="s">
        <v>142</v>
      </c>
      <c r="N633" s="6" t="n">
        <v>38</v>
      </c>
      <c r="O633" s="6" t="s">
        <v>58</v>
      </c>
      <c r="P633" s="6" t="n">
        <v>7</v>
      </c>
      <c r="Q633" s="6" t="n">
        <v>11.32</v>
      </c>
      <c r="R633" s="20" t="n">
        <f aca="false">(L633-K633)/K633</f>
        <v>0.0560088833554856</v>
      </c>
    </row>
    <row r="634" customFormat="false" ht="15" hidden="false" customHeight="false" outlineLevel="0" collapsed="false">
      <c r="A634" s="6" t="s">
        <v>796</v>
      </c>
      <c r="B634" s="6" t="n">
        <v>41</v>
      </c>
      <c r="C634" s="6" t="s">
        <v>139</v>
      </c>
      <c r="D634" s="6" t="s">
        <v>135</v>
      </c>
      <c r="E634" s="6" t="s">
        <v>91</v>
      </c>
      <c r="F634" s="6" t="s">
        <v>208</v>
      </c>
      <c r="G634" s="6" t="n">
        <v>16</v>
      </c>
      <c r="H634" s="6" t="s">
        <v>82</v>
      </c>
      <c r="I634" s="6" t="s">
        <v>82</v>
      </c>
      <c r="J634" s="6" t="s">
        <v>60</v>
      </c>
      <c r="K634" s="6" t="n">
        <v>30336</v>
      </c>
      <c r="L634" s="6" t="n">
        <v>27036</v>
      </c>
      <c r="M634" s="6" t="s">
        <v>137</v>
      </c>
      <c r="N634" s="6" t="n">
        <v>49</v>
      </c>
      <c r="O634" s="6" t="s">
        <v>60</v>
      </c>
      <c r="P634" s="6" t="n">
        <v>7</v>
      </c>
      <c r="Q634" s="6" t="n">
        <v>7.5</v>
      </c>
      <c r="R634" s="20" t="n">
        <f aca="false">(L634-K634)/K634</f>
        <v>-0.10878164556962</v>
      </c>
    </row>
    <row r="635" customFormat="false" ht="15" hidden="false" customHeight="false" outlineLevel="0" collapsed="false">
      <c r="A635" s="6" t="s">
        <v>797</v>
      </c>
      <c r="B635" s="6" t="n">
        <v>38</v>
      </c>
      <c r="C635" s="6" t="s">
        <v>159</v>
      </c>
      <c r="D635" s="6" t="s">
        <v>135</v>
      </c>
      <c r="E635" s="6" t="s">
        <v>93</v>
      </c>
      <c r="F635" s="6" t="s">
        <v>164</v>
      </c>
      <c r="G635" s="6" t="n">
        <v>15</v>
      </c>
      <c r="H635" s="6" t="s">
        <v>81</v>
      </c>
      <c r="I635" s="6" t="s">
        <v>80</v>
      </c>
      <c r="J635" s="6" t="s">
        <v>58</v>
      </c>
      <c r="K635" s="6" t="n">
        <v>101386</v>
      </c>
      <c r="L635" s="6" t="n">
        <v>92465</v>
      </c>
      <c r="M635" s="6" t="s">
        <v>142</v>
      </c>
      <c r="N635" s="6" t="n">
        <v>42</v>
      </c>
      <c r="O635" s="6" t="s">
        <v>60</v>
      </c>
      <c r="P635" s="6" t="n">
        <v>5</v>
      </c>
      <c r="Q635" s="6" t="n">
        <v>-2.51</v>
      </c>
      <c r="R635" s="20" t="n">
        <f aca="false">(L635-K635)/K635</f>
        <v>-0.0879904523306966</v>
      </c>
    </row>
    <row r="636" customFormat="false" ht="15" hidden="false" customHeight="false" outlineLevel="0" collapsed="false">
      <c r="A636" s="6" t="s">
        <v>798</v>
      </c>
      <c r="B636" s="6" t="n">
        <v>47</v>
      </c>
      <c r="C636" s="6" t="s">
        <v>159</v>
      </c>
      <c r="D636" s="6" t="s">
        <v>144</v>
      </c>
      <c r="E636" s="6" t="s">
        <v>93</v>
      </c>
      <c r="F636" s="6" t="s">
        <v>197</v>
      </c>
      <c r="G636" s="6" t="n">
        <v>23</v>
      </c>
      <c r="H636" s="6" t="s">
        <v>80</v>
      </c>
      <c r="I636" s="6" t="s">
        <v>81</v>
      </c>
      <c r="J636" s="6" t="s">
        <v>58</v>
      </c>
      <c r="K636" s="6" t="n">
        <v>84028</v>
      </c>
      <c r="L636" s="6" t="n">
        <v>85726</v>
      </c>
      <c r="M636" s="6" t="s">
        <v>146</v>
      </c>
      <c r="N636" s="6" t="n">
        <v>50</v>
      </c>
      <c r="O636" s="6" t="s">
        <v>58</v>
      </c>
      <c r="P636" s="6" t="n">
        <v>9</v>
      </c>
      <c r="Q636" s="6" t="n">
        <v>7.98</v>
      </c>
      <c r="R636" s="20" t="n">
        <f aca="false">(L636-K636)/K636</f>
        <v>0.0202075498643309</v>
      </c>
    </row>
    <row r="637" customFormat="false" ht="15" hidden="false" customHeight="false" outlineLevel="0" collapsed="false">
      <c r="A637" s="6" t="s">
        <v>799</v>
      </c>
      <c r="B637" s="6" t="n">
        <v>23</v>
      </c>
      <c r="C637" s="6" t="s">
        <v>159</v>
      </c>
      <c r="D637" s="6" t="s">
        <v>144</v>
      </c>
      <c r="E637" s="6" t="s">
        <v>91</v>
      </c>
      <c r="F637" s="6" t="s">
        <v>208</v>
      </c>
      <c r="G637" s="6" t="n">
        <v>0</v>
      </c>
      <c r="H637" s="6" t="s">
        <v>81</v>
      </c>
      <c r="I637" s="6" t="s">
        <v>82</v>
      </c>
      <c r="J637" s="6" t="s">
        <v>58</v>
      </c>
      <c r="K637" s="6" t="n">
        <v>86830</v>
      </c>
      <c r="L637" s="6" t="n">
        <v>93695</v>
      </c>
      <c r="M637" s="6" t="s">
        <v>142</v>
      </c>
      <c r="N637" s="6" t="n">
        <v>52</v>
      </c>
      <c r="O637" s="6" t="s">
        <v>60</v>
      </c>
      <c r="P637" s="6" t="n">
        <v>7</v>
      </c>
      <c r="Q637" s="6" t="n">
        <v>39.97</v>
      </c>
      <c r="R637" s="20" t="n">
        <f aca="false">(L637-K637)/K637</f>
        <v>0.0790625359898653</v>
      </c>
    </row>
    <row r="638" customFormat="false" ht="15" hidden="false" customHeight="false" outlineLevel="0" collapsed="false">
      <c r="A638" s="6" t="s">
        <v>800</v>
      </c>
      <c r="B638" s="6" t="n">
        <v>51</v>
      </c>
      <c r="C638" s="6" t="s">
        <v>134</v>
      </c>
      <c r="D638" s="6" t="s">
        <v>135</v>
      </c>
      <c r="E638" s="6" t="s">
        <v>93</v>
      </c>
      <c r="F638" s="6" t="s">
        <v>164</v>
      </c>
      <c r="G638" s="6" t="n">
        <v>28</v>
      </c>
      <c r="H638" s="6" t="s">
        <v>82</v>
      </c>
      <c r="I638" s="6" t="s">
        <v>82</v>
      </c>
      <c r="J638" s="6" t="s">
        <v>58</v>
      </c>
      <c r="K638" s="6" t="n">
        <v>60676</v>
      </c>
      <c r="L638" s="6" t="n">
        <v>76314</v>
      </c>
      <c r="M638" s="6" t="s">
        <v>137</v>
      </c>
      <c r="N638" s="6" t="n">
        <v>51</v>
      </c>
      <c r="O638" s="6" t="s">
        <v>58</v>
      </c>
      <c r="P638" s="6" t="n">
        <v>5</v>
      </c>
      <c r="Q638" s="6" t="n">
        <v>-17.27</v>
      </c>
      <c r="R638" s="20" t="n">
        <f aca="false">(L638-K638)/K638</f>
        <v>0.257729580064605</v>
      </c>
    </row>
    <row r="639" customFormat="false" ht="15" hidden="false" customHeight="false" outlineLevel="0" collapsed="false">
      <c r="A639" s="6" t="s">
        <v>801</v>
      </c>
      <c r="B639" s="6" t="n">
        <v>36</v>
      </c>
      <c r="C639" s="6" t="s">
        <v>134</v>
      </c>
      <c r="D639" s="6" t="s">
        <v>135</v>
      </c>
      <c r="E639" s="6" t="s">
        <v>87</v>
      </c>
      <c r="F639" s="6" t="s">
        <v>160</v>
      </c>
      <c r="G639" s="6" t="n">
        <v>14</v>
      </c>
      <c r="H639" s="6" t="s">
        <v>82</v>
      </c>
      <c r="I639" s="6" t="s">
        <v>82</v>
      </c>
      <c r="J639" s="6" t="s">
        <v>60</v>
      </c>
      <c r="K639" s="6" t="n">
        <v>61923</v>
      </c>
      <c r="L639" s="6" t="n">
        <v>68481</v>
      </c>
      <c r="M639" s="6" t="s">
        <v>146</v>
      </c>
      <c r="N639" s="6" t="n">
        <v>54</v>
      </c>
      <c r="O639" s="6" t="s">
        <v>60</v>
      </c>
      <c r="P639" s="6" t="n">
        <v>8</v>
      </c>
      <c r="Q639" s="6" t="n">
        <v>10.08</v>
      </c>
      <c r="R639" s="20" t="n">
        <f aca="false">(L639-K639)/K639</f>
        <v>0.105905721622014</v>
      </c>
    </row>
    <row r="640" customFormat="false" ht="15" hidden="false" customHeight="false" outlineLevel="0" collapsed="false">
      <c r="A640" s="6" t="s">
        <v>802</v>
      </c>
      <c r="B640" s="6" t="n">
        <v>54</v>
      </c>
      <c r="C640" s="6" t="s">
        <v>134</v>
      </c>
      <c r="D640" s="6" t="s">
        <v>135</v>
      </c>
      <c r="E640" s="6" t="s">
        <v>87</v>
      </c>
      <c r="F640" s="6" t="s">
        <v>160</v>
      </c>
      <c r="G640" s="6" t="n">
        <v>32</v>
      </c>
      <c r="H640" s="6" t="s">
        <v>82</v>
      </c>
      <c r="I640" s="6" t="s">
        <v>80</v>
      </c>
      <c r="J640" s="6" t="s">
        <v>60</v>
      </c>
      <c r="K640" s="6" t="n">
        <v>61027</v>
      </c>
      <c r="L640" s="6" t="n">
        <v>82815</v>
      </c>
      <c r="M640" s="6" t="s">
        <v>142</v>
      </c>
      <c r="N640" s="6" t="n">
        <v>46</v>
      </c>
      <c r="O640" s="6" t="s">
        <v>60</v>
      </c>
      <c r="P640" s="6" t="n">
        <v>5</v>
      </c>
      <c r="Q640" s="6" t="n">
        <v>39.78</v>
      </c>
      <c r="R640" s="20" t="n">
        <f aca="false">(L640-K640)/K640</f>
        <v>0.357022301604208</v>
      </c>
    </row>
    <row r="641" customFormat="false" ht="15" hidden="false" customHeight="false" outlineLevel="0" collapsed="false">
      <c r="A641" s="6" t="s">
        <v>803</v>
      </c>
      <c r="B641" s="6" t="n">
        <v>32</v>
      </c>
      <c r="C641" s="6" t="s">
        <v>134</v>
      </c>
      <c r="D641" s="6" t="s">
        <v>140</v>
      </c>
      <c r="E641" s="6" t="s">
        <v>90</v>
      </c>
      <c r="F641" s="6" t="s">
        <v>145</v>
      </c>
      <c r="G641" s="6" t="n">
        <v>9</v>
      </c>
      <c r="H641" s="6" t="s">
        <v>80</v>
      </c>
      <c r="I641" s="6" t="s">
        <v>80</v>
      </c>
      <c r="J641" s="6" t="s">
        <v>58</v>
      </c>
      <c r="K641" s="6" t="n">
        <v>99327</v>
      </c>
      <c r="L641" s="6" t="n">
        <v>97898</v>
      </c>
      <c r="M641" s="6" t="s">
        <v>142</v>
      </c>
      <c r="N641" s="6" t="n">
        <v>35</v>
      </c>
      <c r="O641" s="6" t="s">
        <v>60</v>
      </c>
      <c r="P641" s="6" t="n">
        <v>7</v>
      </c>
      <c r="Q641" s="6" t="n">
        <v>-17.02</v>
      </c>
      <c r="R641" s="20" t="n">
        <f aca="false">(L641-K641)/K641</f>
        <v>-0.01438682332095</v>
      </c>
    </row>
    <row r="642" customFormat="false" ht="15" hidden="false" customHeight="false" outlineLevel="0" collapsed="false">
      <c r="A642" s="6" t="s">
        <v>804</v>
      </c>
      <c r="B642" s="6" t="n">
        <v>35</v>
      </c>
      <c r="C642" s="6" t="s">
        <v>159</v>
      </c>
      <c r="D642" s="6" t="s">
        <v>148</v>
      </c>
      <c r="E642" s="6" t="s">
        <v>93</v>
      </c>
      <c r="F642" s="6" t="s">
        <v>197</v>
      </c>
      <c r="G642" s="6" t="n">
        <v>13</v>
      </c>
      <c r="H642" s="6" t="s">
        <v>80</v>
      </c>
      <c r="I642" s="6" t="s">
        <v>80</v>
      </c>
      <c r="J642" s="6" t="s">
        <v>58</v>
      </c>
      <c r="K642" s="6" t="n">
        <v>84200</v>
      </c>
      <c r="L642" s="6" t="n">
        <v>82378</v>
      </c>
      <c r="M642" s="6" t="s">
        <v>142</v>
      </c>
      <c r="N642" s="6" t="n">
        <v>46</v>
      </c>
      <c r="O642" s="6" t="s">
        <v>58</v>
      </c>
      <c r="P642" s="6" t="n">
        <v>3</v>
      </c>
      <c r="Q642" s="6" t="n">
        <v>35.34</v>
      </c>
      <c r="R642" s="20" t="n">
        <f aca="false">(L642-K642)/K642</f>
        <v>-0.0216389548693587</v>
      </c>
    </row>
    <row r="643" customFormat="false" ht="15" hidden="false" customHeight="false" outlineLevel="0" collapsed="false">
      <c r="A643" s="6" t="s">
        <v>805</v>
      </c>
      <c r="B643" s="6" t="n">
        <v>32</v>
      </c>
      <c r="C643" s="6" t="s">
        <v>139</v>
      </c>
      <c r="D643" s="6" t="s">
        <v>140</v>
      </c>
      <c r="E643" s="6" t="s">
        <v>89</v>
      </c>
      <c r="F643" s="6" t="s">
        <v>153</v>
      </c>
      <c r="G643" s="6" t="n">
        <v>8</v>
      </c>
      <c r="H643" s="6" t="s">
        <v>81</v>
      </c>
      <c r="I643" s="6" t="s">
        <v>80</v>
      </c>
      <c r="J643" s="6" t="s">
        <v>58</v>
      </c>
      <c r="K643" s="6" t="n">
        <v>52800</v>
      </c>
      <c r="L643" s="6" t="n">
        <v>50858</v>
      </c>
      <c r="M643" s="6" t="s">
        <v>142</v>
      </c>
      <c r="N643" s="6" t="n">
        <v>42</v>
      </c>
      <c r="O643" s="6" t="s">
        <v>58</v>
      </c>
      <c r="P643" s="6" t="n">
        <v>9</v>
      </c>
      <c r="Q643" s="6" t="n">
        <v>13.39</v>
      </c>
      <c r="R643" s="20" t="n">
        <f aca="false">(L643-K643)/K643</f>
        <v>-0.036780303030303</v>
      </c>
    </row>
    <row r="644" customFormat="false" ht="15" hidden="false" customHeight="false" outlineLevel="0" collapsed="false">
      <c r="A644" s="6" t="s">
        <v>806</v>
      </c>
      <c r="B644" s="6" t="n">
        <v>27</v>
      </c>
      <c r="C644" s="6" t="s">
        <v>139</v>
      </c>
      <c r="D644" s="6" t="s">
        <v>144</v>
      </c>
      <c r="E644" s="6" t="s">
        <v>89</v>
      </c>
      <c r="F644" s="6" t="s">
        <v>153</v>
      </c>
      <c r="G644" s="6" t="n">
        <v>4</v>
      </c>
      <c r="H644" s="6" t="s">
        <v>81</v>
      </c>
      <c r="I644" s="6" t="s">
        <v>82</v>
      </c>
      <c r="J644" s="6" t="s">
        <v>60</v>
      </c>
      <c r="K644" s="6" t="n">
        <v>55068</v>
      </c>
      <c r="L644" s="6" t="n">
        <v>63221</v>
      </c>
      <c r="M644" s="6" t="s">
        <v>142</v>
      </c>
      <c r="N644" s="6" t="n">
        <v>43</v>
      </c>
      <c r="O644" s="6" t="s">
        <v>58</v>
      </c>
      <c r="P644" s="6" t="n">
        <v>3</v>
      </c>
      <c r="Q644" s="6" t="n">
        <v>11.48</v>
      </c>
      <c r="R644" s="20" t="n">
        <f aca="false">(L644-K644)/K644</f>
        <v>0.148053315900341</v>
      </c>
    </row>
    <row r="645" customFormat="false" ht="15" hidden="false" customHeight="false" outlineLevel="0" collapsed="false">
      <c r="A645" s="6" t="s">
        <v>807</v>
      </c>
      <c r="B645" s="6" t="n">
        <v>56</v>
      </c>
      <c r="C645" s="6" t="s">
        <v>139</v>
      </c>
      <c r="D645" s="6" t="s">
        <v>135</v>
      </c>
      <c r="E645" s="6" t="s">
        <v>89</v>
      </c>
      <c r="F645" s="6" t="s">
        <v>151</v>
      </c>
      <c r="G645" s="6" t="n">
        <v>32</v>
      </c>
      <c r="H645" s="6" t="s">
        <v>81</v>
      </c>
      <c r="I645" s="6" t="s">
        <v>80</v>
      </c>
      <c r="J645" s="6" t="s">
        <v>58</v>
      </c>
      <c r="K645" s="6" t="n">
        <v>53383</v>
      </c>
      <c r="L645" s="6" t="n">
        <v>48526</v>
      </c>
      <c r="M645" s="6" t="s">
        <v>142</v>
      </c>
      <c r="N645" s="6" t="n">
        <v>42</v>
      </c>
      <c r="O645" s="6" t="s">
        <v>60</v>
      </c>
      <c r="P645" s="6" t="n">
        <v>5</v>
      </c>
      <c r="Q645" s="6" t="n">
        <v>37.69</v>
      </c>
      <c r="R645" s="20" t="n">
        <f aca="false">(L645-K645)/K645</f>
        <v>-0.0909840211303224</v>
      </c>
    </row>
    <row r="646" customFormat="false" ht="15" hidden="false" customHeight="false" outlineLevel="0" collapsed="false">
      <c r="A646" s="6" t="s">
        <v>808</v>
      </c>
      <c r="B646" s="6" t="n">
        <v>49</v>
      </c>
      <c r="C646" s="6" t="s">
        <v>134</v>
      </c>
      <c r="D646" s="6" t="s">
        <v>135</v>
      </c>
      <c r="E646" s="6" t="s">
        <v>90</v>
      </c>
      <c r="F646" s="6" t="s">
        <v>202</v>
      </c>
      <c r="G646" s="6" t="n">
        <v>25</v>
      </c>
      <c r="H646" s="6" t="s">
        <v>82</v>
      </c>
      <c r="I646" s="6" t="s">
        <v>82</v>
      </c>
      <c r="J646" s="6" t="s">
        <v>60</v>
      </c>
      <c r="K646" s="6" t="n">
        <v>87616</v>
      </c>
      <c r="L646" s="6" t="n">
        <v>104440</v>
      </c>
      <c r="M646" s="6" t="s">
        <v>146</v>
      </c>
      <c r="N646" s="6" t="n">
        <v>36</v>
      </c>
      <c r="O646" s="6" t="s">
        <v>58</v>
      </c>
      <c r="P646" s="6" t="n">
        <v>8</v>
      </c>
      <c r="Q646" s="6" t="n">
        <v>-8.46</v>
      </c>
      <c r="R646" s="20" t="n">
        <f aca="false">(L646-K646)/K646</f>
        <v>0.192019722425128</v>
      </c>
    </row>
    <row r="647" customFormat="false" ht="15" hidden="false" customHeight="false" outlineLevel="0" collapsed="false">
      <c r="A647" s="6" t="s">
        <v>809</v>
      </c>
      <c r="B647" s="6" t="n">
        <v>58</v>
      </c>
      <c r="C647" s="6" t="s">
        <v>134</v>
      </c>
      <c r="D647" s="6" t="s">
        <v>148</v>
      </c>
      <c r="E647" s="6" t="s">
        <v>92</v>
      </c>
      <c r="F647" s="6" t="s">
        <v>192</v>
      </c>
      <c r="G647" s="6" t="n">
        <v>34</v>
      </c>
      <c r="H647" s="6" t="s">
        <v>81</v>
      </c>
      <c r="I647" s="6" t="s">
        <v>81</v>
      </c>
      <c r="J647" s="6" t="s">
        <v>60</v>
      </c>
      <c r="K647" s="6" t="n">
        <v>86563</v>
      </c>
      <c r="L647" s="6" t="n">
        <v>97099</v>
      </c>
      <c r="M647" s="6" t="s">
        <v>146</v>
      </c>
      <c r="N647" s="6" t="n">
        <v>45</v>
      </c>
      <c r="O647" s="6" t="s">
        <v>60</v>
      </c>
      <c r="P647" s="6" t="n">
        <v>6</v>
      </c>
      <c r="Q647" s="6" t="n">
        <v>-3.35</v>
      </c>
      <c r="R647" s="20" t="n">
        <f aca="false">(L647-K647)/K647</f>
        <v>0.12171482041981</v>
      </c>
    </row>
    <row r="648" customFormat="false" ht="15" hidden="false" customHeight="false" outlineLevel="0" collapsed="false">
      <c r="A648" s="6" t="s">
        <v>810</v>
      </c>
      <c r="B648" s="6" t="n">
        <v>34</v>
      </c>
      <c r="C648" s="6" t="s">
        <v>134</v>
      </c>
      <c r="D648" s="6" t="s">
        <v>140</v>
      </c>
      <c r="E648" s="6" t="s">
        <v>87</v>
      </c>
      <c r="F648" s="6" t="s">
        <v>155</v>
      </c>
      <c r="G648" s="6" t="n">
        <v>9</v>
      </c>
      <c r="H648" s="6" t="s">
        <v>81</v>
      </c>
      <c r="I648" s="6" t="s">
        <v>80</v>
      </c>
      <c r="J648" s="6" t="s">
        <v>60</v>
      </c>
      <c r="K648" s="6" t="n">
        <v>86889</v>
      </c>
      <c r="L648" s="6" t="n">
        <v>96865</v>
      </c>
      <c r="M648" s="6" t="s">
        <v>142</v>
      </c>
      <c r="N648" s="6" t="n">
        <v>48</v>
      </c>
      <c r="O648" s="6" t="s">
        <v>60</v>
      </c>
      <c r="P648" s="6" t="n">
        <v>5</v>
      </c>
      <c r="Q648" s="6" t="n">
        <v>22.37</v>
      </c>
      <c r="R648" s="20" t="n">
        <f aca="false">(L648-K648)/K648</f>
        <v>0.114813152412849</v>
      </c>
    </row>
    <row r="649" customFormat="false" ht="15" hidden="false" customHeight="false" outlineLevel="0" collapsed="false">
      <c r="A649" s="6" t="s">
        <v>811</v>
      </c>
      <c r="B649" s="6" t="n">
        <v>56</v>
      </c>
      <c r="C649" s="6" t="s">
        <v>139</v>
      </c>
      <c r="D649" s="6" t="s">
        <v>135</v>
      </c>
      <c r="E649" s="6" t="s">
        <v>91</v>
      </c>
      <c r="F649" s="6" t="s">
        <v>208</v>
      </c>
      <c r="G649" s="6" t="n">
        <v>32</v>
      </c>
      <c r="H649" s="6" t="s">
        <v>82</v>
      </c>
      <c r="I649" s="6" t="s">
        <v>80</v>
      </c>
      <c r="J649" s="6" t="s">
        <v>60</v>
      </c>
      <c r="K649" s="6" t="n">
        <v>100427</v>
      </c>
      <c r="L649" s="6" t="n">
        <v>96071</v>
      </c>
      <c r="M649" s="6" t="s">
        <v>142</v>
      </c>
      <c r="N649" s="6" t="n">
        <v>42</v>
      </c>
      <c r="O649" s="6" t="s">
        <v>58</v>
      </c>
      <c r="P649" s="6" t="n">
        <v>3</v>
      </c>
      <c r="Q649" s="6" t="n">
        <v>0.6</v>
      </c>
      <c r="R649" s="20" t="n">
        <f aca="false">(L649-K649)/K649</f>
        <v>-0.0433747896482022</v>
      </c>
    </row>
    <row r="650" customFormat="false" ht="15" hidden="false" customHeight="false" outlineLevel="0" collapsed="false">
      <c r="A650" s="6" t="s">
        <v>812</v>
      </c>
      <c r="B650" s="6" t="n">
        <v>33</v>
      </c>
      <c r="C650" s="6" t="s">
        <v>159</v>
      </c>
      <c r="D650" s="6" t="s">
        <v>135</v>
      </c>
      <c r="E650" s="6" t="s">
        <v>90</v>
      </c>
      <c r="F650" s="6" t="s">
        <v>236</v>
      </c>
      <c r="G650" s="6" t="n">
        <v>10</v>
      </c>
      <c r="H650" s="6" t="s">
        <v>80</v>
      </c>
      <c r="I650" s="6" t="s">
        <v>81</v>
      </c>
      <c r="J650" s="6" t="s">
        <v>60</v>
      </c>
      <c r="K650" s="6" t="n">
        <v>78003</v>
      </c>
      <c r="L650" s="6" t="n">
        <v>76425</v>
      </c>
      <c r="M650" s="6" t="s">
        <v>146</v>
      </c>
      <c r="N650" s="6" t="n">
        <v>49</v>
      </c>
      <c r="O650" s="6" t="s">
        <v>58</v>
      </c>
      <c r="P650" s="6" t="n">
        <v>6</v>
      </c>
      <c r="Q650" s="6" t="n">
        <v>-10.11</v>
      </c>
      <c r="R650" s="20" t="n">
        <f aca="false">(L650-K650)/K650</f>
        <v>-0.0202299911541864</v>
      </c>
    </row>
    <row r="651" customFormat="false" ht="15" hidden="false" customHeight="false" outlineLevel="0" collapsed="false">
      <c r="A651" s="6" t="s">
        <v>813</v>
      </c>
      <c r="B651" s="6" t="n">
        <v>52</v>
      </c>
      <c r="C651" s="6" t="s">
        <v>134</v>
      </c>
      <c r="D651" s="6" t="s">
        <v>140</v>
      </c>
      <c r="E651" s="6" t="s">
        <v>87</v>
      </c>
      <c r="F651" s="6" t="s">
        <v>160</v>
      </c>
      <c r="G651" s="6" t="n">
        <v>26</v>
      </c>
      <c r="H651" s="6" t="s">
        <v>82</v>
      </c>
      <c r="I651" s="6" t="s">
        <v>81</v>
      </c>
      <c r="J651" s="6" t="s">
        <v>58</v>
      </c>
      <c r="K651" s="6" t="n">
        <v>35698</v>
      </c>
      <c r="L651" s="6" t="n">
        <v>33841</v>
      </c>
      <c r="M651" s="6" t="s">
        <v>146</v>
      </c>
      <c r="N651" s="6" t="n">
        <v>44</v>
      </c>
      <c r="O651" s="6" t="s">
        <v>58</v>
      </c>
      <c r="P651" s="6" t="n">
        <v>3</v>
      </c>
      <c r="Q651" s="6" t="n">
        <v>8.26</v>
      </c>
      <c r="R651" s="20" t="n">
        <f aca="false">(L651-K651)/K651</f>
        <v>-0.0520197209927727</v>
      </c>
    </row>
    <row r="652" customFormat="false" ht="15" hidden="false" customHeight="false" outlineLevel="0" collapsed="false">
      <c r="A652" s="6" t="s">
        <v>814</v>
      </c>
      <c r="B652" s="6" t="n">
        <v>47</v>
      </c>
      <c r="C652" s="6" t="s">
        <v>139</v>
      </c>
      <c r="D652" s="6" t="s">
        <v>135</v>
      </c>
      <c r="E652" s="6" t="s">
        <v>87</v>
      </c>
      <c r="F652" s="6" t="s">
        <v>149</v>
      </c>
      <c r="G652" s="6" t="n">
        <v>22</v>
      </c>
      <c r="H652" s="6" t="s">
        <v>81</v>
      </c>
      <c r="I652" s="6" t="s">
        <v>82</v>
      </c>
      <c r="J652" s="6" t="s">
        <v>58</v>
      </c>
      <c r="K652" s="6" t="n">
        <v>74041</v>
      </c>
      <c r="L652" s="6" t="n">
        <v>70572</v>
      </c>
      <c r="M652" s="6" t="s">
        <v>142</v>
      </c>
      <c r="N652" s="6" t="n">
        <v>37</v>
      </c>
      <c r="O652" s="6" t="s">
        <v>60</v>
      </c>
      <c r="P652" s="6" t="n">
        <v>4</v>
      </c>
      <c r="Q652" s="6" t="n">
        <v>-2.34</v>
      </c>
      <c r="R652" s="20" t="n">
        <f aca="false">(L652-K652)/K652</f>
        <v>-0.0468524196053538</v>
      </c>
    </row>
    <row r="653" customFormat="false" ht="15" hidden="false" customHeight="false" outlineLevel="0" collapsed="false">
      <c r="A653" s="6" t="s">
        <v>815</v>
      </c>
      <c r="B653" s="6" t="n">
        <v>48</v>
      </c>
      <c r="C653" s="6" t="s">
        <v>134</v>
      </c>
      <c r="D653" s="6" t="s">
        <v>140</v>
      </c>
      <c r="E653" s="6" t="s">
        <v>92</v>
      </c>
      <c r="F653" s="6" t="s">
        <v>136</v>
      </c>
      <c r="G653" s="6" t="n">
        <v>26</v>
      </c>
      <c r="H653" s="6" t="s">
        <v>81</v>
      </c>
      <c r="I653" s="6" t="s">
        <v>82</v>
      </c>
      <c r="J653" s="6" t="s">
        <v>60</v>
      </c>
      <c r="K653" s="6" t="n">
        <v>79422</v>
      </c>
      <c r="L653" s="6" t="n">
        <v>82497</v>
      </c>
      <c r="M653" s="6" t="s">
        <v>142</v>
      </c>
      <c r="N653" s="6" t="n">
        <v>46</v>
      </c>
      <c r="O653" s="6" t="s">
        <v>58</v>
      </c>
      <c r="P653" s="6" t="n">
        <v>4</v>
      </c>
      <c r="Q653" s="6" t="n">
        <v>31.9</v>
      </c>
      <c r="R653" s="20" t="n">
        <f aca="false">(L653-K653)/K653</f>
        <v>0.0387172320012087</v>
      </c>
    </row>
    <row r="654" customFormat="false" ht="15" hidden="false" customHeight="false" outlineLevel="0" collapsed="false">
      <c r="A654" s="6" t="s">
        <v>816</v>
      </c>
      <c r="B654" s="6" t="n">
        <v>55</v>
      </c>
      <c r="C654" s="6" t="s">
        <v>134</v>
      </c>
      <c r="D654" s="6" t="s">
        <v>135</v>
      </c>
      <c r="E654" s="6" t="s">
        <v>90</v>
      </c>
      <c r="F654" s="6" t="s">
        <v>145</v>
      </c>
      <c r="G654" s="6" t="n">
        <v>32</v>
      </c>
      <c r="H654" s="6" t="s">
        <v>80</v>
      </c>
      <c r="I654" s="6" t="s">
        <v>81</v>
      </c>
      <c r="J654" s="6" t="s">
        <v>60</v>
      </c>
      <c r="K654" s="6" t="n">
        <v>107963</v>
      </c>
      <c r="L654" s="6" t="n">
        <v>117288</v>
      </c>
      <c r="M654" s="6" t="s">
        <v>146</v>
      </c>
      <c r="N654" s="6" t="n">
        <v>50</v>
      </c>
      <c r="O654" s="6" t="s">
        <v>58</v>
      </c>
      <c r="P654" s="6" t="n">
        <v>3</v>
      </c>
      <c r="Q654" s="6" t="n">
        <v>-1.17</v>
      </c>
      <c r="R654" s="20" t="n">
        <f aca="false">(L654-K654)/K654</f>
        <v>0.0863721830627159</v>
      </c>
    </row>
    <row r="655" customFormat="false" ht="15" hidden="false" customHeight="false" outlineLevel="0" collapsed="false">
      <c r="A655" s="6" t="s">
        <v>817</v>
      </c>
      <c r="B655" s="6" t="n">
        <v>46</v>
      </c>
      <c r="C655" s="6" t="s">
        <v>139</v>
      </c>
      <c r="D655" s="6" t="s">
        <v>135</v>
      </c>
      <c r="E655" s="6" t="s">
        <v>88</v>
      </c>
      <c r="F655" s="6" t="s">
        <v>179</v>
      </c>
      <c r="G655" s="6" t="n">
        <v>23</v>
      </c>
      <c r="H655" s="6" t="s">
        <v>80</v>
      </c>
      <c r="I655" s="6" t="s">
        <v>82</v>
      </c>
      <c r="J655" s="6" t="s">
        <v>60</v>
      </c>
      <c r="K655" s="6" t="n">
        <v>34765</v>
      </c>
      <c r="L655" s="6" t="n">
        <v>37929</v>
      </c>
      <c r="M655" s="6" t="s">
        <v>142</v>
      </c>
      <c r="N655" s="6" t="n">
        <v>54</v>
      </c>
      <c r="O655" s="6" t="s">
        <v>58</v>
      </c>
      <c r="P655" s="6" t="n">
        <v>3</v>
      </c>
      <c r="Q655" s="6" t="n">
        <v>16.23</v>
      </c>
      <c r="R655" s="20" t="n">
        <f aca="false">(L655-K655)/K655</f>
        <v>0.0910110743563929</v>
      </c>
    </row>
    <row r="656" customFormat="false" ht="15" hidden="false" customHeight="false" outlineLevel="0" collapsed="false">
      <c r="A656" s="6" t="s">
        <v>818</v>
      </c>
      <c r="B656" s="6" t="n">
        <v>43</v>
      </c>
      <c r="C656" s="6" t="s">
        <v>159</v>
      </c>
      <c r="D656" s="6" t="s">
        <v>135</v>
      </c>
      <c r="E656" s="6" t="s">
        <v>93</v>
      </c>
      <c r="F656" s="6" t="s">
        <v>197</v>
      </c>
      <c r="G656" s="6" t="n">
        <v>17</v>
      </c>
      <c r="H656" s="6" t="s">
        <v>81</v>
      </c>
      <c r="I656" s="6" t="s">
        <v>82</v>
      </c>
      <c r="J656" s="6" t="s">
        <v>60</v>
      </c>
      <c r="K656" s="6" t="n">
        <v>36589</v>
      </c>
      <c r="L656" s="6" t="n">
        <v>38262</v>
      </c>
      <c r="M656" s="6" t="s">
        <v>142</v>
      </c>
      <c r="N656" s="6" t="n">
        <v>49</v>
      </c>
      <c r="O656" s="6" t="s">
        <v>60</v>
      </c>
      <c r="P656" s="6" t="n">
        <v>4</v>
      </c>
      <c r="Q656" s="6" t="n">
        <v>-12.98</v>
      </c>
      <c r="R656" s="20" t="n">
        <f aca="false">(L656-K656)/K656</f>
        <v>0.0457241247369428</v>
      </c>
    </row>
    <row r="657" customFormat="false" ht="15" hidden="false" customHeight="false" outlineLevel="0" collapsed="false">
      <c r="A657" s="6" t="s">
        <v>819</v>
      </c>
      <c r="B657" s="6" t="n">
        <v>36</v>
      </c>
      <c r="C657" s="6" t="s">
        <v>139</v>
      </c>
      <c r="D657" s="6" t="s">
        <v>144</v>
      </c>
      <c r="E657" s="6" t="s">
        <v>91</v>
      </c>
      <c r="F657" s="6" t="s">
        <v>141</v>
      </c>
      <c r="G657" s="6" t="n">
        <v>14</v>
      </c>
      <c r="H657" s="6" t="s">
        <v>82</v>
      </c>
      <c r="I657" s="6" t="s">
        <v>81</v>
      </c>
      <c r="J657" s="6" t="s">
        <v>60</v>
      </c>
      <c r="K657" s="6" t="n">
        <v>61508</v>
      </c>
      <c r="L657" s="6" t="n">
        <v>70744</v>
      </c>
      <c r="M657" s="6" t="s">
        <v>146</v>
      </c>
      <c r="N657" s="6" t="n">
        <v>40</v>
      </c>
      <c r="O657" s="6" t="s">
        <v>60</v>
      </c>
      <c r="P657" s="6" t="n">
        <v>3</v>
      </c>
      <c r="Q657" s="6" t="n">
        <v>3.41</v>
      </c>
      <c r="R657" s="20" t="n">
        <f aca="false">(L657-K657)/K657</f>
        <v>0.15015932886779</v>
      </c>
    </row>
    <row r="658" customFormat="false" ht="15" hidden="false" customHeight="false" outlineLevel="0" collapsed="false">
      <c r="A658" s="6" t="s">
        <v>820</v>
      </c>
      <c r="B658" s="6" t="n">
        <v>44</v>
      </c>
      <c r="C658" s="6" t="s">
        <v>159</v>
      </c>
      <c r="D658" s="6" t="s">
        <v>135</v>
      </c>
      <c r="E658" s="6" t="s">
        <v>90</v>
      </c>
      <c r="F658" s="6" t="s">
        <v>236</v>
      </c>
      <c r="G658" s="6" t="n">
        <v>19</v>
      </c>
      <c r="H658" s="6" t="s">
        <v>80</v>
      </c>
      <c r="I658" s="6" t="s">
        <v>80</v>
      </c>
      <c r="J658" s="6" t="s">
        <v>60</v>
      </c>
      <c r="K658" s="6" t="n">
        <v>55105</v>
      </c>
      <c r="L658" s="6" t="n">
        <v>53224</v>
      </c>
      <c r="M658" s="6" t="s">
        <v>142</v>
      </c>
      <c r="N658" s="6" t="n">
        <v>42</v>
      </c>
      <c r="O658" s="6" t="s">
        <v>58</v>
      </c>
      <c r="P658" s="6" t="n">
        <v>9</v>
      </c>
      <c r="Q658" s="6" t="n">
        <v>32.38</v>
      </c>
      <c r="R658" s="20" t="n">
        <f aca="false">(L658-K658)/K658</f>
        <v>-0.0341348334996824</v>
      </c>
    </row>
    <row r="659" customFormat="false" ht="15" hidden="false" customHeight="false" outlineLevel="0" collapsed="false">
      <c r="A659" s="6" t="s">
        <v>821</v>
      </c>
      <c r="B659" s="6" t="n">
        <v>24</v>
      </c>
      <c r="C659" s="6" t="s">
        <v>159</v>
      </c>
      <c r="D659" s="6" t="s">
        <v>135</v>
      </c>
      <c r="E659" s="6" t="s">
        <v>91</v>
      </c>
      <c r="F659" s="6" t="s">
        <v>206</v>
      </c>
      <c r="G659" s="6" t="n">
        <v>1</v>
      </c>
      <c r="H659" s="6" t="s">
        <v>81</v>
      </c>
      <c r="I659" s="6" t="s">
        <v>80</v>
      </c>
      <c r="J659" s="6" t="s">
        <v>58</v>
      </c>
      <c r="K659" s="6" t="n">
        <v>40377</v>
      </c>
      <c r="L659" s="6" t="n">
        <v>40297</v>
      </c>
      <c r="M659" s="6" t="s">
        <v>142</v>
      </c>
      <c r="N659" s="6" t="n">
        <v>45</v>
      </c>
      <c r="O659" s="6" t="s">
        <v>60</v>
      </c>
      <c r="P659" s="6" t="n">
        <v>7</v>
      </c>
      <c r="Q659" s="6" t="n">
        <v>-19.35</v>
      </c>
      <c r="R659" s="20" t="n">
        <f aca="false">(L659-K659)/K659</f>
        <v>-0.00198132600242712</v>
      </c>
    </row>
    <row r="660" customFormat="false" ht="15" hidden="false" customHeight="false" outlineLevel="0" collapsed="false">
      <c r="A660" s="6" t="s">
        <v>822</v>
      </c>
      <c r="B660" s="6" t="n">
        <v>26</v>
      </c>
      <c r="C660" s="6" t="s">
        <v>139</v>
      </c>
      <c r="D660" s="6" t="s">
        <v>140</v>
      </c>
      <c r="E660" s="6" t="s">
        <v>89</v>
      </c>
      <c r="F660" s="6" t="s">
        <v>162</v>
      </c>
      <c r="G660" s="6" t="n">
        <v>3</v>
      </c>
      <c r="H660" s="6" t="s">
        <v>81</v>
      </c>
      <c r="I660" s="6" t="s">
        <v>82</v>
      </c>
      <c r="J660" s="6" t="s">
        <v>58</v>
      </c>
      <c r="K660" s="6" t="n">
        <v>90652</v>
      </c>
      <c r="L660" s="6" t="n">
        <v>83644</v>
      </c>
      <c r="M660" s="6" t="s">
        <v>142</v>
      </c>
      <c r="N660" s="6" t="n">
        <v>47</v>
      </c>
      <c r="O660" s="6" t="s">
        <v>58</v>
      </c>
      <c r="P660" s="6" t="n">
        <v>8</v>
      </c>
      <c r="Q660" s="6" t="n">
        <v>1.69</v>
      </c>
      <c r="R660" s="20" t="n">
        <f aca="false">(L660-K660)/K660</f>
        <v>-0.0773066231302122</v>
      </c>
    </row>
    <row r="661" customFormat="false" ht="15" hidden="false" customHeight="false" outlineLevel="0" collapsed="false">
      <c r="A661" s="6" t="s">
        <v>823</v>
      </c>
      <c r="B661" s="6" t="n">
        <v>50</v>
      </c>
      <c r="C661" s="6" t="s">
        <v>134</v>
      </c>
      <c r="D661" s="6" t="s">
        <v>140</v>
      </c>
      <c r="E661" s="6" t="s">
        <v>90</v>
      </c>
      <c r="F661" s="6" t="s">
        <v>145</v>
      </c>
      <c r="G661" s="6" t="n">
        <v>24</v>
      </c>
      <c r="H661" s="6" t="s">
        <v>81</v>
      </c>
      <c r="I661" s="6" t="s">
        <v>81</v>
      </c>
      <c r="J661" s="6" t="s">
        <v>60</v>
      </c>
      <c r="K661" s="6" t="n">
        <v>46968</v>
      </c>
      <c r="L661" s="6" t="n">
        <v>54891</v>
      </c>
      <c r="M661" s="6" t="s">
        <v>146</v>
      </c>
      <c r="N661" s="6" t="n">
        <v>42</v>
      </c>
      <c r="O661" s="6" t="s">
        <v>58</v>
      </c>
      <c r="P661" s="6" t="n">
        <v>6</v>
      </c>
      <c r="Q661" s="6" t="n">
        <v>27.01</v>
      </c>
      <c r="R661" s="20" t="n">
        <f aca="false">(L661-K661)/K661</f>
        <v>0.16868932038835</v>
      </c>
    </row>
    <row r="662" customFormat="false" ht="15" hidden="false" customHeight="false" outlineLevel="0" collapsed="false">
      <c r="A662" s="6" t="s">
        <v>824</v>
      </c>
      <c r="B662" s="6" t="n">
        <v>51</v>
      </c>
      <c r="C662" s="6" t="s">
        <v>134</v>
      </c>
      <c r="D662" s="6" t="s">
        <v>148</v>
      </c>
      <c r="E662" s="6" t="s">
        <v>91</v>
      </c>
      <c r="F662" s="6" t="s">
        <v>206</v>
      </c>
      <c r="G662" s="6" t="n">
        <v>27</v>
      </c>
      <c r="H662" s="6" t="s">
        <v>81</v>
      </c>
      <c r="I662" s="6" t="s">
        <v>81</v>
      </c>
      <c r="J662" s="6" t="s">
        <v>60</v>
      </c>
      <c r="K662" s="6" t="n">
        <v>48395</v>
      </c>
      <c r="L662" s="6" t="n">
        <v>46794</v>
      </c>
      <c r="M662" s="6" t="s">
        <v>146</v>
      </c>
      <c r="N662" s="6" t="n">
        <v>47</v>
      </c>
      <c r="O662" s="6" t="s">
        <v>60</v>
      </c>
      <c r="P662" s="6" t="n">
        <v>5</v>
      </c>
      <c r="Q662" s="6" t="n">
        <v>32.39</v>
      </c>
      <c r="R662" s="20" t="n">
        <f aca="false">(L662-K662)/K662</f>
        <v>-0.0330819299514413</v>
      </c>
    </row>
    <row r="663" customFormat="false" ht="15" hidden="false" customHeight="false" outlineLevel="0" collapsed="false">
      <c r="A663" s="6" t="s">
        <v>825</v>
      </c>
      <c r="B663" s="6" t="n">
        <v>29</v>
      </c>
      <c r="C663" s="6" t="s">
        <v>159</v>
      </c>
      <c r="D663" s="6" t="s">
        <v>144</v>
      </c>
      <c r="E663" s="6" t="s">
        <v>91</v>
      </c>
      <c r="F663" s="6" t="s">
        <v>208</v>
      </c>
      <c r="G663" s="6" t="n">
        <v>3</v>
      </c>
      <c r="H663" s="6" t="s">
        <v>82</v>
      </c>
      <c r="I663" s="6" t="s">
        <v>82</v>
      </c>
      <c r="J663" s="6" t="s">
        <v>58</v>
      </c>
      <c r="K663" s="6" t="n">
        <v>92901</v>
      </c>
      <c r="L663" s="6" t="n">
        <v>97929</v>
      </c>
      <c r="M663" s="6" t="s">
        <v>146</v>
      </c>
      <c r="N663" s="6" t="n">
        <v>41</v>
      </c>
      <c r="O663" s="6" t="s">
        <v>58</v>
      </c>
      <c r="P663" s="6" t="n">
        <v>9</v>
      </c>
      <c r="Q663" s="6" t="n">
        <v>27.61</v>
      </c>
      <c r="R663" s="20" t="n">
        <f aca="false">(L663-K663)/K663</f>
        <v>0.0541221300093648</v>
      </c>
    </row>
    <row r="664" customFormat="false" ht="15" hidden="false" customHeight="false" outlineLevel="0" collapsed="false">
      <c r="A664" s="6" t="s">
        <v>826</v>
      </c>
      <c r="B664" s="6" t="n">
        <v>42</v>
      </c>
      <c r="C664" s="6" t="s">
        <v>139</v>
      </c>
      <c r="D664" s="6" t="s">
        <v>140</v>
      </c>
      <c r="E664" s="6" t="s">
        <v>90</v>
      </c>
      <c r="F664" s="6" t="s">
        <v>236</v>
      </c>
      <c r="G664" s="6" t="n">
        <v>19</v>
      </c>
      <c r="H664" s="6" t="s">
        <v>81</v>
      </c>
      <c r="I664" s="6" t="s">
        <v>80</v>
      </c>
      <c r="J664" s="6" t="s">
        <v>60</v>
      </c>
      <c r="K664" s="6" t="n">
        <v>69454</v>
      </c>
      <c r="L664" s="6" t="n">
        <v>63608</v>
      </c>
      <c r="M664" s="6" t="s">
        <v>142</v>
      </c>
      <c r="N664" s="6" t="n">
        <v>42</v>
      </c>
      <c r="O664" s="6" t="s">
        <v>58</v>
      </c>
      <c r="P664" s="6" t="n">
        <v>7</v>
      </c>
      <c r="Q664" s="6" t="n">
        <v>21.52</v>
      </c>
      <c r="R664" s="20" t="n">
        <f aca="false">(L664-K664)/K664</f>
        <v>-0.0841708180954301</v>
      </c>
    </row>
    <row r="665" customFormat="false" ht="15" hidden="false" customHeight="false" outlineLevel="0" collapsed="false">
      <c r="A665" s="6" t="s">
        <v>827</v>
      </c>
      <c r="B665" s="6" t="n">
        <v>22</v>
      </c>
      <c r="C665" s="6" t="s">
        <v>134</v>
      </c>
      <c r="D665" s="6" t="s">
        <v>135</v>
      </c>
      <c r="E665" s="6" t="s">
        <v>92</v>
      </c>
      <c r="F665" s="6" t="s">
        <v>222</v>
      </c>
      <c r="G665" s="6" t="n">
        <v>0</v>
      </c>
      <c r="H665" s="6" t="s">
        <v>80</v>
      </c>
      <c r="I665" s="6" t="s">
        <v>80</v>
      </c>
      <c r="J665" s="6" t="s">
        <v>60</v>
      </c>
      <c r="K665" s="6" t="n">
        <v>59432</v>
      </c>
      <c r="L665" s="6" t="n">
        <v>61609</v>
      </c>
      <c r="M665" s="6" t="s">
        <v>142</v>
      </c>
      <c r="N665" s="6" t="n">
        <v>49</v>
      </c>
      <c r="O665" s="6" t="s">
        <v>60</v>
      </c>
      <c r="P665" s="6" t="n">
        <v>3</v>
      </c>
      <c r="Q665" s="6" t="n">
        <v>1.55</v>
      </c>
      <c r="R665" s="20" t="n">
        <f aca="false">(L665-K665)/K665</f>
        <v>0.0366300982635617</v>
      </c>
    </row>
    <row r="666" customFormat="false" ht="15" hidden="false" customHeight="false" outlineLevel="0" collapsed="false">
      <c r="A666" s="6" t="s">
        <v>828</v>
      </c>
      <c r="B666" s="6" t="n">
        <v>43</v>
      </c>
      <c r="C666" s="6" t="s">
        <v>139</v>
      </c>
      <c r="D666" s="6" t="s">
        <v>135</v>
      </c>
      <c r="E666" s="6" t="s">
        <v>91</v>
      </c>
      <c r="F666" s="6" t="s">
        <v>208</v>
      </c>
      <c r="G666" s="6" t="n">
        <v>19</v>
      </c>
      <c r="H666" s="6" t="s">
        <v>81</v>
      </c>
      <c r="I666" s="6" t="s">
        <v>80</v>
      </c>
      <c r="J666" s="6" t="s">
        <v>58</v>
      </c>
      <c r="K666" s="6" t="n">
        <v>113948</v>
      </c>
      <c r="L666" s="6" t="n">
        <v>129693</v>
      </c>
      <c r="M666" s="6" t="s">
        <v>142</v>
      </c>
      <c r="N666" s="6" t="n">
        <v>51</v>
      </c>
      <c r="O666" s="6" t="s">
        <v>58</v>
      </c>
      <c r="P666" s="6" t="n">
        <v>3</v>
      </c>
      <c r="Q666" s="6" t="n">
        <v>-10.5</v>
      </c>
      <c r="R666" s="20" t="n">
        <f aca="false">(L666-K666)/K666</f>
        <v>0.13817706322182</v>
      </c>
    </row>
    <row r="667" customFormat="false" ht="15" hidden="false" customHeight="false" outlineLevel="0" collapsed="false">
      <c r="A667" s="6" t="s">
        <v>829</v>
      </c>
      <c r="B667" s="6" t="n">
        <v>47</v>
      </c>
      <c r="C667" s="6" t="s">
        <v>139</v>
      </c>
      <c r="D667" s="6" t="s">
        <v>148</v>
      </c>
      <c r="E667" s="6" t="s">
        <v>87</v>
      </c>
      <c r="F667" s="6" t="s">
        <v>149</v>
      </c>
      <c r="G667" s="6" t="n">
        <v>21</v>
      </c>
      <c r="H667" s="6" t="s">
        <v>80</v>
      </c>
      <c r="I667" s="6" t="s">
        <v>81</v>
      </c>
      <c r="J667" s="6" t="s">
        <v>60</v>
      </c>
      <c r="K667" s="6" t="n">
        <v>38848</v>
      </c>
      <c r="L667" s="6" t="n">
        <v>41768</v>
      </c>
      <c r="M667" s="6" t="s">
        <v>146</v>
      </c>
      <c r="N667" s="6" t="n">
        <v>47</v>
      </c>
      <c r="O667" s="6" t="s">
        <v>58</v>
      </c>
      <c r="P667" s="6" t="n">
        <v>8</v>
      </c>
      <c r="Q667" s="6" t="n">
        <v>1.5</v>
      </c>
      <c r="R667" s="20" t="n">
        <f aca="false">(L667-K667)/K667</f>
        <v>0.075164744645799</v>
      </c>
    </row>
    <row r="668" customFormat="false" ht="15" hidden="false" customHeight="false" outlineLevel="0" collapsed="false">
      <c r="A668" s="6" t="s">
        <v>830</v>
      </c>
      <c r="B668" s="6" t="n">
        <v>56</v>
      </c>
      <c r="C668" s="6" t="s">
        <v>139</v>
      </c>
      <c r="D668" s="6" t="s">
        <v>140</v>
      </c>
      <c r="E668" s="6" t="s">
        <v>90</v>
      </c>
      <c r="F668" s="6" t="s">
        <v>145</v>
      </c>
      <c r="G668" s="6" t="n">
        <v>30</v>
      </c>
      <c r="H668" s="6" t="s">
        <v>81</v>
      </c>
      <c r="I668" s="6" t="s">
        <v>81</v>
      </c>
      <c r="J668" s="6" t="s">
        <v>60</v>
      </c>
      <c r="K668" s="6" t="n">
        <v>95333</v>
      </c>
      <c r="L668" s="6" t="n">
        <v>107589</v>
      </c>
      <c r="M668" s="6" t="s">
        <v>146</v>
      </c>
      <c r="N668" s="6" t="n">
        <v>37</v>
      </c>
      <c r="O668" s="6" t="s">
        <v>60</v>
      </c>
      <c r="P668" s="6" t="n">
        <v>6</v>
      </c>
      <c r="Q668" s="6" t="n">
        <v>26.89</v>
      </c>
      <c r="R668" s="20" t="n">
        <f aca="false">(L668-K668)/K668</f>
        <v>0.128559890069546</v>
      </c>
    </row>
    <row r="669" customFormat="false" ht="15" hidden="false" customHeight="false" outlineLevel="0" collapsed="false">
      <c r="A669" s="6" t="s">
        <v>831</v>
      </c>
      <c r="B669" s="6" t="n">
        <v>27</v>
      </c>
      <c r="C669" s="6" t="s">
        <v>159</v>
      </c>
      <c r="D669" s="6" t="s">
        <v>144</v>
      </c>
      <c r="E669" s="6" t="s">
        <v>92</v>
      </c>
      <c r="F669" s="6" t="s">
        <v>136</v>
      </c>
      <c r="G669" s="6" t="n">
        <v>1</v>
      </c>
      <c r="H669" s="6" t="s">
        <v>82</v>
      </c>
      <c r="I669" s="6" t="s">
        <v>82</v>
      </c>
      <c r="J669" s="6" t="s">
        <v>58</v>
      </c>
      <c r="K669" s="6" t="n">
        <v>43269</v>
      </c>
      <c r="L669" s="6" t="n">
        <v>36603</v>
      </c>
      <c r="M669" s="6" t="s">
        <v>146</v>
      </c>
      <c r="N669" s="6" t="n">
        <v>36</v>
      </c>
      <c r="O669" s="6" t="s">
        <v>58</v>
      </c>
      <c r="P669" s="6" t="n">
        <v>4</v>
      </c>
      <c r="Q669" s="6" t="n">
        <v>5.25</v>
      </c>
      <c r="R669" s="20" t="n">
        <f aca="false">(L669-K669)/K669</f>
        <v>-0.154059488317271</v>
      </c>
    </row>
    <row r="670" customFormat="false" ht="15" hidden="false" customHeight="false" outlineLevel="0" collapsed="false">
      <c r="A670" s="6" t="s">
        <v>832</v>
      </c>
      <c r="B670" s="6" t="n">
        <v>26</v>
      </c>
      <c r="C670" s="6" t="s">
        <v>134</v>
      </c>
      <c r="D670" s="6" t="s">
        <v>135</v>
      </c>
      <c r="E670" s="6" t="s">
        <v>91</v>
      </c>
      <c r="F670" s="6" t="s">
        <v>206</v>
      </c>
      <c r="G670" s="6" t="n">
        <v>3</v>
      </c>
      <c r="H670" s="6" t="s">
        <v>81</v>
      </c>
      <c r="I670" s="6" t="s">
        <v>81</v>
      </c>
      <c r="J670" s="6" t="s">
        <v>58</v>
      </c>
      <c r="K670" s="6" t="n">
        <v>41795</v>
      </c>
      <c r="L670" s="6" t="n">
        <v>40747</v>
      </c>
      <c r="M670" s="6" t="s">
        <v>146</v>
      </c>
      <c r="N670" s="6" t="n">
        <v>52</v>
      </c>
      <c r="O670" s="6" t="s">
        <v>58</v>
      </c>
      <c r="P670" s="6" t="n">
        <v>4</v>
      </c>
      <c r="Q670" s="6" t="n">
        <v>19.25</v>
      </c>
      <c r="R670" s="20" t="n">
        <f aca="false">(L670-K670)/K670</f>
        <v>-0.0250747697092954</v>
      </c>
    </row>
    <row r="671" customFormat="false" ht="15" hidden="false" customHeight="false" outlineLevel="0" collapsed="false">
      <c r="A671" s="6" t="s">
        <v>833</v>
      </c>
      <c r="B671" s="6" t="n">
        <v>25</v>
      </c>
      <c r="C671" s="6" t="s">
        <v>134</v>
      </c>
      <c r="D671" s="6" t="s">
        <v>144</v>
      </c>
      <c r="E671" s="6" t="s">
        <v>88</v>
      </c>
      <c r="F671" s="6" t="s">
        <v>179</v>
      </c>
      <c r="G671" s="6" t="n">
        <v>3</v>
      </c>
      <c r="H671" s="6" t="s">
        <v>81</v>
      </c>
      <c r="I671" s="6" t="s">
        <v>80</v>
      </c>
      <c r="J671" s="6" t="s">
        <v>60</v>
      </c>
      <c r="K671" s="6" t="n">
        <v>35368</v>
      </c>
      <c r="L671" s="6" t="n">
        <v>39415</v>
      </c>
      <c r="M671" s="6" t="s">
        <v>142</v>
      </c>
      <c r="N671" s="6" t="n">
        <v>46</v>
      </c>
      <c r="O671" s="6" t="s">
        <v>60</v>
      </c>
      <c r="P671" s="6" t="n">
        <v>9</v>
      </c>
      <c r="Q671" s="6" t="n">
        <v>-15.89</v>
      </c>
      <c r="R671" s="20" t="n">
        <f aca="false">(L671-K671)/K671</f>
        <v>0.114425469350826</v>
      </c>
    </row>
    <row r="672" customFormat="false" ht="15" hidden="false" customHeight="false" outlineLevel="0" collapsed="false">
      <c r="A672" s="6" t="s">
        <v>834</v>
      </c>
      <c r="B672" s="6" t="n">
        <v>36</v>
      </c>
      <c r="C672" s="6" t="s">
        <v>139</v>
      </c>
      <c r="D672" s="6" t="s">
        <v>140</v>
      </c>
      <c r="E672" s="6" t="s">
        <v>88</v>
      </c>
      <c r="F672" s="6" t="s">
        <v>179</v>
      </c>
      <c r="G672" s="6" t="n">
        <v>12</v>
      </c>
      <c r="H672" s="6" t="s">
        <v>80</v>
      </c>
      <c r="I672" s="6" t="s">
        <v>82</v>
      </c>
      <c r="J672" s="6" t="s">
        <v>58</v>
      </c>
      <c r="K672" s="6" t="n">
        <v>83822</v>
      </c>
      <c r="L672" s="6" t="n">
        <v>91430</v>
      </c>
      <c r="M672" s="6" t="s">
        <v>142</v>
      </c>
      <c r="N672" s="6" t="n">
        <v>51</v>
      </c>
      <c r="O672" s="6" t="s">
        <v>58</v>
      </c>
      <c r="P672" s="6" t="n">
        <v>5</v>
      </c>
      <c r="Q672" s="6" t="n">
        <v>19.71</v>
      </c>
      <c r="R672" s="20" t="n">
        <f aca="false">(L672-K672)/K672</f>
        <v>0.090763761303715</v>
      </c>
    </row>
    <row r="673" customFormat="false" ht="15" hidden="false" customHeight="false" outlineLevel="0" collapsed="false">
      <c r="A673" s="6" t="s">
        <v>835</v>
      </c>
      <c r="B673" s="6" t="n">
        <v>40</v>
      </c>
      <c r="C673" s="6" t="s">
        <v>134</v>
      </c>
      <c r="D673" s="6" t="s">
        <v>148</v>
      </c>
      <c r="E673" s="6" t="s">
        <v>90</v>
      </c>
      <c r="F673" s="6" t="s">
        <v>236</v>
      </c>
      <c r="G673" s="6" t="n">
        <v>15</v>
      </c>
      <c r="H673" s="6" t="s">
        <v>81</v>
      </c>
      <c r="I673" s="6" t="s">
        <v>82</v>
      </c>
      <c r="J673" s="6" t="s">
        <v>58</v>
      </c>
      <c r="K673" s="6" t="n">
        <v>48019</v>
      </c>
      <c r="L673" s="6" t="n">
        <v>53032</v>
      </c>
      <c r="M673" s="6" t="s">
        <v>142</v>
      </c>
      <c r="N673" s="6" t="n">
        <v>46</v>
      </c>
      <c r="O673" s="6" t="s">
        <v>58</v>
      </c>
      <c r="P673" s="6" t="n">
        <v>7</v>
      </c>
      <c r="Q673" s="6" t="n">
        <v>36.41</v>
      </c>
      <c r="R673" s="20" t="n">
        <f aca="false">(L673-K673)/K673</f>
        <v>0.104396176513463</v>
      </c>
    </row>
    <row r="674" customFormat="false" ht="15" hidden="false" customHeight="false" outlineLevel="0" collapsed="false">
      <c r="A674" s="6" t="s">
        <v>836</v>
      </c>
      <c r="B674" s="6" t="n">
        <v>38</v>
      </c>
      <c r="C674" s="6" t="s">
        <v>159</v>
      </c>
      <c r="D674" s="6" t="s">
        <v>135</v>
      </c>
      <c r="E674" s="6" t="s">
        <v>88</v>
      </c>
      <c r="F674" s="6" t="s">
        <v>157</v>
      </c>
      <c r="G674" s="6" t="n">
        <v>14</v>
      </c>
      <c r="H674" s="6" t="s">
        <v>82</v>
      </c>
      <c r="I674" s="6" t="s">
        <v>82</v>
      </c>
      <c r="J674" s="6" t="s">
        <v>58</v>
      </c>
      <c r="K674" s="6" t="n">
        <v>80225</v>
      </c>
      <c r="L674" s="6" t="n">
        <v>69276</v>
      </c>
      <c r="M674" s="6" t="s">
        <v>137</v>
      </c>
      <c r="N674" s="6" t="n">
        <v>47</v>
      </c>
      <c r="O674" s="6" t="s">
        <v>60</v>
      </c>
      <c r="P674" s="6" t="n">
        <v>8</v>
      </c>
      <c r="Q674" s="6" t="n">
        <v>1.29</v>
      </c>
      <c r="R674" s="20" t="n">
        <f aca="false">(L674-K674)/K674</f>
        <v>-0.136478653786226</v>
      </c>
    </row>
    <row r="675" customFormat="false" ht="15" hidden="false" customHeight="false" outlineLevel="0" collapsed="false">
      <c r="A675" s="6" t="s">
        <v>837</v>
      </c>
      <c r="B675" s="6" t="n">
        <v>35</v>
      </c>
      <c r="C675" s="6" t="s">
        <v>139</v>
      </c>
      <c r="D675" s="6" t="s">
        <v>148</v>
      </c>
      <c r="E675" s="6" t="s">
        <v>93</v>
      </c>
      <c r="F675" s="6" t="s">
        <v>164</v>
      </c>
      <c r="G675" s="6" t="n">
        <v>9</v>
      </c>
      <c r="H675" s="6" t="s">
        <v>80</v>
      </c>
      <c r="I675" s="6" t="s">
        <v>81</v>
      </c>
      <c r="J675" s="6" t="s">
        <v>58</v>
      </c>
      <c r="K675" s="6" t="n">
        <v>69791</v>
      </c>
      <c r="L675" s="6" t="n">
        <v>68572</v>
      </c>
      <c r="M675" s="6" t="s">
        <v>146</v>
      </c>
      <c r="N675" s="6" t="n">
        <v>42</v>
      </c>
      <c r="O675" s="6" t="s">
        <v>60</v>
      </c>
      <c r="P675" s="6" t="n">
        <v>5</v>
      </c>
      <c r="Q675" s="6" t="n">
        <v>-2.72</v>
      </c>
      <c r="R675" s="20" t="n">
        <f aca="false">(L675-K675)/K675</f>
        <v>-0.0174664355002794</v>
      </c>
    </row>
    <row r="676" customFormat="false" ht="15" hidden="false" customHeight="false" outlineLevel="0" collapsed="false">
      <c r="A676" s="6" t="s">
        <v>838</v>
      </c>
      <c r="B676" s="6" t="n">
        <v>37</v>
      </c>
      <c r="C676" s="6" t="s">
        <v>134</v>
      </c>
      <c r="D676" s="6" t="s">
        <v>144</v>
      </c>
      <c r="E676" s="6" t="s">
        <v>88</v>
      </c>
      <c r="F676" s="6" t="s">
        <v>234</v>
      </c>
      <c r="G676" s="6" t="n">
        <v>12</v>
      </c>
      <c r="H676" s="6" t="s">
        <v>81</v>
      </c>
      <c r="I676" s="6" t="s">
        <v>81</v>
      </c>
      <c r="J676" s="6" t="s">
        <v>60</v>
      </c>
      <c r="K676" s="6" t="n">
        <v>92653</v>
      </c>
      <c r="L676" s="6" t="n">
        <v>87731</v>
      </c>
      <c r="M676" s="6" t="s">
        <v>146</v>
      </c>
      <c r="N676" s="6" t="n">
        <v>47</v>
      </c>
      <c r="O676" s="6" t="s">
        <v>58</v>
      </c>
      <c r="P676" s="6" t="n">
        <v>4</v>
      </c>
      <c r="Q676" s="6" t="n">
        <v>-6.79</v>
      </c>
      <c r="R676" s="20" t="n">
        <f aca="false">(L676-K676)/K676</f>
        <v>-0.0531229425922528</v>
      </c>
    </row>
    <row r="677" customFormat="false" ht="15" hidden="false" customHeight="false" outlineLevel="0" collapsed="false">
      <c r="A677" s="6" t="s">
        <v>839</v>
      </c>
      <c r="B677" s="6" t="n">
        <v>52</v>
      </c>
      <c r="C677" s="6" t="s">
        <v>134</v>
      </c>
      <c r="D677" s="6" t="s">
        <v>144</v>
      </c>
      <c r="E677" s="6" t="s">
        <v>89</v>
      </c>
      <c r="F677" s="6" t="s">
        <v>151</v>
      </c>
      <c r="G677" s="6" t="n">
        <v>28</v>
      </c>
      <c r="H677" s="6" t="s">
        <v>80</v>
      </c>
      <c r="I677" s="6" t="s">
        <v>81</v>
      </c>
      <c r="J677" s="6" t="s">
        <v>58</v>
      </c>
      <c r="K677" s="6" t="n">
        <v>58807</v>
      </c>
      <c r="L677" s="6" t="n">
        <v>60298</v>
      </c>
      <c r="M677" s="6" t="s">
        <v>146</v>
      </c>
      <c r="N677" s="6" t="n">
        <v>43</v>
      </c>
      <c r="O677" s="6" t="s">
        <v>58</v>
      </c>
      <c r="P677" s="6" t="n">
        <v>9</v>
      </c>
      <c r="Q677" s="6" t="n">
        <v>23.89</v>
      </c>
      <c r="R677" s="20" t="n">
        <f aca="false">(L677-K677)/K677</f>
        <v>0.025354124508987</v>
      </c>
    </row>
    <row r="678" customFormat="false" ht="15" hidden="false" customHeight="false" outlineLevel="0" collapsed="false">
      <c r="A678" s="6" t="s">
        <v>840</v>
      </c>
      <c r="B678" s="6" t="n">
        <v>23</v>
      </c>
      <c r="C678" s="6" t="s">
        <v>134</v>
      </c>
      <c r="D678" s="6" t="s">
        <v>144</v>
      </c>
      <c r="E678" s="6" t="s">
        <v>87</v>
      </c>
      <c r="F678" s="6" t="s">
        <v>149</v>
      </c>
      <c r="G678" s="6" t="n">
        <v>0</v>
      </c>
      <c r="H678" s="6" t="s">
        <v>82</v>
      </c>
      <c r="I678" s="6" t="s">
        <v>80</v>
      </c>
      <c r="J678" s="6" t="s">
        <v>60</v>
      </c>
      <c r="K678" s="6" t="n">
        <v>65186</v>
      </c>
      <c r="L678" s="6" t="n">
        <v>66996</v>
      </c>
      <c r="M678" s="6" t="s">
        <v>142</v>
      </c>
      <c r="N678" s="6" t="n">
        <v>50</v>
      </c>
      <c r="O678" s="6" t="s">
        <v>58</v>
      </c>
      <c r="P678" s="6" t="n">
        <v>5</v>
      </c>
      <c r="Q678" s="6" t="n">
        <v>-1</v>
      </c>
      <c r="R678" s="20" t="n">
        <f aca="false">(L678-K678)/K678</f>
        <v>0.0277666983708158</v>
      </c>
    </row>
    <row r="679" customFormat="false" ht="15" hidden="false" customHeight="false" outlineLevel="0" collapsed="false">
      <c r="A679" s="6" t="s">
        <v>841</v>
      </c>
      <c r="B679" s="6" t="n">
        <v>51</v>
      </c>
      <c r="C679" s="6" t="s">
        <v>159</v>
      </c>
      <c r="D679" s="6" t="s">
        <v>148</v>
      </c>
      <c r="E679" s="6" t="s">
        <v>88</v>
      </c>
      <c r="F679" s="6" t="s">
        <v>157</v>
      </c>
      <c r="G679" s="6" t="n">
        <v>28</v>
      </c>
      <c r="H679" s="6" t="s">
        <v>80</v>
      </c>
      <c r="I679" s="6" t="s">
        <v>82</v>
      </c>
      <c r="J679" s="6" t="s">
        <v>60</v>
      </c>
      <c r="K679" s="6" t="n">
        <v>57877</v>
      </c>
      <c r="L679" s="6" t="n">
        <v>59595</v>
      </c>
      <c r="M679" s="6" t="s">
        <v>142</v>
      </c>
      <c r="N679" s="6" t="n">
        <v>41</v>
      </c>
      <c r="O679" s="6" t="s">
        <v>58</v>
      </c>
      <c r="P679" s="6" t="n">
        <v>6</v>
      </c>
      <c r="Q679" s="6" t="n">
        <v>20.65</v>
      </c>
      <c r="R679" s="20" t="n">
        <f aca="false">(L679-K679)/K679</f>
        <v>0.0296836394422655</v>
      </c>
    </row>
    <row r="680" customFormat="false" ht="15" hidden="false" customHeight="false" outlineLevel="0" collapsed="false">
      <c r="A680" s="6" t="s">
        <v>842</v>
      </c>
      <c r="B680" s="6" t="n">
        <v>55</v>
      </c>
      <c r="C680" s="6" t="s">
        <v>139</v>
      </c>
      <c r="D680" s="6" t="s">
        <v>140</v>
      </c>
      <c r="E680" s="6" t="s">
        <v>88</v>
      </c>
      <c r="F680" s="6" t="s">
        <v>179</v>
      </c>
      <c r="G680" s="6" t="n">
        <v>31</v>
      </c>
      <c r="H680" s="6" t="s">
        <v>82</v>
      </c>
      <c r="I680" s="6" t="s">
        <v>80</v>
      </c>
      <c r="J680" s="6" t="s">
        <v>60</v>
      </c>
      <c r="K680" s="6" t="n">
        <v>70317</v>
      </c>
      <c r="L680" s="6" t="n">
        <v>62431</v>
      </c>
      <c r="M680" s="6" t="s">
        <v>142</v>
      </c>
      <c r="N680" s="6" t="n">
        <v>40</v>
      </c>
      <c r="O680" s="6" t="s">
        <v>58</v>
      </c>
      <c r="P680" s="6" t="n">
        <v>4</v>
      </c>
      <c r="Q680" s="6" t="n">
        <v>29.98</v>
      </c>
      <c r="R680" s="20" t="n">
        <f aca="false">(L680-K680)/K680</f>
        <v>-0.112149266891363</v>
      </c>
    </row>
    <row r="681" customFormat="false" ht="15" hidden="false" customHeight="false" outlineLevel="0" collapsed="false">
      <c r="A681" s="6" t="s">
        <v>843</v>
      </c>
      <c r="B681" s="6" t="n">
        <v>25</v>
      </c>
      <c r="C681" s="6" t="s">
        <v>134</v>
      </c>
      <c r="D681" s="6" t="s">
        <v>148</v>
      </c>
      <c r="E681" s="6" t="s">
        <v>92</v>
      </c>
      <c r="F681" s="6" t="s">
        <v>222</v>
      </c>
      <c r="G681" s="6" t="n">
        <v>0</v>
      </c>
      <c r="H681" s="6" t="s">
        <v>82</v>
      </c>
      <c r="I681" s="6" t="s">
        <v>82</v>
      </c>
      <c r="J681" s="6" t="s">
        <v>58</v>
      </c>
      <c r="K681" s="6" t="n">
        <v>113973</v>
      </c>
      <c r="L681" s="6" t="n">
        <v>108354</v>
      </c>
      <c r="M681" s="6" t="s">
        <v>146</v>
      </c>
      <c r="N681" s="6" t="n">
        <v>42</v>
      </c>
      <c r="O681" s="6" t="s">
        <v>58</v>
      </c>
      <c r="P681" s="6" t="n">
        <v>4</v>
      </c>
      <c r="Q681" s="6" t="n">
        <v>30.65</v>
      </c>
      <c r="R681" s="20" t="n">
        <f aca="false">(L681-K681)/K681</f>
        <v>-0.0493011502724329</v>
      </c>
    </row>
    <row r="682" customFormat="false" ht="15" hidden="false" customHeight="false" outlineLevel="0" collapsed="false">
      <c r="A682" s="6" t="s">
        <v>844</v>
      </c>
      <c r="B682" s="6" t="n">
        <v>53</v>
      </c>
      <c r="C682" s="6" t="s">
        <v>159</v>
      </c>
      <c r="D682" s="6" t="s">
        <v>140</v>
      </c>
      <c r="E682" s="6" t="s">
        <v>92</v>
      </c>
      <c r="F682" s="6" t="s">
        <v>222</v>
      </c>
      <c r="G682" s="6" t="n">
        <v>31</v>
      </c>
      <c r="H682" s="6" t="s">
        <v>82</v>
      </c>
      <c r="I682" s="6" t="s">
        <v>82</v>
      </c>
      <c r="J682" s="6" t="s">
        <v>58</v>
      </c>
      <c r="K682" s="6" t="n">
        <v>39417</v>
      </c>
      <c r="L682" s="6" t="n">
        <v>45086</v>
      </c>
      <c r="M682" s="6" t="s">
        <v>137</v>
      </c>
      <c r="N682" s="6" t="n">
        <v>37</v>
      </c>
      <c r="O682" s="6" t="s">
        <v>58</v>
      </c>
      <c r="P682" s="6" t="n">
        <v>4</v>
      </c>
      <c r="Q682" s="6" t="n">
        <v>-0.49</v>
      </c>
      <c r="R682" s="20" t="n">
        <f aca="false">(L682-K682)/K682</f>
        <v>0.143821193901109</v>
      </c>
    </row>
    <row r="683" customFormat="false" ht="15" hidden="false" customHeight="false" outlineLevel="0" collapsed="false">
      <c r="A683" s="6" t="s">
        <v>845</v>
      </c>
      <c r="B683" s="6" t="n">
        <v>32</v>
      </c>
      <c r="C683" s="6" t="s">
        <v>139</v>
      </c>
      <c r="D683" s="6" t="s">
        <v>144</v>
      </c>
      <c r="E683" s="6" t="s">
        <v>88</v>
      </c>
      <c r="F683" s="6" t="s">
        <v>234</v>
      </c>
      <c r="G683" s="6" t="n">
        <v>8</v>
      </c>
      <c r="H683" s="6" t="s">
        <v>81</v>
      </c>
      <c r="I683" s="6" t="s">
        <v>80</v>
      </c>
      <c r="J683" s="6" t="s">
        <v>60</v>
      </c>
      <c r="K683" s="6" t="n">
        <v>70031</v>
      </c>
      <c r="L683" s="6" t="n">
        <v>83317</v>
      </c>
      <c r="M683" s="6" t="s">
        <v>142</v>
      </c>
      <c r="N683" s="6" t="n">
        <v>43</v>
      </c>
      <c r="O683" s="6" t="s">
        <v>58</v>
      </c>
      <c r="P683" s="6" t="n">
        <v>5</v>
      </c>
      <c r="Q683" s="6" t="n">
        <v>3.71</v>
      </c>
      <c r="R683" s="20" t="n">
        <f aca="false">(L683-K683)/K683</f>
        <v>0.189715982921849</v>
      </c>
    </row>
    <row r="684" customFormat="false" ht="15" hidden="false" customHeight="false" outlineLevel="0" collapsed="false">
      <c r="A684" s="6" t="s">
        <v>846</v>
      </c>
      <c r="B684" s="6" t="n">
        <v>26</v>
      </c>
      <c r="C684" s="6" t="s">
        <v>159</v>
      </c>
      <c r="D684" s="6" t="s">
        <v>144</v>
      </c>
      <c r="E684" s="6" t="s">
        <v>93</v>
      </c>
      <c r="F684" s="6" t="s">
        <v>197</v>
      </c>
      <c r="G684" s="6" t="n">
        <v>2</v>
      </c>
      <c r="H684" s="6" t="s">
        <v>80</v>
      </c>
      <c r="I684" s="6" t="s">
        <v>80</v>
      </c>
      <c r="J684" s="6" t="s">
        <v>60</v>
      </c>
      <c r="K684" s="6" t="n">
        <v>70469</v>
      </c>
      <c r="L684" s="6" t="n">
        <v>68345</v>
      </c>
      <c r="M684" s="6" t="s">
        <v>142</v>
      </c>
      <c r="N684" s="6" t="n">
        <v>45</v>
      </c>
      <c r="O684" s="6" t="s">
        <v>60</v>
      </c>
      <c r="P684" s="6" t="n">
        <v>7</v>
      </c>
      <c r="Q684" s="6" t="n">
        <v>2.94</v>
      </c>
      <c r="R684" s="20" t="n">
        <f aca="false">(L684-K684)/K684</f>
        <v>-0.0301409130255857</v>
      </c>
    </row>
    <row r="685" customFormat="false" ht="15" hidden="false" customHeight="false" outlineLevel="0" collapsed="false">
      <c r="A685" s="6" t="s">
        <v>847</v>
      </c>
      <c r="B685" s="6" t="n">
        <v>24</v>
      </c>
      <c r="C685" s="6" t="s">
        <v>159</v>
      </c>
      <c r="D685" s="6" t="s">
        <v>135</v>
      </c>
      <c r="E685" s="6" t="s">
        <v>91</v>
      </c>
      <c r="F685" s="6" t="s">
        <v>206</v>
      </c>
      <c r="G685" s="6" t="n">
        <v>2</v>
      </c>
      <c r="H685" s="6" t="s">
        <v>81</v>
      </c>
      <c r="I685" s="6" t="s">
        <v>81</v>
      </c>
      <c r="J685" s="6" t="s">
        <v>58</v>
      </c>
      <c r="K685" s="6" t="n">
        <v>86635</v>
      </c>
      <c r="L685" s="6" t="n">
        <v>82939</v>
      </c>
      <c r="M685" s="6" t="s">
        <v>146</v>
      </c>
      <c r="N685" s="6" t="n">
        <v>52</v>
      </c>
      <c r="O685" s="6" t="s">
        <v>60</v>
      </c>
      <c r="P685" s="6" t="n">
        <v>3</v>
      </c>
      <c r="Q685" s="6" t="n">
        <v>7.58</v>
      </c>
      <c r="R685" s="20" t="n">
        <f aca="false">(L685-K685)/K685</f>
        <v>-0.0426617417902695</v>
      </c>
    </row>
    <row r="686" customFormat="false" ht="15" hidden="false" customHeight="false" outlineLevel="0" collapsed="false">
      <c r="A686" s="6" t="s">
        <v>848</v>
      </c>
      <c r="B686" s="6" t="n">
        <v>30</v>
      </c>
      <c r="C686" s="6" t="s">
        <v>134</v>
      </c>
      <c r="D686" s="6" t="s">
        <v>148</v>
      </c>
      <c r="E686" s="6" t="s">
        <v>89</v>
      </c>
      <c r="F686" s="6" t="s">
        <v>151</v>
      </c>
      <c r="G686" s="6" t="n">
        <v>7</v>
      </c>
      <c r="H686" s="6" t="s">
        <v>82</v>
      </c>
      <c r="I686" s="6" t="s">
        <v>81</v>
      </c>
      <c r="J686" s="6" t="s">
        <v>60</v>
      </c>
      <c r="K686" s="6" t="n">
        <v>80258</v>
      </c>
      <c r="L686" s="6" t="n">
        <v>106925</v>
      </c>
      <c r="M686" s="6" t="s">
        <v>146</v>
      </c>
      <c r="N686" s="6" t="n">
        <v>54</v>
      </c>
      <c r="O686" s="6" t="s">
        <v>58</v>
      </c>
      <c r="P686" s="6" t="n">
        <v>9</v>
      </c>
      <c r="Q686" s="6" t="n">
        <v>5.19</v>
      </c>
      <c r="R686" s="20" t="n">
        <f aca="false">(L686-K686)/K686</f>
        <v>0.332265942335967</v>
      </c>
    </row>
    <row r="687" customFormat="false" ht="15" hidden="false" customHeight="false" outlineLevel="0" collapsed="false">
      <c r="A687" s="6" t="s">
        <v>849</v>
      </c>
      <c r="B687" s="6" t="n">
        <v>51</v>
      </c>
      <c r="C687" s="6" t="s">
        <v>134</v>
      </c>
      <c r="D687" s="6" t="s">
        <v>135</v>
      </c>
      <c r="E687" s="6" t="s">
        <v>87</v>
      </c>
      <c r="F687" s="6" t="s">
        <v>149</v>
      </c>
      <c r="G687" s="6" t="n">
        <v>29</v>
      </c>
      <c r="H687" s="6" t="s">
        <v>81</v>
      </c>
      <c r="I687" s="6" t="s">
        <v>82</v>
      </c>
      <c r="J687" s="6" t="s">
        <v>58</v>
      </c>
      <c r="K687" s="6" t="n">
        <v>65739</v>
      </c>
      <c r="L687" s="6" t="n">
        <v>61738</v>
      </c>
      <c r="M687" s="6" t="s">
        <v>142</v>
      </c>
      <c r="N687" s="6" t="n">
        <v>49</v>
      </c>
      <c r="O687" s="6" t="s">
        <v>58</v>
      </c>
      <c r="P687" s="6" t="n">
        <v>3</v>
      </c>
      <c r="Q687" s="6" t="n">
        <v>13.93</v>
      </c>
      <c r="R687" s="20" t="n">
        <f aca="false">(L687-K687)/K687</f>
        <v>-0.0608618932444972</v>
      </c>
    </row>
    <row r="688" customFormat="false" ht="15" hidden="false" customHeight="false" outlineLevel="0" collapsed="false">
      <c r="A688" s="6" t="s">
        <v>850</v>
      </c>
      <c r="B688" s="6" t="n">
        <v>31</v>
      </c>
      <c r="C688" s="6" t="s">
        <v>139</v>
      </c>
      <c r="D688" s="6" t="s">
        <v>144</v>
      </c>
      <c r="E688" s="6" t="s">
        <v>87</v>
      </c>
      <c r="F688" s="6" t="s">
        <v>160</v>
      </c>
      <c r="G688" s="6" t="n">
        <v>8</v>
      </c>
      <c r="H688" s="6" t="s">
        <v>80</v>
      </c>
      <c r="I688" s="6" t="s">
        <v>81</v>
      </c>
      <c r="J688" s="6" t="s">
        <v>60</v>
      </c>
      <c r="K688" s="6" t="n">
        <v>58141</v>
      </c>
      <c r="L688" s="6" t="n">
        <v>58662</v>
      </c>
      <c r="M688" s="6" t="s">
        <v>146</v>
      </c>
      <c r="N688" s="6" t="n">
        <v>43</v>
      </c>
      <c r="O688" s="6" t="s">
        <v>58</v>
      </c>
      <c r="P688" s="6" t="n">
        <v>3</v>
      </c>
      <c r="Q688" s="6" t="n">
        <v>-13.99</v>
      </c>
      <c r="R688" s="20" t="n">
        <f aca="false">(L688-K688)/K688</f>
        <v>0.00896097418345058</v>
      </c>
    </row>
    <row r="689" customFormat="false" ht="15" hidden="false" customHeight="false" outlineLevel="0" collapsed="false">
      <c r="A689" s="6" t="s">
        <v>851</v>
      </c>
      <c r="B689" s="6" t="n">
        <v>35</v>
      </c>
      <c r="C689" s="6" t="s">
        <v>134</v>
      </c>
      <c r="D689" s="6" t="s">
        <v>144</v>
      </c>
      <c r="E689" s="6" t="s">
        <v>88</v>
      </c>
      <c r="F689" s="6" t="s">
        <v>234</v>
      </c>
      <c r="G689" s="6" t="n">
        <v>11</v>
      </c>
      <c r="H689" s="6" t="s">
        <v>81</v>
      </c>
      <c r="I689" s="6" t="s">
        <v>80</v>
      </c>
      <c r="J689" s="6" t="s">
        <v>60</v>
      </c>
      <c r="K689" s="6" t="n">
        <v>38307</v>
      </c>
      <c r="L689" s="6" t="n">
        <v>38333</v>
      </c>
      <c r="M689" s="6" t="s">
        <v>142</v>
      </c>
      <c r="N689" s="6" t="n">
        <v>45</v>
      </c>
      <c r="O689" s="6" t="s">
        <v>60</v>
      </c>
      <c r="P689" s="6" t="n">
        <v>5</v>
      </c>
      <c r="Q689" s="6" t="n">
        <v>-15.39</v>
      </c>
      <c r="R689" s="20" t="n">
        <f aca="false">(L689-K689)/K689</f>
        <v>0.000678727125590623</v>
      </c>
    </row>
    <row r="690" customFormat="false" ht="15" hidden="false" customHeight="false" outlineLevel="0" collapsed="false">
      <c r="A690" s="6" t="s">
        <v>852</v>
      </c>
      <c r="B690" s="6" t="n">
        <v>42</v>
      </c>
      <c r="C690" s="6" t="s">
        <v>139</v>
      </c>
      <c r="D690" s="6" t="s">
        <v>144</v>
      </c>
      <c r="E690" s="6" t="s">
        <v>92</v>
      </c>
      <c r="F690" s="6" t="s">
        <v>136</v>
      </c>
      <c r="G690" s="6" t="n">
        <v>16</v>
      </c>
      <c r="H690" s="6" t="s">
        <v>80</v>
      </c>
      <c r="I690" s="6" t="s">
        <v>82</v>
      </c>
      <c r="J690" s="6" t="s">
        <v>58</v>
      </c>
      <c r="K690" s="6" t="n">
        <v>70149</v>
      </c>
      <c r="L690" s="6" t="n">
        <v>76897</v>
      </c>
      <c r="M690" s="6" t="s">
        <v>142</v>
      </c>
      <c r="N690" s="6" t="n">
        <v>36</v>
      </c>
      <c r="O690" s="6" t="s">
        <v>60</v>
      </c>
      <c r="P690" s="6" t="n">
        <v>6</v>
      </c>
      <c r="Q690" s="6" t="n">
        <v>-11.87</v>
      </c>
      <c r="R690" s="20" t="n">
        <f aca="false">(L690-K690)/K690</f>
        <v>0.0961952415572567</v>
      </c>
    </row>
    <row r="691" customFormat="false" ht="15" hidden="false" customHeight="false" outlineLevel="0" collapsed="false">
      <c r="A691" s="6" t="s">
        <v>853</v>
      </c>
      <c r="B691" s="6" t="n">
        <v>39</v>
      </c>
      <c r="C691" s="6" t="s">
        <v>139</v>
      </c>
      <c r="D691" s="6" t="s">
        <v>144</v>
      </c>
      <c r="E691" s="6" t="s">
        <v>87</v>
      </c>
      <c r="F691" s="6" t="s">
        <v>160</v>
      </c>
      <c r="G691" s="6" t="n">
        <v>15</v>
      </c>
      <c r="H691" s="6" t="s">
        <v>81</v>
      </c>
      <c r="I691" s="6" t="s">
        <v>80</v>
      </c>
      <c r="J691" s="6" t="s">
        <v>58</v>
      </c>
      <c r="K691" s="6" t="n">
        <v>54816</v>
      </c>
      <c r="L691" s="6" t="n">
        <v>49493</v>
      </c>
      <c r="M691" s="6" t="s">
        <v>142</v>
      </c>
      <c r="N691" s="6" t="n">
        <v>50</v>
      </c>
      <c r="O691" s="6" t="s">
        <v>60</v>
      </c>
      <c r="P691" s="6" t="n">
        <v>8</v>
      </c>
      <c r="Q691" s="6" t="n">
        <v>31.48</v>
      </c>
      <c r="R691" s="20" t="n">
        <f aca="false">(L691-K691)/K691</f>
        <v>-0.0971066841798015</v>
      </c>
    </row>
    <row r="692" customFormat="false" ht="15" hidden="false" customHeight="false" outlineLevel="0" collapsed="false">
      <c r="A692" s="6" t="s">
        <v>854</v>
      </c>
      <c r="B692" s="6" t="n">
        <v>33</v>
      </c>
      <c r="C692" s="6" t="s">
        <v>139</v>
      </c>
      <c r="D692" s="6" t="s">
        <v>135</v>
      </c>
      <c r="E692" s="6" t="s">
        <v>91</v>
      </c>
      <c r="F692" s="6" t="s">
        <v>141</v>
      </c>
      <c r="G692" s="6" t="n">
        <v>8</v>
      </c>
      <c r="H692" s="6" t="s">
        <v>82</v>
      </c>
      <c r="I692" s="6" t="s">
        <v>80</v>
      </c>
      <c r="J692" s="6" t="s">
        <v>60</v>
      </c>
      <c r="K692" s="6" t="n">
        <v>72316</v>
      </c>
      <c r="L692" s="6" t="n">
        <v>82420</v>
      </c>
      <c r="M692" s="6" t="s">
        <v>142</v>
      </c>
      <c r="N692" s="6" t="n">
        <v>49</v>
      </c>
      <c r="O692" s="6" t="s">
        <v>58</v>
      </c>
      <c r="P692" s="6" t="n">
        <v>9</v>
      </c>
      <c r="Q692" s="6" t="n">
        <v>-19.62</v>
      </c>
      <c r="R692" s="20" t="n">
        <f aca="false">(L692-K692)/K692</f>
        <v>0.139720117263123</v>
      </c>
    </row>
    <row r="693" customFormat="false" ht="15" hidden="false" customHeight="false" outlineLevel="0" collapsed="false">
      <c r="A693" s="6" t="s">
        <v>855</v>
      </c>
      <c r="B693" s="6" t="n">
        <v>29</v>
      </c>
      <c r="C693" s="6" t="s">
        <v>139</v>
      </c>
      <c r="D693" s="6" t="s">
        <v>135</v>
      </c>
      <c r="E693" s="6" t="s">
        <v>89</v>
      </c>
      <c r="F693" s="6" t="s">
        <v>153</v>
      </c>
      <c r="G693" s="6" t="n">
        <v>4</v>
      </c>
      <c r="H693" s="6" t="s">
        <v>82</v>
      </c>
      <c r="I693" s="6" t="s">
        <v>81</v>
      </c>
      <c r="J693" s="6" t="s">
        <v>58</v>
      </c>
      <c r="K693" s="6" t="n">
        <v>48443</v>
      </c>
      <c r="L693" s="6" t="n">
        <v>50685</v>
      </c>
      <c r="M693" s="6" t="s">
        <v>146</v>
      </c>
      <c r="N693" s="6" t="n">
        <v>51</v>
      </c>
      <c r="O693" s="6" t="s">
        <v>60</v>
      </c>
      <c r="P693" s="6" t="n">
        <v>6</v>
      </c>
      <c r="Q693" s="6" t="n">
        <v>-10.2</v>
      </c>
      <c r="R693" s="20" t="n">
        <f aca="false">(L693-K693)/K693</f>
        <v>0.0462811964576926</v>
      </c>
    </row>
    <row r="694" customFormat="false" ht="15" hidden="false" customHeight="false" outlineLevel="0" collapsed="false">
      <c r="A694" s="6" t="s">
        <v>856</v>
      </c>
      <c r="B694" s="6" t="n">
        <v>42</v>
      </c>
      <c r="C694" s="6" t="s">
        <v>139</v>
      </c>
      <c r="D694" s="6" t="s">
        <v>140</v>
      </c>
      <c r="E694" s="6" t="s">
        <v>88</v>
      </c>
      <c r="F694" s="6" t="s">
        <v>179</v>
      </c>
      <c r="G694" s="6" t="n">
        <v>16</v>
      </c>
      <c r="H694" s="6" t="s">
        <v>80</v>
      </c>
      <c r="I694" s="6" t="s">
        <v>81</v>
      </c>
      <c r="J694" s="6" t="s">
        <v>60</v>
      </c>
      <c r="K694" s="6" t="n">
        <v>79241</v>
      </c>
      <c r="L694" s="6" t="n">
        <v>76412</v>
      </c>
      <c r="M694" s="6" t="s">
        <v>146</v>
      </c>
      <c r="N694" s="6" t="n">
        <v>49</v>
      </c>
      <c r="O694" s="6" t="s">
        <v>60</v>
      </c>
      <c r="P694" s="6" t="n">
        <v>6</v>
      </c>
      <c r="Q694" s="6" t="n">
        <v>7</v>
      </c>
      <c r="R694" s="20" t="n">
        <f aca="false">(L694-K694)/K694</f>
        <v>-0.0357012152799687</v>
      </c>
    </row>
    <row r="695" customFormat="false" ht="15" hidden="false" customHeight="false" outlineLevel="0" collapsed="false">
      <c r="A695" s="6" t="s">
        <v>857</v>
      </c>
      <c r="B695" s="6" t="n">
        <v>58</v>
      </c>
      <c r="C695" s="6" t="s">
        <v>134</v>
      </c>
      <c r="D695" s="6" t="s">
        <v>140</v>
      </c>
      <c r="E695" s="6" t="s">
        <v>90</v>
      </c>
      <c r="F695" s="6" t="s">
        <v>236</v>
      </c>
      <c r="G695" s="6" t="n">
        <v>35</v>
      </c>
      <c r="H695" s="6" t="s">
        <v>80</v>
      </c>
      <c r="I695" s="6" t="s">
        <v>82</v>
      </c>
      <c r="J695" s="6" t="s">
        <v>58</v>
      </c>
      <c r="K695" s="6" t="n">
        <v>96630</v>
      </c>
      <c r="L695" s="6" t="n">
        <v>92541</v>
      </c>
      <c r="M695" s="6" t="s">
        <v>142</v>
      </c>
      <c r="N695" s="6" t="n">
        <v>39</v>
      </c>
      <c r="O695" s="6" t="s">
        <v>58</v>
      </c>
      <c r="P695" s="6" t="n">
        <v>7</v>
      </c>
      <c r="Q695" s="6" t="n">
        <v>9.55</v>
      </c>
      <c r="R695" s="20" t="n">
        <f aca="false">(L695-K695)/K695</f>
        <v>-0.0423160509158646</v>
      </c>
    </row>
    <row r="696" customFormat="false" ht="15" hidden="false" customHeight="false" outlineLevel="0" collapsed="false">
      <c r="A696" s="6" t="s">
        <v>858</v>
      </c>
      <c r="B696" s="6" t="n">
        <v>24</v>
      </c>
      <c r="C696" s="6" t="s">
        <v>139</v>
      </c>
      <c r="D696" s="6" t="s">
        <v>135</v>
      </c>
      <c r="E696" s="6" t="s">
        <v>93</v>
      </c>
      <c r="F696" s="6" t="s">
        <v>164</v>
      </c>
      <c r="G696" s="6" t="n">
        <v>0</v>
      </c>
      <c r="H696" s="6" t="s">
        <v>80</v>
      </c>
      <c r="I696" s="6" t="s">
        <v>81</v>
      </c>
      <c r="J696" s="6" t="s">
        <v>60</v>
      </c>
      <c r="K696" s="6" t="n">
        <v>111326</v>
      </c>
      <c r="L696" s="6" t="n">
        <v>114609</v>
      </c>
      <c r="M696" s="6" t="s">
        <v>146</v>
      </c>
      <c r="N696" s="6" t="n">
        <v>44</v>
      </c>
      <c r="O696" s="6" t="s">
        <v>60</v>
      </c>
      <c r="P696" s="6" t="n">
        <v>7</v>
      </c>
      <c r="Q696" s="6" t="n">
        <v>-10.32</v>
      </c>
      <c r="R696" s="20" t="n">
        <f aca="false">(L696-K696)/K696</f>
        <v>0.0294899664049728</v>
      </c>
    </row>
    <row r="697" customFormat="false" ht="15" hidden="false" customHeight="false" outlineLevel="0" collapsed="false">
      <c r="A697" s="6" t="s">
        <v>859</v>
      </c>
      <c r="B697" s="6" t="n">
        <v>58</v>
      </c>
      <c r="C697" s="6" t="s">
        <v>139</v>
      </c>
      <c r="D697" s="6" t="s">
        <v>144</v>
      </c>
      <c r="E697" s="6" t="s">
        <v>90</v>
      </c>
      <c r="F697" s="6" t="s">
        <v>202</v>
      </c>
      <c r="G697" s="6" t="n">
        <v>34</v>
      </c>
      <c r="H697" s="6" t="s">
        <v>80</v>
      </c>
      <c r="I697" s="6" t="s">
        <v>80</v>
      </c>
      <c r="J697" s="6" t="s">
        <v>60</v>
      </c>
      <c r="K697" s="6" t="n">
        <v>53862</v>
      </c>
      <c r="L697" s="6" t="n">
        <v>52412</v>
      </c>
      <c r="M697" s="6" t="s">
        <v>142</v>
      </c>
      <c r="N697" s="6" t="n">
        <v>40</v>
      </c>
      <c r="O697" s="6" t="s">
        <v>58</v>
      </c>
      <c r="P697" s="6" t="n">
        <v>9</v>
      </c>
      <c r="Q697" s="6" t="n">
        <v>-11.05</v>
      </c>
      <c r="R697" s="20" t="n">
        <f aca="false">(L697-K697)/K697</f>
        <v>-0.026920649066132</v>
      </c>
    </row>
    <row r="698" customFormat="false" ht="15" hidden="false" customHeight="false" outlineLevel="0" collapsed="false">
      <c r="A698" s="6" t="s">
        <v>860</v>
      </c>
      <c r="B698" s="6" t="n">
        <v>57</v>
      </c>
      <c r="C698" s="6" t="s">
        <v>159</v>
      </c>
      <c r="D698" s="6" t="s">
        <v>148</v>
      </c>
      <c r="E698" s="6" t="s">
        <v>90</v>
      </c>
      <c r="F698" s="6" t="s">
        <v>202</v>
      </c>
      <c r="G698" s="6" t="n">
        <v>34</v>
      </c>
      <c r="H698" s="6" t="s">
        <v>81</v>
      </c>
      <c r="I698" s="6" t="s">
        <v>80</v>
      </c>
      <c r="J698" s="6" t="s">
        <v>60</v>
      </c>
      <c r="K698" s="6" t="n">
        <v>65733</v>
      </c>
      <c r="L698" s="6" t="n">
        <v>61635</v>
      </c>
      <c r="M698" s="6" t="s">
        <v>142</v>
      </c>
      <c r="N698" s="6" t="n">
        <v>38</v>
      </c>
      <c r="O698" s="6" t="s">
        <v>60</v>
      </c>
      <c r="P698" s="6" t="n">
        <v>8</v>
      </c>
      <c r="Q698" s="6" t="n">
        <v>-9.72</v>
      </c>
      <c r="R698" s="20" t="n">
        <f aca="false">(L698-K698)/K698</f>
        <v>-0.0623431153301994</v>
      </c>
    </row>
    <row r="699" customFormat="false" ht="15" hidden="false" customHeight="false" outlineLevel="0" collapsed="false">
      <c r="A699" s="6" t="s">
        <v>861</v>
      </c>
      <c r="B699" s="6" t="n">
        <v>40</v>
      </c>
      <c r="C699" s="6" t="s">
        <v>134</v>
      </c>
      <c r="D699" s="6" t="s">
        <v>140</v>
      </c>
      <c r="E699" s="6" t="s">
        <v>91</v>
      </c>
      <c r="F699" s="6" t="s">
        <v>141</v>
      </c>
      <c r="G699" s="6" t="n">
        <v>17</v>
      </c>
      <c r="H699" s="6" t="s">
        <v>81</v>
      </c>
      <c r="I699" s="6" t="s">
        <v>82</v>
      </c>
      <c r="J699" s="6" t="s">
        <v>60</v>
      </c>
      <c r="K699" s="6" t="n">
        <v>94140</v>
      </c>
      <c r="L699" s="6" t="n">
        <v>91688</v>
      </c>
      <c r="M699" s="6" t="s">
        <v>142</v>
      </c>
      <c r="N699" s="6" t="n">
        <v>38</v>
      </c>
      <c r="O699" s="6" t="s">
        <v>58</v>
      </c>
      <c r="P699" s="6" t="n">
        <v>8</v>
      </c>
      <c r="Q699" s="6" t="n">
        <v>38.56</v>
      </c>
      <c r="R699" s="20" t="n">
        <f aca="false">(L699-K699)/K699</f>
        <v>-0.0260463140004249</v>
      </c>
    </row>
    <row r="700" customFormat="false" ht="15" hidden="false" customHeight="false" outlineLevel="0" collapsed="false">
      <c r="A700" s="6" t="s">
        <v>862</v>
      </c>
      <c r="B700" s="6" t="n">
        <v>57</v>
      </c>
      <c r="C700" s="6" t="s">
        <v>159</v>
      </c>
      <c r="D700" s="6" t="s">
        <v>144</v>
      </c>
      <c r="E700" s="6" t="s">
        <v>93</v>
      </c>
      <c r="F700" s="6" t="s">
        <v>164</v>
      </c>
      <c r="G700" s="6" t="n">
        <v>35</v>
      </c>
      <c r="H700" s="6" t="s">
        <v>81</v>
      </c>
      <c r="I700" s="6" t="s">
        <v>80</v>
      </c>
      <c r="J700" s="6" t="s">
        <v>58</v>
      </c>
      <c r="K700" s="6" t="n">
        <v>87062</v>
      </c>
      <c r="L700" s="6" t="n">
        <v>81258</v>
      </c>
      <c r="M700" s="6" t="s">
        <v>142</v>
      </c>
      <c r="N700" s="6" t="n">
        <v>54</v>
      </c>
      <c r="O700" s="6" t="s">
        <v>58</v>
      </c>
      <c r="P700" s="6" t="n">
        <v>9</v>
      </c>
      <c r="Q700" s="6" t="n">
        <v>18.89</v>
      </c>
      <c r="R700" s="20" t="n">
        <f aca="false">(L700-K700)/K700</f>
        <v>-0.0666651351910133</v>
      </c>
    </row>
    <row r="701" customFormat="false" ht="15" hidden="false" customHeight="false" outlineLevel="0" collapsed="false">
      <c r="A701" s="6" t="s">
        <v>863</v>
      </c>
      <c r="B701" s="6" t="n">
        <v>36</v>
      </c>
      <c r="C701" s="6" t="s">
        <v>134</v>
      </c>
      <c r="D701" s="6" t="s">
        <v>135</v>
      </c>
      <c r="E701" s="6" t="s">
        <v>92</v>
      </c>
      <c r="F701" s="6" t="s">
        <v>192</v>
      </c>
      <c r="G701" s="6" t="n">
        <v>14</v>
      </c>
      <c r="H701" s="6" t="s">
        <v>81</v>
      </c>
      <c r="I701" s="6" t="s">
        <v>80</v>
      </c>
      <c r="J701" s="6" t="s">
        <v>60</v>
      </c>
      <c r="K701" s="6" t="n">
        <v>113231</v>
      </c>
      <c r="L701" s="6" t="n">
        <v>129910</v>
      </c>
      <c r="M701" s="6" t="s">
        <v>142</v>
      </c>
      <c r="N701" s="6" t="n">
        <v>54</v>
      </c>
      <c r="O701" s="6" t="s">
        <v>60</v>
      </c>
      <c r="P701" s="6" t="n">
        <v>9</v>
      </c>
      <c r="Q701" s="6" t="n">
        <v>3.82</v>
      </c>
      <c r="R701" s="20" t="n">
        <f aca="false">(L701-K701)/K701</f>
        <v>0.147300650881826</v>
      </c>
    </row>
    <row r="702" customFormat="false" ht="15" hidden="false" customHeight="false" outlineLevel="0" collapsed="false">
      <c r="A702" s="6" t="s">
        <v>864</v>
      </c>
      <c r="B702" s="6" t="n">
        <v>32</v>
      </c>
      <c r="C702" s="6" t="s">
        <v>134</v>
      </c>
      <c r="D702" s="6" t="s">
        <v>144</v>
      </c>
      <c r="E702" s="6" t="s">
        <v>92</v>
      </c>
      <c r="F702" s="6" t="s">
        <v>136</v>
      </c>
      <c r="G702" s="6" t="n">
        <v>6</v>
      </c>
      <c r="H702" s="6" t="s">
        <v>81</v>
      </c>
      <c r="I702" s="6" t="s">
        <v>80</v>
      </c>
      <c r="J702" s="6" t="s">
        <v>58</v>
      </c>
      <c r="K702" s="6" t="n">
        <v>56553</v>
      </c>
      <c r="L702" s="6" t="n">
        <v>51490</v>
      </c>
      <c r="M702" s="6" t="s">
        <v>142</v>
      </c>
      <c r="N702" s="6" t="n">
        <v>47</v>
      </c>
      <c r="O702" s="6" t="s">
        <v>60</v>
      </c>
      <c r="P702" s="6" t="n">
        <v>4</v>
      </c>
      <c r="Q702" s="6" t="n">
        <v>39.39</v>
      </c>
      <c r="R702" s="20" t="n">
        <f aca="false">(L702-K702)/K702</f>
        <v>-0.0895266387282726</v>
      </c>
    </row>
    <row r="703" customFormat="false" ht="15" hidden="false" customHeight="false" outlineLevel="0" collapsed="false">
      <c r="A703" s="6" t="s">
        <v>865</v>
      </c>
      <c r="B703" s="6" t="n">
        <v>30</v>
      </c>
      <c r="C703" s="6" t="s">
        <v>134</v>
      </c>
      <c r="D703" s="6" t="s">
        <v>144</v>
      </c>
      <c r="E703" s="6" t="s">
        <v>90</v>
      </c>
      <c r="F703" s="6" t="s">
        <v>202</v>
      </c>
      <c r="G703" s="6" t="n">
        <v>7</v>
      </c>
      <c r="H703" s="6" t="s">
        <v>81</v>
      </c>
      <c r="I703" s="6" t="s">
        <v>80</v>
      </c>
      <c r="J703" s="6" t="s">
        <v>60</v>
      </c>
      <c r="K703" s="6" t="n">
        <v>76686</v>
      </c>
      <c r="L703" s="6" t="n">
        <v>91756</v>
      </c>
      <c r="M703" s="6" t="s">
        <v>142</v>
      </c>
      <c r="N703" s="6" t="n">
        <v>37</v>
      </c>
      <c r="O703" s="6" t="s">
        <v>58</v>
      </c>
      <c r="P703" s="6" t="n">
        <v>3</v>
      </c>
      <c r="Q703" s="6" t="n">
        <v>38.64</v>
      </c>
      <c r="R703" s="20" t="n">
        <f aca="false">(L703-K703)/K703</f>
        <v>0.196515661268028</v>
      </c>
    </row>
    <row r="704" customFormat="false" ht="15" hidden="false" customHeight="false" outlineLevel="0" collapsed="false">
      <c r="A704" s="6" t="s">
        <v>866</v>
      </c>
      <c r="B704" s="6" t="n">
        <v>42</v>
      </c>
      <c r="C704" s="6" t="s">
        <v>139</v>
      </c>
      <c r="D704" s="6" t="s">
        <v>148</v>
      </c>
      <c r="E704" s="6" t="s">
        <v>92</v>
      </c>
      <c r="F704" s="6" t="s">
        <v>192</v>
      </c>
      <c r="G704" s="6" t="n">
        <v>16</v>
      </c>
      <c r="H704" s="6" t="s">
        <v>82</v>
      </c>
      <c r="I704" s="6" t="s">
        <v>82</v>
      </c>
      <c r="J704" s="6" t="s">
        <v>60</v>
      </c>
      <c r="K704" s="6" t="n">
        <v>76418</v>
      </c>
      <c r="L704" s="6" t="n">
        <v>106305</v>
      </c>
      <c r="M704" s="6" t="s">
        <v>137</v>
      </c>
      <c r="N704" s="6" t="n">
        <v>54</v>
      </c>
      <c r="O704" s="6" t="s">
        <v>58</v>
      </c>
      <c r="P704" s="6" t="n">
        <v>4</v>
      </c>
      <c r="Q704" s="6" t="n">
        <v>26.08</v>
      </c>
      <c r="R704" s="20" t="n">
        <f aca="false">(L704-K704)/K704</f>
        <v>0.391098955743411</v>
      </c>
    </row>
    <row r="705" customFormat="false" ht="15" hidden="false" customHeight="false" outlineLevel="0" collapsed="false">
      <c r="A705" s="6" t="s">
        <v>867</v>
      </c>
      <c r="B705" s="6" t="n">
        <v>23</v>
      </c>
      <c r="C705" s="6" t="s">
        <v>139</v>
      </c>
      <c r="D705" s="6" t="s">
        <v>148</v>
      </c>
      <c r="E705" s="6" t="s">
        <v>93</v>
      </c>
      <c r="F705" s="6" t="s">
        <v>197</v>
      </c>
      <c r="G705" s="6" t="n">
        <v>0</v>
      </c>
      <c r="H705" s="6" t="s">
        <v>81</v>
      </c>
      <c r="I705" s="6" t="s">
        <v>82</v>
      </c>
      <c r="J705" s="6" t="s">
        <v>58</v>
      </c>
      <c r="K705" s="6" t="n">
        <v>68751</v>
      </c>
      <c r="L705" s="6" t="n">
        <v>79419</v>
      </c>
      <c r="M705" s="6" t="s">
        <v>142</v>
      </c>
      <c r="N705" s="6" t="n">
        <v>45</v>
      </c>
      <c r="O705" s="6" t="s">
        <v>60</v>
      </c>
      <c r="P705" s="6" t="n">
        <v>3</v>
      </c>
      <c r="Q705" s="6" t="n">
        <v>-7.91</v>
      </c>
      <c r="R705" s="20" t="n">
        <f aca="false">(L705-K705)/K705</f>
        <v>0.155168652092333</v>
      </c>
    </row>
    <row r="706" customFormat="false" ht="15" hidden="false" customHeight="false" outlineLevel="0" collapsed="false">
      <c r="A706" s="6" t="s">
        <v>868</v>
      </c>
      <c r="B706" s="6" t="n">
        <v>32</v>
      </c>
      <c r="C706" s="6" t="s">
        <v>139</v>
      </c>
      <c r="D706" s="6" t="s">
        <v>144</v>
      </c>
      <c r="E706" s="6" t="s">
        <v>90</v>
      </c>
      <c r="F706" s="6" t="s">
        <v>202</v>
      </c>
      <c r="G706" s="6" t="n">
        <v>6</v>
      </c>
      <c r="H706" s="6" t="s">
        <v>81</v>
      </c>
      <c r="I706" s="6" t="s">
        <v>82</v>
      </c>
      <c r="J706" s="6" t="s">
        <v>58</v>
      </c>
      <c r="K706" s="6" t="n">
        <v>56627</v>
      </c>
      <c r="L706" s="6" t="n">
        <v>61211</v>
      </c>
      <c r="M706" s="6" t="s">
        <v>142</v>
      </c>
      <c r="N706" s="6" t="n">
        <v>46</v>
      </c>
      <c r="O706" s="6" t="s">
        <v>58</v>
      </c>
      <c r="P706" s="6" t="n">
        <v>9</v>
      </c>
      <c r="Q706" s="6" t="n">
        <v>11.42</v>
      </c>
      <c r="R706" s="20" t="n">
        <f aca="false">(L706-K706)/K706</f>
        <v>0.0809507831952955</v>
      </c>
    </row>
    <row r="707" customFormat="false" ht="15" hidden="false" customHeight="false" outlineLevel="0" collapsed="false">
      <c r="A707" s="6" t="s">
        <v>869</v>
      </c>
      <c r="B707" s="6" t="n">
        <v>38</v>
      </c>
      <c r="C707" s="6" t="s">
        <v>139</v>
      </c>
      <c r="D707" s="6" t="s">
        <v>135</v>
      </c>
      <c r="E707" s="6" t="s">
        <v>90</v>
      </c>
      <c r="F707" s="6" t="s">
        <v>145</v>
      </c>
      <c r="G707" s="6" t="n">
        <v>16</v>
      </c>
      <c r="H707" s="6" t="s">
        <v>80</v>
      </c>
      <c r="I707" s="6" t="s">
        <v>81</v>
      </c>
      <c r="J707" s="6" t="s">
        <v>58</v>
      </c>
      <c r="K707" s="6" t="n">
        <v>91386</v>
      </c>
      <c r="L707" s="6" t="n">
        <v>100414</v>
      </c>
      <c r="M707" s="6" t="s">
        <v>146</v>
      </c>
      <c r="N707" s="6" t="n">
        <v>44</v>
      </c>
      <c r="O707" s="6" t="s">
        <v>58</v>
      </c>
      <c r="P707" s="6" t="n">
        <v>9</v>
      </c>
      <c r="Q707" s="6" t="n">
        <v>-2.36</v>
      </c>
      <c r="R707" s="20" t="n">
        <f aca="false">(L707-K707)/K707</f>
        <v>0.0987897489768674</v>
      </c>
    </row>
    <row r="708" customFormat="false" ht="15" hidden="false" customHeight="false" outlineLevel="0" collapsed="false">
      <c r="A708" s="6" t="s">
        <v>870</v>
      </c>
      <c r="B708" s="6" t="n">
        <v>23</v>
      </c>
      <c r="C708" s="6" t="s">
        <v>139</v>
      </c>
      <c r="D708" s="6" t="s">
        <v>144</v>
      </c>
      <c r="E708" s="6" t="s">
        <v>89</v>
      </c>
      <c r="F708" s="6" t="s">
        <v>153</v>
      </c>
      <c r="G708" s="6" t="n">
        <v>0</v>
      </c>
      <c r="H708" s="6" t="s">
        <v>82</v>
      </c>
      <c r="I708" s="6" t="s">
        <v>82</v>
      </c>
      <c r="J708" s="6" t="s">
        <v>58</v>
      </c>
      <c r="K708" s="6" t="n">
        <v>78899</v>
      </c>
      <c r="L708" s="6" t="n">
        <v>67987</v>
      </c>
      <c r="M708" s="6" t="s">
        <v>137</v>
      </c>
      <c r="N708" s="6" t="n">
        <v>42</v>
      </c>
      <c r="O708" s="6" t="s">
        <v>60</v>
      </c>
      <c r="P708" s="6" t="n">
        <v>4</v>
      </c>
      <c r="Q708" s="6" t="n">
        <v>-12.44</v>
      </c>
      <c r="R708" s="20" t="n">
        <f aca="false">(L708-K708)/K708</f>
        <v>-0.13830340055007</v>
      </c>
    </row>
    <row r="709" customFormat="false" ht="15" hidden="false" customHeight="false" outlineLevel="0" collapsed="false">
      <c r="A709" s="6" t="s">
        <v>871</v>
      </c>
      <c r="B709" s="6" t="n">
        <v>32</v>
      </c>
      <c r="C709" s="6" t="s">
        <v>139</v>
      </c>
      <c r="D709" s="6" t="s">
        <v>148</v>
      </c>
      <c r="E709" s="6" t="s">
        <v>92</v>
      </c>
      <c r="F709" s="6" t="s">
        <v>222</v>
      </c>
      <c r="G709" s="6" t="n">
        <v>6</v>
      </c>
      <c r="H709" s="6" t="s">
        <v>80</v>
      </c>
      <c r="I709" s="6" t="s">
        <v>82</v>
      </c>
      <c r="J709" s="6" t="s">
        <v>58</v>
      </c>
      <c r="K709" s="6" t="n">
        <v>70130</v>
      </c>
      <c r="L709" s="6" t="n">
        <v>70035</v>
      </c>
      <c r="M709" s="6" t="s">
        <v>142</v>
      </c>
      <c r="N709" s="6" t="n">
        <v>51</v>
      </c>
      <c r="O709" s="6" t="s">
        <v>60</v>
      </c>
      <c r="P709" s="6" t="n">
        <v>8</v>
      </c>
      <c r="Q709" s="6" t="n">
        <v>20.59</v>
      </c>
      <c r="R709" s="20" t="n">
        <f aca="false">(L709-K709)/K709</f>
        <v>-0.00135462712106089</v>
      </c>
    </row>
    <row r="710" customFormat="false" ht="15" hidden="false" customHeight="false" outlineLevel="0" collapsed="false">
      <c r="A710" s="6" t="s">
        <v>872</v>
      </c>
      <c r="B710" s="6" t="n">
        <v>23</v>
      </c>
      <c r="C710" s="6" t="s">
        <v>159</v>
      </c>
      <c r="D710" s="6" t="s">
        <v>140</v>
      </c>
      <c r="E710" s="6" t="s">
        <v>93</v>
      </c>
      <c r="F710" s="6" t="s">
        <v>164</v>
      </c>
      <c r="G710" s="6" t="n">
        <v>1</v>
      </c>
      <c r="H710" s="6" t="s">
        <v>80</v>
      </c>
      <c r="I710" s="6" t="s">
        <v>82</v>
      </c>
      <c r="J710" s="6" t="s">
        <v>60</v>
      </c>
      <c r="K710" s="6" t="n">
        <v>59327</v>
      </c>
      <c r="L710" s="6" t="n">
        <v>56408</v>
      </c>
      <c r="M710" s="6" t="s">
        <v>142</v>
      </c>
      <c r="N710" s="6" t="n">
        <v>54</v>
      </c>
      <c r="O710" s="6" t="s">
        <v>60</v>
      </c>
      <c r="P710" s="6" t="n">
        <v>8</v>
      </c>
      <c r="Q710" s="6" t="n">
        <v>-19.92</v>
      </c>
      <c r="R710" s="20" t="n">
        <f aca="false">(L710-K710)/K710</f>
        <v>-0.0492018810996679</v>
      </c>
    </row>
    <row r="711" customFormat="false" ht="15" hidden="false" customHeight="false" outlineLevel="0" collapsed="false">
      <c r="A711" s="6" t="s">
        <v>873</v>
      </c>
      <c r="B711" s="6" t="n">
        <v>49</v>
      </c>
      <c r="C711" s="6" t="s">
        <v>134</v>
      </c>
      <c r="D711" s="6" t="s">
        <v>148</v>
      </c>
      <c r="E711" s="6" t="s">
        <v>92</v>
      </c>
      <c r="F711" s="6" t="s">
        <v>136</v>
      </c>
      <c r="G711" s="6" t="n">
        <v>27</v>
      </c>
      <c r="H711" s="6" t="s">
        <v>82</v>
      </c>
      <c r="I711" s="6" t="s">
        <v>81</v>
      </c>
      <c r="J711" s="6" t="s">
        <v>60</v>
      </c>
      <c r="K711" s="6" t="n">
        <v>92559</v>
      </c>
      <c r="L711" s="6" t="n">
        <v>86613</v>
      </c>
      <c r="M711" s="6" t="s">
        <v>146</v>
      </c>
      <c r="N711" s="6" t="n">
        <v>42</v>
      </c>
      <c r="O711" s="6" t="s">
        <v>58</v>
      </c>
      <c r="P711" s="6" t="n">
        <v>3</v>
      </c>
      <c r="Q711" s="6" t="n">
        <v>21.54</v>
      </c>
      <c r="R711" s="20" t="n">
        <f aca="false">(L711-K711)/K711</f>
        <v>-0.0642401063105695</v>
      </c>
    </row>
    <row r="712" customFormat="false" ht="15" hidden="false" customHeight="false" outlineLevel="0" collapsed="false">
      <c r="A712" s="6" t="s">
        <v>874</v>
      </c>
      <c r="B712" s="6" t="n">
        <v>34</v>
      </c>
      <c r="C712" s="6" t="s">
        <v>139</v>
      </c>
      <c r="D712" s="6" t="s">
        <v>135</v>
      </c>
      <c r="E712" s="6" t="s">
        <v>90</v>
      </c>
      <c r="F712" s="6" t="s">
        <v>236</v>
      </c>
      <c r="G712" s="6" t="n">
        <v>12</v>
      </c>
      <c r="H712" s="6" t="s">
        <v>80</v>
      </c>
      <c r="I712" s="6" t="s">
        <v>80</v>
      </c>
      <c r="J712" s="6" t="s">
        <v>60</v>
      </c>
      <c r="K712" s="6" t="n">
        <v>88741</v>
      </c>
      <c r="L712" s="6" t="n">
        <v>87215</v>
      </c>
      <c r="M712" s="6" t="s">
        <v>142</v>
      </c>
      <c r="N712" s="6" t="n">
        <v>50</v>
      </c>
      <c r="O712" s="6" t="s">
        <v>58</v>
      </c>
      <c r="P712" s="6" t="n">
        <v>7</v>
      </c>
      <c r="Q712" s="6" t="n">
        <v>-16.4</v>
      </c>
      <c r="R712" s="20" t="n">
        <f aca="false">(L712-K712)/K712</f>
        <v>-0.0171961100280592</v>
      </c>
    </row>
    <row r="713" customFormat="false" ht="15" hidden="false" customHeight="false" outlineLevel="0" collapsed="false">
      <c r="A713" s="6" t="s">
        <v>875</v>
      </c>
      <c r="B713" s="6" t="n">
        <v>43</v>
      </c>
      <c r="C713" s="6" t="s">
        <v>139</v>
      </c>
      <c r="D713" s="6" t="s">
        <v>135</v>
      </c>
      <c r="E713" s="6" t="s">
        <v>89</v>
      </c>
      <c r="F713" s="6" t="s">
        <v>162</v>
      </c>
      <c r="G713" s="6" t="n">
        <v>21</v>
      </c>
      <c r="H713" s="6" t="s">
        <v>81</v>
      </c>
      <c r="I713" s="6" t="s">
        <v>80</v>
      </c>
      <c r="J713" s="6" t="s">
        <v>60</v>
      </c>
      <c r="K713" s="6" t="n">
        <v>116483</v>
      </c>
      <c r="L713" s="6" t="n">
        <v>129344</v>
      </c>
      <c r="M713" s="6" t="s">
        <v>142</v>
      </c>
      <c r="N713" s="6" t="n">
        <v>50</v>
      </c>
      <c r="O713" s="6" t="s">
        <v>60</v>
      </c>
      <c r="P713" s="6" t="n">
        <v>4</v>
      </c>
      <c r="Q713" s="6" t="n">
        <v>-13.19</v>
      </c>
      <c r="R713" s="20" t="n">
        <f aca="false">(L713-K713)/K713</f>
        <v>0.110410961256149</v>
      </c>
    </row>
    <row r="714" customFormat="false" ht="15" hidden="false" customHeight="false" outlineLevel="0" collapsed="false">
      <c r="A714" s="6" t="s">
        <v>876</v>
      </c>
      <c r="B714" s="6" t="n">
        <v>53</v>
      </c>
      <c r="C714" s="6" t="s">
        <v>159</v>
      </c>
      <c r="D714" s="6" t="s">
        <v>140</v>
      </c>
      <c r="E714" s="6" t="s">
        <v>89</v>
      </c>
      <c r="F714" s="6" t="s">
        <v>162</v>
      </c>
      <c r="G714" s="6" t="n">
        <v>30</v>
      </c>
      <c r="H714" s="6" t="s">
        <v>80</v>
      </c>
      <c r="I714" s="6" t="s">
        <v>80</v>
      </c>
      <c r="J714" s="6" t="s">
        <v>58</v>
      </c>
      <c r="K714" s="6" t="n">
        <v>35543</v>
      </c>
      <c r="L714" s="6" t="n">
        <v>34439</v>
      </c>
      <c r="M714" s="6" t="s">
        <v>142</v>
      </c>
      <c r="N714" s="6" t="n">
        <v>44</v>
      </c>
      <c r="O714" s="6" t="s">
        <v>60</v>
      </c>
      <c r="P714" s="6" t="n">
        <v>3</v>
      </c>
      <c r="Q714" s="6" t="n">
        <v>-18.33</v>
      </c>
      <c r="R714" s="20" t="n">
        <f aca="false">(L714-K714)/K714</f>
        <v>-0.0310609684044678</v>
      </c>
    </row>
    <row r="715" customFormat="false" ht="15" hidden="false" customHeight="false" outlineLevel="0" collapsed="false">
      <c r="A715" s="6" t="s">
        <v>877</v>
      </c>
      <c r="B715" s="6" t="n">
        <v>55</v>
      </c>
      <c r="C715" s="6" t="s">
        <v>134</v>
      </c>
      <c r="D715" s="6" t="s">
        <v>144</v>
      </c>
      <c r="E715" s="6" t="s">
        <v>90</v>
      </c>
      <c r="F715" s="6" t="s">
        <v>202</v>
      </c>
      <c r="G715" s="6" t="n">
        <v>30</v>
      </c>
      <c r="H715" s="6" t="s">
        <v>80</v>
      </c>
      <c r="I715" s="6" t="s">
        <v>80</v>
      </c>
      <c r="J715" s="6" t="s">
        <v>60</v>
      </c>
      <c r="K715" s="6" t="n">
        <v>102742</v>
      </c>
      <c r="L715" s="6" t="n">
        <v>107335</v>
      </c>
      <c r="M715" s="6" t="s">
        <v>142</v>
      </c>
      <c r="N715" s="6" t="n">
        <v>38</v>
      </c>
      <c r="O715" s="6" t="s">
        <v>58</v>
      </c>
      <c r="P715" s="6" t="n">
        <v>8</v>
      </c>
      <c r="Q715" s="6" t="n">
        <v>5.58</v>
      </c>
      <c r="R715" s="20" t="n">
        <f aca="false">(L715-K715)/K715</f>
        <v>0.0447042105468066</v>
      </c>
    </row>
    <row r="716" customFormat="false" ht="15" hidden="false" customHeight="false" outlineLevel="0" collapsed="false">
      <c r="A716" s="6" t="s">
        <v>878</v>
      </c>
      <c r="B716" s="6" t="n">
        <v>48</v>
      </c>
      <c r="C716" s="6" t="s">
        <v>134</v>
      </c>
      <c r="D716" s="6" t="s">
        <v>148</v>
      </c>
      <c r="E716" s="6" t="s">
        <v>93</v>
      </c>
      <c r="F716" s="6" t="s">
        <v>197</v>
      </c>
      <c r="G716" s="6" t="n">
        <v>25</v>
      </c>
      <c r="H716" s="6" t="s">
        <v>80</v>
      </c>
      <c r="I716" s="6" t="s">
        <v>82</v>
      </c>
      <c r="J716" s="6" t="s">
        <v>60</v>
      </c>
      <c r="K716" s="6" t="n">
        <v>56270</v>
      </c>
      <c r="L716" s="6" t="n">
        <v>60255</v>
      </c>
      <c r="M716" s="6" t="s">
        <v>142</v>
      </c>
      <c r="N716" s="6" t="n">
        <v>49</v>
      </c>
      <c r="O716" s="6" t="s">
        <v>58</v>
      </c>
      <c r="P716" s="6" t="n">
        <v>6</v>
      </c>
      <c r="Q716" s="6" t="n">
        <v>3.87</v>
      </c>
      <c r="R716" s="20" t="n">
        <f aca="false">(L716-K716)/K716</f>
        <v>0.0708192642615959</v>
      </c>
    </row>
    <row r="717" customFormat="false" ht="15" hidden="false" customHeight="false" outlineLevel="0" collapsed="false">
      <c r="A717" s="6" t="s">
        <v>879</v>
      </c>
      <c r="B717" s="6" t="n">
        <v>58</v>
      </c>
      <c r="C717" s="6" t="s">
        <v>139</v>
      </c>
      <c r="D717" s="6" t="s">
        <v>144</v>
      </c>
      <c r="E717" s="6" t="s">
        <v>87</v>
      </c>
      <c r="F717" s="6" t="s">
        <v>160</v>
      </c>
      <c r="G717" s="6" t="n">
        <v>33</v>
      </c>
      <c r="H717" s="6" t="s">
        <v>82</v>
      </c>
      <c r="I717" s="6" t="s">
        <v>82</v>
      </c>
      <c r="J717" s="6" t="s">
        <v>58</v>
      </c>
      <c r="K717" s="6" t="n">
        <v>62083</v>
      </c>
      <c r="L717" s="6" t="n">
        <v>70672</v>
      </c>
      <c r="M717" s="6" t="s">
        <v>137</v>
      </c>
      <c r="N717" s="6" t="n">
        <v>44</v>
      </c>
      <c r="O717" s="6" t="s">
        <v>58</v>
      </c>
      <c r="P717" s="6" t="n">
        <v>8</v>
      </c>
      <c r="Q717" s="6" t="n">
        <v>10.02</v>
      </c>
      <c r="R717" s="20" t="n">
        <f aca="false">(L717-K717)/K717</f>
        <v>0.138347051527793</v>
      </c>
    </row>
    <row r="718" customFormat="false" ht="15" hidden="false" customHeight="false" outlineLevel="0" collapsed="false">
      <c r="A718" s="6" t="s">
        <v>880</v>
      </c>
      <c r="B718" s="6" t="n">
        <v>35</v>
      </c>
      <c r="C718" s="6" t="s">
        <v>139</v>
      </c>
      <c r="D718" s="6" t="s">
        <v>144</v>
      </c>
      <c r="E718" s="6" t="s">
        <v>88</v>
      </c>
      <c r="F718" s="6" t="s">
        <v>157</v>
      </c>
      <c r="G718" s="6" t="n">
        <v>9</v>
      </c>
      <c r="H718" s="6" t="s">
        <v>81</v>
      </c>
      <c r="I718" s="6" t="s">
        <v>80</v>
      </c>
      <c r="J718" s="6" t="s">
        <v>58</v>
      </c>
      <c r="K718" s="6" t="n">
        <v>119745</v>
      </c>
      <c r="L718" s="6" t="n">
        <v>112350</v>
      </c>
      <c r="M718" s="6" t="s">
        <v>142</v>
      </c>
      <c r="N718" s="6" t="n">
        <v>46</v>
      </c>
      <c r="O718" s="6" t="s">
        <v>58</v>
      </c>
      <c r="P718" s="6" t="n">
        <v>8</v>
      </c>
      <c r="Q718" s="6" t="n">
        <v>28.01</v>
      </c>
      <c r="R718" s="20" t="n">
        <f aca="false">(L718-K718)/K718</f>
        <v>-0.0617562319929851</v>
      </c>
    </row>
    <row r="719" customFormat="false" ht="15" hidden="false" customHeight="false" outlineLevel="0" collapsed="false">
      <c r="A719" s="6" t="s">
        <v>881</v>
      </c>
      <c r="B719" s="6" t="n">
        <v>27</v>
      </c>
      <c r="C719" s="6" t="s">
        <v>134</v>
      </c>
      <c r="D719" s="6" t="s">
        <v>140</v>
      </c>
      <c r="E719" s="6" t="s">
        <v>90</v>
      </c>
      <c r="F719" s="6" t="s">
        <v>145</v>
      </c>
      <c r="G719" s="6" t="n">
        <v>2</v>
      </c>
      <c r="H719" s="6" t="s">
        <v>81</v>
      </c>
      <c r="I719" s="6" t="s">
        <v>81</v>
      </c>
      <c r="J719" s="6" t="s">
        <v>60</v>
      </c>
      <c r="K719" s="6" t="n">
        <v>109267</v>
      </c>
      <c r="L719" s="6" t="n">
        <v>122166</v>
      </c>
      <c r="M719" s="6" t="s">
        <v>146</v>
      </c>
      <c r="N719" s="6" t="n">
        <v>38</v>
      </c>
      <c r="O719" s="6" t="s">
        <v>58</v>
      </c>
      <c r="P719" s="6" t="n">
        <v>3</v>
      </c>
      <c r="Q719" s="6" t="n">
        <v>27.09</v>
      </c>
      <c r="R719" s="20" t="n">
        <f aca="false">(L719-K719)/K719</f>
        <v>0.118050280505551</v>
      </c>
    </row>
    <row r="720" customFormat="false" ht="15" hidden="false" customHeight="false" outlineLevel="0" collapsed="false">
      <c r="A720" s="6" t="s">
        <v>882</v>
      </c>
      <c r="B720" s="6" t="n">
        <v>53</v>
      </c>
      <c r="C720" s="6" t="s">
        <v>139</v>
      </c>
      <c r="D720" s="6" t="s">
        <v>135</v>
      </c>
      <c r="E720" s="6" t="s">
        <v>87</v>
      </c>
      <c r="F720" s="6" t="s">
        <v>160</v>
      </c>
      <c r="G720" s="6" t="n">
        <v>31</v>
      </c>
      <c r="H720" s="6" t="s">
        <v>80</v>
      </c>
      <c r="I720" s="6" t="s">
        <v>82</v>
      </c>
      <c r="J720" s="6" t="s">
        <v>58</v>
      </c>
      <c r="K720" s="6" t="n">
        <v>57564</v>
      </c>
      <c r="L720" s="6" t="n">
        <v>60554</v>
      </c>
      <c r="M720" s="6" t="s">
        <v>142</v>
      </c>
      <c r="N720" s="6" t="n">
        <v>37</v>
      </c>
      <c r="O720" s="6" t="s">
        <v>58</v>
      </c>
      <c r="P720" s="6" t="n">
        <v>9</v>
      </c>
      <c r="Q720" s="6" t="n">
        <v>36.76</v>
      </c>
      <c r="R720" s="20" t="n">
        <f aca="false">(L720-K720)/K720</f>
        <v>0.0519421860885276</v>
      </c>
    </row>
    <row r="721" customFormat="false" ht="15" hidden="false" customHeight="false" outlineLevel="0" collapsed="false">
      <c r="A721" s="6" t="s">
        <v>883</v>
      </c>
      <c r="B721" s="6" t="n">
        <v>53</v>
      </c>
      <c r="C721" s="6" t="s">
        <v>134</v>
      </c>
      <c r="D721" s="6" t="s">
        <v>144</v>
      </c>
      <c r="E721" s="6" t="s">
        <v>88</v>
      </c>
      <c r="F721" s="6" t="s">
        <v>234</v>
      </c>
      <c r="G721" s="6" t="n">
        <v>27</v>
      </c>
      <c r="H721" s="6" t="s">
        <v>82</v>
      </c>
      <c r="I721" s="6" t="s">
        <v>80</v>
      </c>
      <c r="J721" s="6" t="s">
        <v>58</v>
      </c>
      <c r="K721" s="6" t="n">
        <v>83370</v>
      </c>
      <c r="L721" s="6" t="n">
        <v>70781</v>
      </c>
      <c r="M721" s="6" t="s">
        <v>142</v>
      </c>
      <c r="N721" s="6" t="n">
        <v>42</v>
      </c>
      <c r="O721" s="6" t="s">
        <v>60</v>
      </c>
      <c r="P721" s="6" t="n">
        <v>5</v>
      </c>
      <c r="Q721" s="6" t="n">
        <v>35.46</v>
      </c>
      <c r="R721" s="20" t="n">
        <f aca="false">(L721-K721)/K721</f>
        <v>-0.151001559313902</v>
      </c>
    </row>
    <row r="722" customFormat="false" ht="15" hidden="false" customHeight="false" outlineLevel="0" collapsed="false">
      <c r="A722" s="6" t="s">
        <v>884</v>
      </c>
      <c r="B722" s="6" t="n">
        <v>35</v>
      </c>
      <c r="C722" s="6" t="s">
        <v>159</v>
      </c>
      <c r="D722" s="6" t="s">
        <v>135</v>
      </c>
      <c r="E722" s="6" t="s">
        <v>87</v>
      </c>
      <c r="F722" s="6" t="s">
        <v>149</v>
      </c>
      <c r="G722" s="6" t="n">
        <v>10</v>
      </c>
      <c r="H722" s="6" t="s">
        <v>81</v>
      </c>
      <c r="I722" s="6" t="s">
        <v>82</v>
      </c>
      <c r="J722" s="6" t="s">
        <v>60</v>
      </c>
      <c r="K722" s="6" t="n">
        <v>88255</v>
      </c>
      <c r="L722" s="6" t="n">
        <v>103329</v>
      </c>
      <c r="M722" s="6" t="s">
        <v>142</v>
      </c>
      <c r="N722" s="6" t="n">
        <v>41</v>
      </c>
      <c r="O722" s="6" t="s">
        <v>60</v>
      </c>
      <c r="P722" s="6" t="n">
        <v>8</v>
      </c>
      <c r="Q722" s="6" t="n">
        <v>30.24</v>
      </c>
      <c r="R722" s="20" t="n">
        <f aca="false">(L722-K722)/K722</f>
        <v>0.170800521216928</v>
      </c>
    </row>
    <row r="723" customFormat="false" ht="15" hidden="false" customHeight="false" outlineLevel="0" collapsed="false">
      <c r="A723" s="6" t="s">
        <v>885</v>
      </c>
      <c r="B723" s="6" t="n">
        <v>53</v>
      </c>
      <c r="C723" s="6" t="s">
        <v>134</v>
      </c>
      <c r="D723" s="6" t="s">
        <v>135</v>
      </c>
      <c r="E723" s="6" t="s">
        <v>88</v>
      </c>
      <c r="F723" s="6" t="s">
        <v>179</v>
      </c>
      <c r="G723" s="6" t="n">
        <v>28</v>
      </c>
      <c r="H723" s="6" t="s">
        <v>82</v>
      </c>
      <c r="I723" s="6" t="s">
        <v>82</v>
      </c>
      <c r="J723" s="6" t="s">
        <v>58</v>
      </c>
      <c r="K723" s="6" t="n">
        <v>55256</v>
      </c>
      <c r="L723" s="6" t="n">
        <v>59477</v>
      </c>
      <c r="M723" s="6" t="s">
        <v>137</v>
      </c>
      <c r="N723" s="6" t="n">
        <v>39</v>
      </c>
      <c r="O723" s="6" t="s">
        <v>58</v>
      </c>
      <c r="P723" s="6" t="n">
        <v>7</v>
      </c>
      <c r="Q723" s="6" t="n">
        <v>9.94</v>
      </c>
      <c r="R723" s="20" t="n">
        <f aca="false">(L723-K723)/K723</f>
        <v>0.0763898943101202</v>
      </c>
    </row>
    <row r="724" customFormat="false" ht="15" hidden="false" customHeight="false" outlineLevel="0" collapsed="false">
      <c r="A724" s="6" t="s">
        <v>886</v>
      </c>
      <c r="B724" s="6" t="n">
        <v>48</v>
      </c>
      <c r="C724" s="6" t="s">
        <v>139</v>
      </c>
      <c r="D724" s="6" t="s">
        <v>135</v>
      </c>
      <c r="E724" s="6" t="s">
        <v>88</v>
      </c>
      <c r="F724" s="6" t="s">
        <v>234</v>
      </c>
      <c r="G724" s="6" t="n">
        <v>23</v>
      </c>
      <c r="H724" s="6" t="s">
        <v>81</v>
      </c>
      <c r="I724" s="6" t="s">
        <v>82</v>
      </c>
      <c r="J724" s="6" t="s">
        <v>58</v>
      </c>
      <c r="K724" s="6" t="n">
        <v>53382</v>
      </c>
      <c r="L724" s="6" t="n">
        <v>59717</v>
      </c>
      <c r="M724" s="6" t="s">
        <v>142</v>
      </c>
      <c r="N724" s="6" t="n">
        <v>49</v>
      </c>
      <c r="O724" s="6" t="s">
        <v>58</v>
      </c>
      <c r="P724" s="6" t="n">
        <v>5</v>
      </c>
      <c r="Q724" s="6" t="n">
        <v>26.79</v>
      </c>
      <c r="R724" s="20" t="n">
        <f aca="false">(L724-K724)/K724</f>
        <v>0.118672960923158</v>
      </c>
    </row>
    <row r="725" customFormat="false" ht="15" hidden="false" customHeight="false" outlineLevel="0" collapsed="false">
      <c r="A725" s="6" t="s">
        <v>887</v>
      </c>
      <c r="B725" s="6" t="n">
        <v>54</v>
      </c>
      <c r="C725" s="6" t="s">
        <v>134</v>
      </c>
      <c r="D725" s="6" t="s">
        <v>148</v>
      </c>
      <c r="E725" s="6" t="s">
        <v>91</v>
      </c>
      <c r="F725" s="6" t="s">
        <v>206</v>
      </c>
      <c r="G725" s="6" t="n">
        <v>28</v>
      </c>
      <c r="H725" s="6" t="s">
        <v>81</v>
      </c>
      <c r="I725" s="6" t="s">
        <v>80</v>
      </c>
      <c r="J725" s="6" t="s">
        <v>60</v>
      </c>
      <c r="K725" s="6" t="n">
        <v>70222</v>
      </c>
      <c r="L725" s="6" t="n">
        <v>69998</v>
      </c>
      <c r="M725" s="6" t="s">
        <v>142</v>
      </c>
      <c r="N725" s="6" t="n">
        <v>48</v>
      </c>
      <c r="O725" s="6" t="s">
        <v>60</v>
      </c>
      <c r="P725" s="6" t="n">
        <v>8</v>
      </c>
      <c r="Q725" s="6" t="n">
        <v>13.26</v>
      </c>
      <c r="R725" s="20" t="n">
        <f aca="false">(L725-K725)/K725</f>
        <v>-0.0031898835122896</v>
      </c>
    </row>
    <row r="726" customFormat="false" ht="15" hidden="false" customHeight="false" outlineLevel="0" collapsed="false">
      <c r="A726" s="6" t="s">
        <v>888</v>
      </c>
      <c r="B726" s="6" t="n">
        <v>44</v>
      </c>
      <c r="C726" s="6" t="s">
        <v>159</v>
      </c>
      <c r="D726" s="6" t="s">
        <v>144</v>
      </c>
      <c r="E726" s="6" t="s">
        <v>89</v>
      </c>
      <c r="F726" s="6" t="s">
        <v>151</v>
      </c>
      <c r="G726" s="6" t="n">
        <v>18</v>
      </c>
      <c r="H726" s="6" t="s">
        <v>82</v>
      </c>
      <c r="I726" s="6" t="s">
        <v>82</v>
      </c>
      <c r="J726" s="6" t="s">
        <v>60</v>
      </c>
      <c r="K726" s="6" t="n">
        <v>118314</v>
      </c>
      <c r="L726" s="6" t="n">
        <v>153117</v>
      </c>
      <c r="M726" s="6" t="s">
        <v>146</v>
      </c>
      <c r="N726" s="6" t="n">
        <v>40</v>
      </c>
      <c r="O726" s="6" t="s">
        <v>58</v>
      </c>
      <c r="P726" s="6" t="n">
        <v>9</v>
      </c>
      <c r="Q726" s="6" t="n">
        <v>33.93</v>
      </c>
      <c r="R726" s="20" t="n">
        <f aca="false">(L726-K726)/K726</f>
        <v>0.294157918758558</v>
      </c>
    </row>
    <row r="727" customFormat="false" ht="15" hidden="false" customHeight="false" outlineLevel="0" collapsed="false">
      <c r="A727" s="6" t="s">
        <v>889</v>
      </c>
      <c r="B727" s="6" t="n">
        <v>46</v>
      </c>
      <c r="C727" s="6" t="s">
        <v>159</v>
      </c>
      <c r="D727" s="6" t="s">
        <v>135</v>
      </c>
      <c r="E727" s="6" t="s">
        <v>92</v>
      </c>
      <c r="F727" s="6" t="s">
        <v>192</v>
      </c>
      <c r="G727" s="6" t="n">
        <v>23</v>
      </c>
      <c r="H727" s="6" t="s">
        <v>82</v>
      </c>
      <c r="I727" s="6" t="s">
        <v>80</v>
      </c>
      <c r="J727" s="6" t="s">
        <v>58</v>
      </c>
      <c r="K727" s="6" t="n">
        <v>109788</v>
      </c>
      <c r="L727" s="6" t="n">
        <v>152967</v>
      </c>
      <c r="M727" s="6" t="s">
        <v>142</v>
      </c>
      <c r="N727" s="6" t="n">
        <v>42</v>
      </c>
      <c r="O727" s="6" t="s">
        <v>58</v>
      </c>
      <c r="P727" s="6" t="n">
        <v>9</v>
      </c>
      <c r="Q727" s="6" t="n">
        <v>-6.46</v>
      </c>
      <c r="R727" s="20" t="n">
        <f aca="false">(L727-K727)/K727</f>
        <v>0.393294349109192</v>
      </c>
    </row>
    <row r="728" customFormat="false" ht="15" hidden="false" customHeight="false" outlineLevel="0" collapsed="false">
      <c r="A728" s="6" t="s">
        <v>890</v>
      </c>
      <c r="B728" s="6" t="n">
        <v>22</v>
      </c>
      <c r="C728" s="6" t="s">
        <v>159</v>
      </c>
      <c r="D728" s="6" t="s">
        <v>144</v>
      </c>
      <c r="E728" s="6" t="s">
        <v>90</v>
      </c>
      <c r="F728" s="6" t="s">
        <v>145</v>
      </c>
      <c r="G728" s="6" t="n">
        <v>0</v>
      </c>
      <c r="H728" s="6" t="s">
        <v>81</v>
      </c>
      <c r="I728" s="6" t="s">
        <v>82</v>
      </c>
      <c r="J728" s="6" t="s">
        <v>58</v>
      </c>
      <c r="K728" s="6" t="n">
        <v>94427</v>
      </c>
      <c r="L728" s="6" t="n">
        <v>87722</v>
      </c>
      <c r="M728" s="6" t="s">
        <v>142</v>
      </c>
      <c r="N728" s="6" t="n">
        <v>49</v>
      </c>
      <c r="O728" s="6" t="s">
        <v>58</v>
      </c>
      <c r="P728" s="6" t="n">
        <v>8</v>
      </c>
      <c r="Q728" s="6" t="n">
        <v>-9.39</v>
      </c>
      <c r="R728" s="20" t="n">
        <f aca="false">(L728-K728)/K728</f>
        <v>-0.0710072331007021</v>
      </c>
    </row>
    <row r="729" customFormat="false" ht="15" hidden="false" customHeight="false" outlineLevel="0" collapsed="false">
      <c r="A729" s="6" t="s">
        <v>891</v>
      </c>
      <c r="B729" s="6" t="n">
        <v>45</v>
      </c>
      <c r="C729" s="6" t="s">
        <v>159</v>
      </c>
      <c r="D729" s="6" t="s">
        <v>144</v>
      </c>
      <c r="E729" s="6" t="s">
        <v>93</v>
      </c>
      <c r="F729" s="6" t="s">
        <v>164</v>
      </c>
      <c r="G729" s="6" t="n">
        <v>21</v>
      </c>
      <c r="H729" s="6" t="s">
        <v>82</v>
      </c>
      <c r="I729" s="6" t="s">
        <v>80</v>
      </c>
      <c r="J729" s="6" t="s">
        <v>60</v>
      </c>
      <c r="K729" s="6" t="n">
        <v>79052</v>
      </c>
      <c r="L729" s="6" t="n">
        <v>67398</v>
      </c>
      <c r="M729" s="6" t="s">
        <v>142</v>
      </c>
      <c r="N729" s="6" t="n">
        <v>54</v>
      </c>
      <c r="O729" s="6" t="s">
        <v>60</v>
      </c>
      <c r="P729" s="6" t="n">
        <v>8</v>
      </c>
      <c r="Q729" s="6" t="n">
        <v>-16.05</v>
      </c>
      <c r="R729" s="20" t="n">
        <f aca="false">(L729-K729)/K729</f>
        <v>-0.147421950108789</v>
      </c>
    </row>
    <row r="730" customFormat="false" ht="15" hidden="false" customHeight="false" outlineLevel="0" collapsed="false">
      <c r="A730" s="6" t="s">
        <v>892</v>
      </c>
      <c r="B730" s="6" t="n">
        <v>24</v>
      </c>
      <c r="C730" s="6" t="s">
        <v>134</v>
      </c>
      <c r="D730" s="6" t="s">
        <v>140</v>
      </c>
      <c r="E730" s="6" t="s">
        <v>90</v>
      </c>
      <c r="F730" s="6" t="s">
        <v>202</v>
      </c>
      <c r="G730" s="6" t="n">
        <v>2</v>
      </c>
      <c r="H730" s="6" t="s">
        <v>81</v>
      </c>
      <c r="I730" s="6" t="s">
        <v>82</v>
      </c>
      <c r="J730" s="6" t="s">
        <v>60</v>
      </c>
      <c r="K730" s="6" t="n">
        <v>115886</v>
      </c>
      <c r="L730" s="6" t="n">
        <v>115663</v>
      </c>
      <c r="M730" s="6" t="s">
        <v>142</v>
      </c>
      <c r="N730" s="6" t="n">
        <v>51</v>
      </c>
      <c r="O730" s="6" t="s">
        <v>60</v>
      </c>
      <c r="P730" s="6" t="n">
        <v>4</v>
      </c>
      <c r="Q730" s="6" t="n">
        <v>-1.66</v>
      </c>
      <c r="R730" s="20" t="n">
        <f aca="false">(L730-K730)/K730</f>
        <v>-0.00192430492035276</v>
      </c>
    </row>
    <row r="731" customFormat="false" ht="15" hidden="false" customHeight="false" outlineLevel="0" collapsed="false">
      <c r="A731" s="6" t="s">
        <v>893</v>
      </c>
      <c r="B731" s="6" t="n">
        <v>50</v>
      </c>
      <c r="C731" s="6" t="s">
        <v>159</v>
      </c>
      <c r="D731" s="6" t="s">
        <v>148</v>
      </c>
      <c r="E731" s="6" t="s">
        <v>89</v>
      </c>
      <c r="F731" s="6" t="s">
        <v>162</v>
      </c>
      <c r="G731" s="6" t="n">
        <v>25</v>
      </c>
      <c r="H731" s="6" t="s">
        <v>82</v>
      </c>
      <c r="I731" s="6" t="s">
        <v>82</v>
      </c>
      <c r="J731" s="6" t="s">
        <v>58</v>
      </c>
      <c r="K731" s="6" t="n">
        <v>37493</v>
      </c>
      <c r="L731" s="6" t="n">
        <v>43318</v>
      </c>
      <c r="M731" s="6" t="s">
        <v>146</v>
      </c>
      <c r="N731" s="6" t="n">
        <v>35</v>
      </c>
      <c r="O731" s="6" t="s">
        <v>58</v>
      </c>
      <c r="P731" s="6" t="n">
        <v>5</v>
      </c>
      <c r="Q731" s="6" t="n">
        <v>21.68</v>
      </c>
      <c r="R731" s="20" t="n">
        <f aca="false">(L731-K731)/K731</f>
        <v>0.155362334302403</v>
      </c>
    </row>
    <row r="732" customFormat="false" ht="15" hidden="false" customHeight="false" outlineLevel="0" collapsed="false">
      <c r="A732" s="6" t="s">
        <v>894</v>
      </c>
      <c r="B732" s="6" t="n">
        <v>56</v>
      </c>
      <c r="C732" s="6" t="s">
        <v>134</v>
      </c>
      <c r="D732" s="6" t="s">
        <v>140</v>
      </c>
      <c r="E732" s="6" t="s">
        <v>88</v>
      </c>
      <c r="F732" s="6" t="s">
        <v>179</v>
      </c>
      <c r="G732" s="6" t="n">
        <v>30</v>
      </c>
      <c r="H732" s="6" t="s">
        <v>82</v>
      </c>
      <c r="I732" s="6" t="s">
        <v>80</v>
      </c>
      <c r="J732" s="6" t="s">
        <v>58</v>
      </c>
      <c r="K732" s="6" t="n">
        <v>35594</v>
      </c>
      <c r="L732" s="6" t="n">
        <v>31028</v>
      </c>
      <c r="M732" s="6" t="s">
        <v>142</v>
      </c>
      <c r="N732" s="6" t="n">
        <v>54</v>
      </c>
      <c r="O732" s="6" t="s">
        <v>58</v>
      </c>
      <c r="P732" s="6" t="n">
        <v>3</v>
      </c>
      <c r="Q732" s="6" t="n">
        <v>14.36</v>
      </c>
      <c r="R732" s="20" t="n">
        <f aca="false">(L732-K732)/K732</f>
        <v>-0.128280047198966</v>
      </c>
    </row>
    <row r="733" customFormat="false" ht="15" hidden="false" customHeight="false" outlineLevel="0" collapsed="false">
      <c r="A733" s="6" t="s">
        <v>895</v>
      </c>
      <c r="B733" s="6" t="n">
        <v>25</v>
      </c>
      <c r="C733" s="6" t="s">
        <v>159</v>
      </c>
      <c r="D733" s="6" t="s">
        <v>144</v>
      </c>
      <c r="E733" s="6" t="s">
        <v>90</v>
      </c>
      <c r="F733" s="6" t="s">
        <v>236</v>
      </c>
      <c r="G733" s="6" t="n">
        <v>1</v>
      </c>
      <c r="H733" s="6" t="s">
        <v>81</v>
      </c>
      <c r="I733" s="6" t="s">
        <v>81</v>
      </c>
      <c r="J733" s="6" t="s">
        <v>60</v>
      </c>
      <c r="K733" s="6" t="n">
        <v>116005</v>
      </c>
      <c r="L733" s="6" t="n">
        <v>139021</v>
      </c>
      <c r="M733" s="6" t="s">
        <v>146</v>
      </c>
      <c r="N733" s="6" t="n">
        <v>45</v>
      </c>
      <c r="O733" s="6" t="s">
        <v>60</v>
      </c>
      <c r="P733" s="6" t="n">
        <v>7</v>
      </c>
      <c r="Q733" s="6" t="n">
        <v>-14.45</v>
      </c>
      <c r="R733" s="20" t="n">
        <f aca="false">(L733-K733)/K733</f>
        <v>0.198405241153399</v>
      </c>
    </row>
    <row r="734" customFormat="false" ht="15" hidden="false" customHeight="false" outlineLevel="0" collapsed="false">
      <c r="A734" s="6" t="s">
        <v>896</v>
      </c>
      <c r="B734" s="6" t="n">
        <v>34</v>
      </c>
      <c r="C734" s="6" t="s">
        <v>159</v>
      </c>
      <c r="D734" s="6" t="s">
        <v>140</v>
      </c>
      <c r="E734" s="6" t="s">
        <v>90</v>
      </c>
      <c r="F734" s="6" t="s">
        <v>145</v>
      </c>
      <c r="G734" s="6" t="n">
        <v>9</v>
      </c>
      <c r="H734" s="6" t="s">
        <v>80</v>
      </c>
      <c r="I734" s="6" t="s">
        <v>81</v>
      </c>
      <c r="J734" s="6" t="s">
        <v>60</v>
      </c>
      <c r="K734" s="6" t="n">
        <v>82664</v>
      </c>
      <c r="L734" s="6" t="n">
        <v>82058</v>
      </c>
      <c r="M734" s="6" t="s">
        <v>146</v>
      </c>
      <c r="N734" s="6" t="n">
        <v>47</v>
      </c>
      <c r="O734" s="6" t="s">
        <v>58</v>
      </c>
      <c r="P734" s="6" t="n">
        <v>8</v>
      </c>
      <c r="Q734" s="6" t="n">
        <v>6.58</v>
      </c>
      <c r="R734" s="20" t="n">
        <f aca="false">(L734-K734)/K734</f>
        <v>-0.00733088164134327</v>
      </c>
    </row>
    <row r="735" customFormat="false" ht="15" hidden="false" customHeight="false" outlineLevel="0" collapsed="false">
      <c r="A735" s="6" t="s">
        <v>897</v>
      </c>
      <c r="B735" s="6" t="n">
        <v>40</v>
      </c>
      <c r="C735" s="6" t="s">
        <v>134</v>
      </c>
      <c r="D735" s="6" t="s">
        <v>135</v>
      </c>
      <c r="E735" s="6" t="s">
        <v>89</v>
      </c>
      <c r="F735" s="6" t="s">
        <v>162</v>
      </c>
      <c r="G735" s="6" t="n">
        <v>15</v>
      </c>
      <c r="H735" s="6" t="s">
        <v>81</v>
      </c>
      <c r="I735" s="6" t="s">
        <v>81</v>
      </c>
      <c r="J735" s="6" t="s">
        <v>58</v>
      </c>
      <c r="K735" s="6" t="n">
        <v>70745</v>
      </c>
      <c r="L735" s="6" t="n">
        <v>74782</v>
      </c>
      <c r="M735" s="6" t="s">
        <v>146</v>
      </c>
      <c r="N735" s="6" t="n">
        <v>45</v>
      </c>
      <c r="O735" s="6" t="s">
        <v>60</v>
      </c>
      <c r="P735" s="6" t="n">
        <v>7</v>
      </c>
      <c r="Q735" s="6" t="n">
        <v>-3.06</v>
      </c>
      <c r="R735" s="20" t="n">
        <f aca="false">(L735-K735)/K735</f>
        <v>0.0570641034702099</v>
      </c>
    </row>
    <row r="736" customFormat="false" ht="15" hidden="false" customHeight="false" outlineLevel="0" collapsed="false">
      <c r="A736" s="6" t="s">
        <v>898</v>
      </c>
      <c r="B736" s="6" t="n">
        <v>49</v>
      </c>
      <c r="C736" s="6" t="s">
        <v>134</v>
      </c>
      <c r="D736" s="6" t="s">
        <v>148</v>
      </c>
      <c r="E736" s="6" t="s">
        <v>90</v>
      </c>
      <c r="F736" s="6" t="s">
        <v>236</v>
      </c>
      <c r="G736" s="6" t="n">
        <v>27</v>
      </c>
      <c r="H736" s="6" t="s">
        <v>80</v>
      </c>
      <c r="I736" s="6" t="s">
        <v>81</v>
      </c>
      <c r="J736" s="6" t="s">
        <v>60</v>
      </c>
      <c r="K736" s="6" t="n">
        <v>43331</v>
      </c>
      <c r="L736" s="6" t="n">
        <v>45401</v>
      </c>
      <c r="M736" s="6" t="s">
        <v>146</v>
      </c>
      <c r="N736" s="6" t="n">
        <v>53</v>
      </c>
      <c r="O736" s="6" t="s">
        <v>60</v>
      </c>
      <c r="P736" s="6" t="n">
        <v>6</v>
      </c>
      <c r="Q736" s="6" t="n">
        <v>29.95</v>
      </c>
      <c r="R736" s="20" t="n">
        <f aca="false">(L736-K736)/K736</f>
        <v>0.0477718030970898</v>
      </c>
    </row>
    <row r="737" customFormat="false" ht="15" hidden="false" customHeight="false" outlineLevel="0" collapsed="false">
      <c r="A737" s="6" t="s">
        <v>899</v>
      </c>
      <c r="B737" s="6" t="n">
        <v>36</v>
      </c>
      <c r="C737" s="6" t="s">
        <v>134</v>
      </c>
      <c r="D737" s="6" t="s">
        <v>140</v>
      </c>
      <c r="E737" s="6" t="s">
        <v>91</v>
      </c>
      <c r="F737" s="6" t="s">
        <v>141</v>
      </c>
      <c r="G737" s="6" t="n">
        <v>12</v>
      </c>
      <c r="H737" s="6" t="s">
        <v>82</v>
      </c>
      <c r="I737" s="6" t="s">
        <v>81</v>
      </c>
      <c r="J737" s="6" t="s">
        <v>58</v>
      </c>
      <c r="K737" s="6" t="n">
        <v>106441</v>
      </c>
      <c r="L737" s="6" t="n">
        <v>104035</v>
      </c>
      <c r="M737" s="6" t="s">
        <v>146</v>
      </c>
      <c r="N737" s="6" t="n">
        <v>36</v>
      </c>
      <c r="O737" s="6" t="s">
        <v>60</v>
      </c>
      <c r="P737" s="6" t="n">
        <v>5</v>
      </c>
      <c r="Q737" s="6" t="n">
        <v>35.95</v>
      </c>
      <c r="R737" s="20" t="n">
        <f aca="false">(L737-K737)/K737</f>
        <v>-0.0226040717392734</v>
      </c>
    </row>
    <row r="738" customFormat="false" ht="15" hidden="false" customHeight="false" outlineLevel="0" collapsed="false">
      <c r="A738" s="6" t="s">
        <v>900</v>
      </c>
      <c r="B738" s="6" t="n">
        <v>40</v>
      </c>
      <c r="C738" s="6" t="s">
        <v>139</v>
      </c>
      <c r="D738" s="6" t="s">
        <v>144</v>
      </c>
      <c r="E738" s="6" t="s">
        <v>91</v>
      </c>
      <c r="F738" s="6" t="s">
        <v>206</v>
      </c>
      <c r="G738" s="6" t="n">
        <v>15</v>
      </c>
      <c r="H738" s="6" t="s">
        <v>80</v>
      </c>
      <c r="I738" s="6" t="s">
        <v>82</v>
      </c>
      <c r="J738" s="6" t="s">
        <v>58</v>
      </c>
      <c r="K738" s="6" t="n">
        <v>34837</v>
      </c>
      <c r="L738" s="6" t="n">
        <v>36507</v>
      </c>
      <c r="M738" s="6" t="s">
        <v>142</v>
      </c>
      <c r="N738" s="6" t="n">
        <v>37</v>
      </c>
      <c r="O738" s="6" t="s">
        <v>58</v>
      </c>
      <c r="P738" s="6" t="n">
        <v>5</v>
      </c>
      <c r="Q738" s="6" t="n">
        <v>-10.76</v>
      </c>
      <c r="R738" s="20" t="n">
        <f aca="false">(L738-K738)/K738</f>
        <v>0.04793753767546</v>
      </c>
    </row>
    <row r="739" customFormat="false" ht="15" hidden="false" customHeight="false" outlineLevel="0" collapsed="false">
      <c r="A739" s="6" t="s">
        <v>901</v>
      </c>
      <c r="B739" s="6" t="n">
        <v>28</v>
      </c>
      <c r="C739" s="6" t="s">
        <v>139</v>
      </c>
      <c r="D739" s="6" t="s">
        <v>144</v>
      </c>
      <c r="E739" s="6" t="s">
        <v>87</v>
      </c>
      <c r="F739" s="6" t="s">
        <v>155</v>
      </c>
      <c r="G739" s="6" t="n">
        <v>4</v>
      </c>
      <c r="H739" s="6" t="s">
        <v>80</v>
      </c>
      <c r="I739" s="6" t="s">
        <v>81</v>
      </c>
      <c r="J739" s="6" t="s">
        <v>60</v>
      </c>
      <c r="K739" s="6" t="n">
        <v>118422</v>
      </c>
      <c r="L739" s="6" t="n">
        <v>120781</v>
      </c>
      <c r="M739" s="6" t="s">
        <v>146</v>
      </c>
      <c r="N739" s="6" t="n">
        <v>40</v>
      </c>
      <c r="O739" s="6" t="s">
        <v>60</v>
      </c>
      <c r="P739" s="6" t="n">
        <v>8</v>
      </c>
      <c r="Q739" s="6" t="n">
        <v>-8.6</v>
      </c>
      <c r="R739" s="20" t="n">
        <f aca="false">(L739-K739)/K739</f>
        <v>0.0199202850821638</v>
      </c>
    </row>
    <row r="740" customFormat="false" ht="15" hidden="false" customHeight="false" outlineLevel="0" collapsed="false">
      <c r="A740" s="6" t="s">
        <v>902</v>
      </c>
      <c r="B740" s="6" t="n">
        <v>33</v>
      </c>
      <c r="C740" s="6" t="s">
        <v>139</v>
      </c>
      <c r="D740" s="6" t="s">
        <v>148</v>
      </c>
      <c r="E740" s="6" t="s">
        <v>93</v>
      </c>
      <c r="F740" s="6" t="s">
        <v>164</v>
      </c>
      <c r="G740" s="6" t="n">
        <v>9</v>
      </c>
      <c r="H740" s="6" t="s">
        <v>81</v>
      </c>
      <c r="I740" s="6" t="s">
        <v>81</v>
      </c>
      <c r="J740" s="6" t="s">
        <v>60</v>
      </c>
      <c r="K740" s="6" t="n">
        <v>107362</v>
      </c>
      <c r="L740" s="6" t="n">
        <v>125978</v>
      </c>
      <c r="M740" s="6" t="s">
        <v>146</v>
      </c>
      <c r="N740" s="6" t="n">
        <v>50</v>
      </c>
      <c r="O740" s="6" t="s">
        <v>60</v>
      </c>
      <c r="P740" s="6" t="n">
        <v>3</v>
      </c>
      <c r="Q740" s="6" t="n">
        <v>-18.74</v>
      </c>
      <c r="R740" s="20" t="n">
        <f aca="false">(L740-K740)/K740</f>
        <v>0.173394683407537</v>
      </c>
    </row>
    <row r="741" customFormat="false" ht="15" hidden="false" customHeight="false" outlineLevel="0" collapsed="false">
      <c r="A741" s="6" t="s">
        <v>903</v>
      </c>
      <c r="B741" s="6" t="n">
        <v>34</v>
      </c>
      <c r="C741" s="6" t="s">
        <v>134</v>
      </c>
      <c r="D741" s="6" t="s">
        <v>135</v>
      </c>
      <c r="E741" s="6" t="s">
        <v>88</v>
      </c>
      <c r="F741" s="6" t="s">
        <v>234</v>
      </c>
      <c r="G741" s="6" t="n">
        <v>12</v>
      </c>
      <c r="H741" s="6" t="s">
        <v>81</v>
      </c>
      <c r="I741" s="6" t="s">
        <v>81</v>
      </c>
      <c r="J741" s="6" t="s">
        <v>58</v>
      </c>
      <c r="K741" s="6" t="n">
        <v>87724</v>
      </c>
      <c r="L741" s="6" t="n">
        <v>97429</v>
      </c>
      <c r="M741" s="6" t="s">
        <v>146</v>
      </c>
      <c r="N741" s="6" t="n">
        <v>38</v>
      </c>
      <c r="O741" s="6" t="s">
        <v>58</v>
      </c>
      <c r="P741" s="6" t="n">
        <v>5</v>
      </c>
      <c r="Q741" s="6" t="n">
        <v>-0.12</v>
      </c>
      <c r="R741" s="20" t="n">
        <f aca="false">(L741-K741)/K741</f>
        <v>0.110631070174639</v>
      </c>
    </row>
    <row r="742" customFormat="false" ht="15" hidden="false" customHeight="false" outlineLevel="0" collapsed="false">
      <c r="A742" s="6" t="s">
        <v>904</v>
      </c>
      <c r="B742" s="6" t="n">
        <v>53</v>
      </c>
      <c r="C742" s="6" t="s">
        <v>134</v>
      </c>
      <c r="D742" s="6" t="s">
        <v>144</v>
      </c>
      <c r="E742" s="6" t="s">
        <v>90</v>
      </c>
      <c r="F742" s="6" t="s">
        <v>236</v>
      </c>
      <c r="G742" s="6" t="n">
        <v>31</v>
      </c>
      <c r="H742" s="6" t="s">
        <v>82</v>
      </c>
      <c r="I742" s="6" t="s">
        <v>82</v>
      </c>
      <c r="J742" s="6" t="s">
        <v>60</v>
      </c>
      <c r="K742" s="6" t="n">
        <v>109878</v>
      </c>
      <c r="L742" s="6" t="n">
        <v>117845</v>
      </c>
      <c r="M742" s="6" t="s">
        <v>146</v>
      </c>
      <c r="N742" s="6" t="n">
        <v>43</v>
      </c>
      <c r="O742" s="6" t="s">
        <v>58</v>
      </c>
      <c r="P742" s="6" t="n">
        <v>9</v>
      </c>
      <c r="Q742" s="6" t="n">
        <v>4.74</v>
      </c>
      <c r="R742" s="20" t="n">
        <f aca="false">(L742-K742)/K742</f>
        <v>0.0725076903474763</v>
      </c>
    </row>
    <row r="743" customFormat="false" ht="15" hidden="false" customHeight="false" outlineLevel="0" collapsed="false">
      <c r="A743" s="6" t="s">
        <v>905</v>
      </c>
      <c r="B743" s="6" t="n">
        <v>44</v>
      </c>
      <c r="C743" s="6" t="s">
        <v>134</v>
      </c>
      <c r="D743" s="6" t="s">
        <v>135</v>
      </c>
      <c r="E743" s="6" t="s">
        <v>90</v>
      </c>
      <c r="F743" s="6" t="s">
        <v>145</v>
      </c>
      <c r="G743" s="6" t="n">
        <v>21</v>
      </c>
      <c r="H743" s="6" t="s">
        <v>80</v>
      </c>
      <c r="I743" s="6" t="s">
        <v>81</v>
      </c>
      <c r="J743" s="6" t="s">
        <v>58</v>
      </c>
      <c r="K743" s="6" t="n">
        <v>70475</v>
      </c>
      <c r="L743" s="6" t="n">
        <v>73079</v>
      </c>
      <c r="M743" s="6" t="s">
        <v>146</v>
      </c>
      <c r="N743" s="6" t="n">
        <v>53</v>
      </c>
      <c r="O743" s="6" t="s">
        <v>60</v>
      </c>
      <c r="P743" s="6" t="n">
        <v>3</v>
      </c>
      <c r="Q743" s="6" t="n">
        <v>0.74</v>
      </c>
      <c r="R743" s="20" t="n">
        <f aca="false">(L743-K743)/K743</f>
        <v>0.0369492727917701</v>
      </c>
    </row>
    <row r="744" customFormat="false" ht="15" hidden="false" customHeight="false" outlineLevel="0" collapsed="false">
      <c r="A744" s="6" t="s">
        <v>906</v>
      </c>
      <c r="B744" s="6" t="n">
        <v>57</v>
      </c>
      <c r="C744" s="6" t="s">
        <v>139</v>
      </c>
      <c r="D744" s="6" t="s">
        <v>144</v>
      </c>
      <c r="E744" s="6" t="s">
        <v>91</v>
      </c>
      <c r="F744" s="6" t="s">
        <v>206</v>
      </c>
      <c r="G744" s="6" t="n">
        <v>33</v>
      </c>
      <c r="H744" s="6" t="s">
        <v>82</v>
      </c>
      <c r="I744" s="6" t="s">
        <v>80</v>
      </c>
      <c r="J744" s="6" t="s">
        <v>60</v>
      </c>
      <c r="K744" s="6" t="n">
        <v>50827</v>
      </c>
      <c r="L744" s="6" t="n">
        <v>71089</v>
      </c>
      <c r="M744" s="6" t="s">
        <v>142</v>
      </c>
      <c r="N744" s="6" t="n">
        <v>54</v>
      </c>
      <c r="O744" s="6" t="s">
        <v>58</v>
      </c>
      <c r="P744" s="6" t="n">
        <v>7</v>
      </c>
      <c r="Q744" s="6" t="n">
        <v>7.1</v>
      </c>
      <c r="R744" s="20" t="n">
        <f aca="false">(L744-K744)/K744</f>
        <v>0.398646388730399</v>
      </c>
    </row>
    <row r="745" customFormat="false" ht="15" hidden="false" customHeight="false" outlineLevel="0" collapsed="false">
      <c r="A745" s="6" t="s">
        <v>907</v>
      </c>
      <c r="B745" s="6" t="n">
        <v>36</v>
      </c>
      <c r="C745" s="6" t="s">
        <v>139</v>
      </c>
      <c r="D745" s="6" t="s">
        <v>135</v>
      </c>
      <c r="E745" s="6" t="s">
        <v>88</v>
      </c>
      <c r="F745" s="6" t="s">
        <v>157</v>
      </c>
      <c r="G745" s="6" t="n">
        <v>14</v>
      </c>
      <c r="H745" s="6" t="s">
        <v>82</v>
      </c>
      <c r="I745" s="6" t="s">
        <v>81</v>
      </c>
      <c r="J745" s="6" t="s">
        <v>58</v>
      </c>
      <c r="K745" s="6" t="n">
        <v>30946</v>
      </c>
      <c r="L745" s="6" t="n">
        <v>24760</v>
      </c>
      <c r="M745" s="6" t="s">
        <v>146</v>
      </c>
      <c r="N745" s="6" t="n">
        <v>54</v>
      </c>
      <c r="O745" s="6" t="s">
        <v>60</v>
      </c>
      <c r="P745" s="6" t="n">
        <v>4</v>
      </c>
      <c r="Q745" s="6" t="n">
        <v>16.84</v>
      </c>
      <c r="R745" s="20" t="n">
        <f aca="false">(L745-K745)/K745</f>
        <v>-0.199896594067085</v>
      </c>
    </row>
    <row r="746" customFormat="false" ht="15" hidden="false" customHeight="false" outlineLevel="0" collapsed="false">
      <c r="A746" s="6" t="s">
        <v>908</v>
      </c>
      <c r="B746" s="6" t="n">
        <v>59</v>
      </c>
      <c r="C746" s="6" t="s">
        <v>139</v>
      </c>
      <c r="D746" s="6" t="s">
        <v>140</v>
      </c>
      <c r="E746" s="6" t="s">
        <v>91</v>
      </c>
      <c r="F746" s="6" t="s">
        <v>206</v>
      </c>
      <c r="G746" s="6" t="n">
        <v>37</v>
      </c>
      <c r="H746" s="6" t="s">
        <v>82</v>
      </c>
      <c r="I746" s="6" t="s">
        <v>80</v>
      </c>
      <c r="J746" s="6" t="s">
        <v>60</v>
      </c>
      <c r="K746" s="6" t="n">
        <v>86809</v>
      </c>
      <c r="L746" s="6" t="n">
        <v>107495</v>
      </c>
      <c r="M746" s="6" t="s">
        <v>142</v>
      </c>
      <c r="N746" s="6" t="n">
        <v>51</v>
      </c>
      <c r="O746" s="6" t="s">
        <v>60</v>
      </c>
      <c r="P746" s="6" t="n">
        <v>3</v>
      </c>
      <c r="Q746" s="6" t="n">
        <v>-11.88</v>
      </c>
      <c r="R746" s="20" t="n">
        <f aca="false">(L746-K746)/K746</f>
        <v>0.238293264523264</v>
      </c>
    </row>
    <row r="747" customFormat="false" ht="15" hidden="false" customHeight="false" outlineLevel="0" collapsed="false">
      <c r="A747" s="6" t="s">
        <v>909</v>
      </c>
      <c r="B747" s="6" t="n">
        <v>31</v>
      </c>
      <c r="C747" s="6" t="s">
        <v>139</v>
      </c>
      <c r="D747" s="6" t="s">
        <v>148</v>
      </c>
      <c r="E747" s="6" t="s">
        <v>88</v>
      </c>
      <c r="F747" s="6" t="s">
        <v>179</v>
      </c>
      <c r="G747" s="6" t="n">
        <v>8</v>
      </c>
      <c r="H747" s="6" t="s">
        <v>82</v>
      </c>
      <c r="I747" s="6" t="s">
        <v>80</v>
      </c>
      <c r="J747" s="6" t="s">
        <v>58</v>
      </c>
      <c r="K747" s="6" t="n">
        <v>113384</v>
      </c>
      <c r="L747" s="6" t="n">
        <v>131648</v>
      </c>
      <c r="M747" s="6" t="s">
        <v>142</v>
      </c>
      <c r="N747" s="6" t="n">
        <v>40</v>
      </c>
      <c r="O747" s="6" t="s">
        <v>60</v>
      </c>
      <c r="P747" s="6" t="n">
        <v>5</v>
      </c>
      <c r="Q747" s="6" t="n">
        <v>14.9</v>
      </c>
      <c r="R747" s="20" t="n">
        <f aca="false">(L747-K747)/K747</f>
        <v>0.161080928526071</v>
      </c>
    </row>
    <row r="748" customFormat="false" ht="15" hidden="false" customHeight="false" outlineLevel="0" collapsed="false">
      <c r="A748" s="6" t="s">
        <v>910</v>
      </c>
      <c r="B748" s="6" t="n">
        <v>54</v>
      </c>
      <c r="C748" s="6" t="s">
        <v>139</v>
      </c>
      <c r="D748" s="6" t="s">
        <v>148</v>
      </c>
      <c r="E748" s="6" t="s">
        <v>90</v>
      </c>
      <c r="F748" s="6" t="s">
        <v>236</v>
      </c>
      <c r="G748" s="6" t="n">
        <v>32</v>
      </c>
      <c r="H748" s="6" t="s">
        <v>80</v>
      </c>
      <c r="I748" s="6" t="s">
        <v>81</v>
      </c>
      <c r="J748" s="6" t="s">
        <v>58</v>
      </c>
      <c r="K748" s="6" t="n">
        <v>35867</v>
      </c>
      <c r="L748" s="6" t="n">
        <v>36181</v>
      </c>
      <c r="M748" s="6" t="s">
        <v>146</v>
      </c>
      <c r="N748" s="6" t="n">
        <v>51</v>
      </c>
      <c r="O748" s="6" t="s">
        <v>60</v>
      </c>
      <c r="P748" s="6" t="n">
        <v>6</v>
      </c>
      <c r="Q748" s="6" t="n">
        <v>-10.24</v>
      </c>
      <c r="R748" s="20" t="n">
        <f aca="false">(L748-K748)/K748</f>
        <v>0.008754565478016</v>
      </c>
    </row>
    <row r="749" customFormat="false" ht="15" hidden="false" customHeight="false" outlineLevel="0" collapsed="false">
      <c r="A749" s="6" t="s">
        <v>911</v>
      </c>
      <c r="B749" s="6" t="n">
        <v>47</v>
      </c>
      <c r="C749" s="6" t="s">
        <v>139</v>
      </c>
      <c r="D749" s="6" t="s">
        <v>144</v>
      </c>
      <c r="E749" s="6" t="s">
        <v>92</v>
      </c>
      <c r="F749" s="6" t="s">
        <v>222</v>
      </c>
      <c r="G749" s="6" t="n">
        <v>22</v>
      </c>
      <c r="H749" s="6" t="s">
        <v>80</v>
      </c>
      <c r="I749" s="6" t="s">
        <v>81</v>
      </c>
      <c r="J749" s="6" t="s">
        <v>60</v>
      </c>
      <c r="K749" s="6" t="n">
        <v>40310</v>
      </c>
      <c r="L749" s="6" t="n">
        <v>41893</v>
      </c>
      <c r="M749" s="6" t="s">
        <v>146</v>
      </c>
      <c r="N749" s="6" t="n">
        <v>37</v>
      </c>
      <c r="O749" s="6" t="s">
        <v>58</v>
      </c>
      <c r="P749" s="6" t="n">
        <v>7</v>
      </c>
      <c r="Q749" s="6" t="n">
        <v>32.31</v>
      </c>
      <c r="R749" s="20" t="n">
        <f aca="false">(L749-K749)/K749</f>
        <v>0.0392706524435624</v>
      </c>
    </row>
    <row r="750" customFormat="false" ht="15" hidden="false" customHeight="false" outlineLevel="0" collapsed="false">
      <c r="A750" s="6" t="s">
        <v>912</v>
      </c>
      <c r="B750" s="6" t="n">
        <v>45</v>
      </c>
      <c r="C750" s="6" t="s">
        <v>159</v>
      </c>
      <c r="D750" s="6" t="s">
        <v>148</v>
      </c>
      <c r="E750" s="6" t="s">
        <v>89</v>
      </c>
      <c r="F750" s="6" t="s">
        <v>162</v>
      </c>
      <c r="G750" s="6" t="n">
        <v>21</v>
      </c>
      <c r="H750" s="6" t="s">
        <v>82</v>
      </c>
      <c r="I750" s="6" t="s">
        <v>80</v>
      </c>
      <c r="J750" s="6" t="s">
        <v>58</v>
      </c>
      <c r="K750" s="6" t="n">
        <v>38947</v>
      </c>
      <c r="L750" s="6" t="n">
        <v>33010</v>
      </c>
      <c r="M750" s="6" t="s">
        <v>142</v>
      </c>
      <c r="N750" s="6" t="n">
        <v>48</v>
      </c>
      <c r="O750" s="6" t="s">
        <v>58</v>
      </c>
      <c r="P750" s="6" t="n">
        <v>3</v>
      </c>
      <c r="Q750" s="6" t="n">
        <v>13.95</v>
      </c>
      <c r="R750" s="20" t="n">
        <f aca="false">(L750-K750)/K750</f>
        <v>-0.152437928466891</v>
      </c>
    </row>
    <row r="751" customFormat="false" ht="15" hidden="false" customHeight="false" outlineLevel="0" collapsed="false">
      <c r="A751" s="6" t="s">
        <v>913</v>
      </c>
      <c r="B751" s="6" t="n">
        <v>39</v>
      </c>
      <c r="C751" s="6" t="s">
        <v>139</v>
      </c>
      <c r="D751" s="6" t="s">
        <v>144</v>
      </c>
      <c r="E751" s="6" t="s">
        <v>89</v>
      </c>
      <c r="F751" s="6" t="s">
        <v>153</v>
      </c>
      <c r="G751" s="6" t="n">
        <v>14</v>
      </c>
      <c r="H751" s="6" t="s">
        <v>81</v>
      </c>
      <c r="I751" s="6" t="s">
        <v>80</v>
      </c>
      <c r="J751" s="6" t="s">
        <v>58</v>
      </c>
      <c r="K751" s="6" t="n">
        <v>30507</v>
      </c>
      <c r="L751" s="6" t="n">
        <v>35498</v>
      </c>
      <c r="M751" s="6" t="s">
        <v>142</v>
      </c>
      <c r="N751" s="6" t="n">
        <v>38</v>
      </c>
      <c r="O751" s="6" t="s">
        <v>58</v>
      </c>
      <c r="P751" s="6" t="n">
        <v>7</v>
      </c>
      <c r="Q751" s="6" t="n">
        <v>13.5</v>
      </c>
      <c r="R751" s="20" t="n">
        <f aca="false">(L751-K751)/K751</f>
        <v>0.163601796309044</v>
      </c>
    </row>
    <row r="752" customFormat="false" ht="15" hidden="false" customHeight="false" outlineLevel="0" collapsed="false">
      <c r="A752" s="6" t="s">
        <v>914</v>
      </c>
      <c r="B752" s="6" t="n">
        <v>38</v>
      </c>
      <c r="C752" s="6" t="s">
        <v>139</v>
      </c>
      <c r="D752" s="6" t="s">
        <v>148</v>
      </c>
      <c r="E752" s="6" t="s">
        <v>90</v>
      </c>
      <c r="F752" s="6" t="s">
        <v>202</v>
      </c>
      <c r="G752" s="6" t="n">
        <v>15</v>
      </c>
      <c r="H752" s="6" t="s">
        <v>82</v>
      </c>
      <c r="I752" s="6" t="s">
        <v>82</v>
      </c>
      <c r="J752" s="6" t="s">
        <v>60</v>
      </c>
      <c r="K752" s="6" t="n">
        <v>54495</v>
      </c>
      <c r="L752" s="6" t="n">
        <v>62776</v>
      </c>
      <c r="M752" s="6" t="s">
        <v>137</v>
      </c>
      <c r="N752" s="6" t="n">
        <v>45</v>
      </c>
      <c r="O752" s="6" t="s">
        <v>58</v>
      </c>
      <c r="P752" s="6" t="n">
        <v>4</v>
      </c>
      <c r="Q752" s="6" t="n">
        <v>29.71</v>
      </c>
      <c r="R752" s="20" t="n">
        <f aca="false">(L752-K752)/K752</f>
        <v>0.151958895311496</v>
      </c>
    </row>
    <row r="753" customFormat="false" ht="15" hidden="false" customHeight="false" outlineLevel="0" collapsed="false">
      <c r="A753" s="6" t="s">
        <v>915</v>
      </c>
      <c r="B753" s="6" t="n">
        <v>33</v>
      </c>
      <c r="C753" s="6" t="s">
        <v>139</v>
      </c>
      <c r="D753" s="6" t="s">
        <v>135</v>
      </c>
      <c r="E753" s="6" t="s">
        <v>91</v>
      </c>
      <c r="F753" s="6" t="s">
        <v>206</v>
      </c>
      <c r="G753" s="6" t="n">
        <v>8</v>
      </c>
      <c r="H753" s="6" t="s">
        <v>80</v>
      </c>
      <c r="I753" s="6" t="s">
        <v>80</v>
      </c>
      <c r="J753" s="6" t="s">
        <v>58</v>
      </c>
      <c r="K753" s="6" t="n">
        <v>30692</v>
      </c>
      <c r="L753" s="6" t="n">
        <v>30056</v>
      </c>
      <c r="M753" s="6" t="s">
        <v>142</v>
      </c>
      <c r="N753" s="6" t="n">
        <v>47</v>
      </c>
      <c r="O753" s="6" t="s">
        <v>60</v>
      </c>
      <c r="P753" s="6" t="n">
        <v>8</v>
      </c>
      <c r="Q753" s="6" t="n">
        <v>20.71</v>
      </c>
      <c r="R753" s="20" t="n">
        <f aca="false">(L753-K753)/K753</f>
        <v>-0.0207220122507494</v>
      </c>
    </row>
    <row r="754" customFormat="false" ht="15" hidden="false" customHeight="false" outlineLevel="0" collapsed="false">
      <c r="A754" s="6" t="s">
        <v>916</v>
      </c>
      <c r="B754" s="6" t="n">
        <v>27</v>
      </c>
      <c r="C754" s="6" t="s">
        <v>139</v>
      </c>
      <c r="D754" s="6" t="s">
        <v>148</v>
      </c>
      <c r="E754" s="6" t="s">
        <v>88</v>
      </c>
      <c r="F754" s="6" t="s">
        <v>179</v>
      </c>
      <c r="G754" s="6" t="n">
        <v>2</v>
      </c>
      <c r="H754" s="6" t="s">
        <v>80</v>
      </c>
      <c r="I754" s="6" t="s">
        <v>81</v>
      </c>
      <c r="J754" s="6" t="s">
        <v>58</v>
      </c>
      <c r="K754" s="6" t="n">
        <v>39927</v>
      </c>
      <c r="L754" s="6" t="n">
        <v>42731</v>
      </c>
      <c r="M754" s="6" t="s">
        <v>146</v>
      </c>
      <c r="N754" s="6" t="n">
        <v>52</v>
      </c>
      <c r="O754" s="6" t="s">
        <v>60</v>
      </c>
      <c r="P754" s="6" t="n">
        <v>9</v>
      </c>
      <c r="Q754" s="6" t="n">
        <v>8.17</v>
      </c>
      <c r="R754" s="20" t="n">
        <f aca="false">(L754-K754)/K754</f>
        <v>0.0702281664036867</v>
      </c>
    </row>
    <row r="755" customFormat="false" ht="15" hidden="false" customHeight="false" outlineLevel="0" collapsed="false">
      <c r="A755" s="6" t="s">
        <v>917</v>
      </c>
      <c r="B755" s="6" t="n">
        <v>58</v>
      </c>
      <c r="C755" s="6" t="s">
        <v>134</v>
      </c>
      <c r="D755" s="6" t="s">
        <v>135</v>
      </c>
      <c r="E755" s="6" t="s">
        <v>90</v>
      </c>
      <c r="F755" s="6" t="s">
        <v>202</v>
      </c>
      <c r="G755" s="6" t="n">
        <v>36</v>
      </c>
      <c r="H755" s="6" t="s">
        <v>81</v>
      </c>
      <c r="I755" s="6" t="s">
        <v>82</v>
      </c>
      <c r="J755" s="6" t="s">
        <v>58</v>
      </c>
      <c r="K755" s="6" t="n">
        <v>95449</v>
      </c>
      <c r="L755" s="6" t="n">
        <v>99685</v>
      </c>
      <c r="M755" s="6" t="s">
        <v>142</v>
      </c>
      <c r="N755" s="6" t="n">
        <v>41</v>
      </c>
      <c r="O755" s="6" t="s">
        <v>60</v>
      </c>
      <c r="P755" s="6" t="n">
        <v>3</v>
      </c>
      <c r="Q755" s="6" t="n">
        <v>28.58</v>
      </c>
      <c r="R755" s="20" t="n">
        <f aca="false">(L755-K755)/K755</f>
        <v>0.0443797211076072</v>
      </c>
    </row>
    <row r="756" customFormat="false" ht="15" hidden="false" customHeight="false" outlineLevel="0" collapsed="false">
      <c r="A756" s="6" t="s">
        <v>918</v>
      </c>
      <c r="B756" s="6" t="n">
        <v>42</v>
      </c>
      <c r="C756" s="6" t="s">
        <v>139</v>
      </c>
      <c r="D756" s="6" t="s">
        <v>140</v>
      </c>
      <c r="E756" s="6" t="s">
        <v>90</v>
      </c>
      <c r="F756" s="6" t="s">
        <v>236</v>
      </c>
      <c r="G756" s="6" t="n">
        <v>17</v>
      </c>
      <c r="H756" s="6" t="s">
        <v>80</v>
      </c>
      <c r="I756" s="6" t="s">
        <v>80</v>
      </c>
      <c r="J756" s="6" t="s">
        <v>60</v>
      </c>
      <c r="K756" s="6" t="n">
        <v>56140</v>
      </c>
      <c r="L756" s="6" t="n">
        <v>55693</v>
      </c>
      <c r="M756" s="6" t="s">
        <v>142</v>
      </c>
      <c r="N756" s="6" t="n">
        <v>49</v>
      </c>
      <c r="O756" s="6" t="s">
        <v>58</v>
      </c>
      <c r="P756" s="6" t="n">
        <v>4</v>
      </c>
      <c r="Q756" s="6" t="n">
        <v>-12.07</v>
      </c>
      <c r="R756" s="20" t="n">
        <f aca="false">(L756-K756)/K756</f>
        <v>-0.0079622372639829</v>
      </c>
    </row>
    <row r="757" customFormat="false" ht="15" hidden="false" customHeight="false" outlineLevel="0" collapsed="false">
      <c r="A757" s="6" t="s">
        <v>919</v>
      </c>
      <c r="B757" s="6" t="n">
        <v>39</v>
      </c>
      <c r="C757" s="6" t="s">
        <v>134</v>
      </c>
      <c r="D757" s="6" t="s">
        <v>144</v>
      </c>
      <c r="E757" s="6" t="s">
        <v>87</v>
      </c>
      <c r="F757" s="6" t="s">
        <v>160</v>
      </c>
      <c r="G757" s="6" t="n">
        <v>15</v>
      </c>
      <c r="H757" s="6" t="s">
        <v>82</v>
      </c>
      <c r="I757" s="6" t="s">
        <v>82</v>
      </c>
      <c r="J757" s="6" t="s">
        <v>60</v>
      </c>
      <c r="K757" s="6" t="n">
        <v>88502</v>
      </c>
      <c r="L757" s="6" t="n">
        <v>118720</v>
      </c>
      <c r="M757" s="6" t="s">
        <v>146</v>
      </c>
      <c r="N757" s="6" t="n">
        <v>39</v>
      </c>
      <c r="O757" s="6" t="s">
        <v>58</v>
      </c>
      <c r="P757" s="6" t="n">
        <v>4</v>
      </c>
      <c r="Q757" s="6" t="n">
        <v>2.99</v>
      </c>
      <c r="R757" s="20" t="n">
        <f aca="false">(L757-K757)/K757</f>
        <v>0.341438611556801</v>
      </c>
    </row>
    <row r="758" customFormat="false" ht="15" hidden="false" customHeight="false" outlineLevel="0" collapsed="false">
      <c r="A758" s="6" t="s">
        <v>920</v>
      </c>
      <c r="B758" s="6" t="n">
        <v>54</v>
      </c>
      <c r="C758" s="6" t="s">
        <v>159</v>
      </c>
      <c r="D758" s="6" t="s">
        <v>144</v>
      </c>
      <c r="E758" s="6" t="s">
        <v>91</v>
      </c>
      <c r="F758" s="6" t="s">
        <v>206</v>
      </c>
      <c r="G758" s="6" t="n">
        <v>29</v>
      </c>
      <c r="H758" s="6" t="s">
        <v>80</v>
      </c>
      <c r="I758" s="6" t="s">
        <v>80</v>
      </c>
      <c r="J758" s="6" t="s">
        <v>60</v>
      </c>
      <c r="K758" s="6" t="n">
        <v>111502</v>
      </c>
      <c r="L758" s="6" t="n">
        <v>119649</v>
      </c>
      <c r="M758" s="6" t="s">
        <v>142</v>
      </c>
      <c r="N758" s="6" t="n">
        <v>52</v>
      </c>
      <c r="O758" s="6" t="s">
        <v>58</v>
      </c>
      <c r="P758" s="6" t="n">
        <v>6</v>
      </c>
      <c r="Q758" s="6" t="n">
        <v>29.58</v>
      </c>
      <c r="R758" s="20" t="n">
        <f aca="false">(L758-K758)/K758</f>
        <v>0.0730659539739198</v>
      </c>
    </row>
    <row r="759" customFormat="false" ht="15" hidden="false" customHeight="false" outlineLevel="0" collapsed="false">
      <c r="A759" s="6" t="s">
        <v>921</v>
      </c>
      <c r="B759" s="6" t="n">
        <v>55</v>
      </c>
      <c r="C759" s="6" t="s">
        <v>134</v>
      </c>
      <c r="D759" s="6" t="s">
        <v>135</v>
      </c>
      <c r="E759" s="6" t="s">
        <v>93</v>
      </c>
      <c r="F759" s="6" t="s">
        <v>181</v>
      </c>
      <c r="G759" s="6" t="n">
        <v>29</v>
      </c>
      <c r="H759" s="6" t="s">
        <v>81</v>
      </c>
      <c r="I759" s="6" t="s">
        <v>80</v>
      </c>
      <c r="J759" s="6" t="s">
        <v>58</v>
      </c>
      <c r="K759" s="6" t="n">
        <v>47857</v>
      </c>
      <c r="L759" s="6" t="n">
        <v>54929</v>
      </c>
      <c r="M759" s="6" t="s">
        <v>142</v>
      </c>
      <c r="N759" s="6" t="n">
        <v>50</v>
      </c>
      <c r="O759" s="6" t="s">
        <v>58</v>
      </c>
      <c r="P759" s="6" t="n">
        <v>9</v>
      </c>
      <c r="Q759" s="6" t="n">
        <v>17.89</v>
      </c>
      <c r="R759" s="20" t="n">
        <f aca="false">(L759-K759)/K759</f>
        <v>0.147773575443509</v>
      </c>
    </row>
    <row r="760" customFormat="false" ht="15" hidden="false" customHeight="false" outlineLevel="0" collapsed="false">
      <c r="A760" s="6" t="s">
        <v>922</v>
      </c>
      <c r="B760" s="6" t="n">
        <v>35</v>
      </c>
      <c r="C760" s="6" t="s">
        <v>159</v>
      </c>
      <c r="D760" s="6" t="s">
        <v>135</v>
      </c>
      <c r="E760" s="6" t="s">
        <v>92</v>
      </c>
      <c r="F760" s="6" t="s">
        <v>222</v>
      </c>
      <c r="G760" s="6" t="n">
        <v>10</v>
      </c>
      <c r="H760" s="6" t="s">
        <v>81</v>
      </c>
      <c r="I760" s="6" t="s">
        <v>82</v>
      </c>
      <c r="J760" s="6" t="s">
        <v>60</v>
      </c>
      <c r="K760" s="6" t="n">
        <v>108002</v>
      </c>
      <c r="L760" s="6" t="n">
        <v>117473</v>
      </c>
      <c r="M760" s="6" t="s">
        <v>142</v>
      </c>
      <c r="N760" s="6" t="n">
        <v>47</v>
      </c>
      <c r="O760" s="6" t="s">
        <v>58</v>
      </c>
      <c r="P760" s="6" t="n">
        <v>8</v>
      </c>
      <c r="Q760" s="6" t="n">
        <v>14.3</v>
      </c>
      <c r="R760" s="20" t="n">
        <f aca="false">(L760-K760)/K760</f>
        <v>0.087692820503324</v>
      </c>
    </row>
    <row r="761" customFormat="false" ht="15" hidden="false" customHeight="false" outlineLevel="0" collapsed="false">
      <c r="A761" s="6" t="s">
        <v>923</v>
      </c>
      <c r="B761" s="6" t="n">
        <v>53</v>
      </c>
      <c r="C761" s="6" t="s">
        <v>134</v>
      </c>
      <c r="D761" s="6" t="s">
        <v>148</v>
      </c>
      <c r="E761" s="6" t="s">
        <v>89</v>
      </c>
      <c r="F761" s="6" t="s">
        <v>162</v>
      </c>
      <c r="G761" s="6" t="n">
        <v>27</v>
      </c>
      <c r="H761" s="6" t="s">
        <v>80</v>
      </c>
      <c r="I761" s="6" t="s">
        <v>82</v>
      </c>
      <c r="J761" s="6" t="s">
        <v>60</v>
      </c>
      <c r="K761" s="6" t="n">
        <v>114694</v>
      </c>
      <c r="L761" s="6" t="n">
        <v>122511</v>
      </c>
      <c r="M761" s="6" t="s">
        <v>142</v>
      </c>
      <c r="N761" s="6" t="n">
        <v>44</v>
      </c>
      <c r="O761" s="6" t="s">
        <v>60</v>
      </c>
      <c r="P761" s="6" t="n">
        <v>5</v>
      </c>
      <c r="Q761" s="6" t="n">
        <v>-3</v>
      </c>
      <c r="R761" s="20" t="n">
        <f aca="false">(L761-K761)/K761</f>
        <v>0.0681552653146634</v>
      </c>
    </row>
    <row r="762" customFormat="false" ht="15" hidden="false" customHeight="false" outlineLevel="0" collapsed="false">
      <c r="A762" s="6" t="s">
        <v>924</v>
      </c>
      <c r="B762" s="6" t="n">
        <v>36</v>
      </c>
      <c r="C762" s="6" t="s">
        <v>134</v>
      </c>
      <c r="D762" s="6" t="s">
        <v>135</v>
      </c>
      <c r="E762" s="6" t="s">
        <v>91</v>
      </c>
      <c r="F762" s="6" t="s">
        <v>206</v>
      </c>
      <c r="G762" s="6" t="n">
        <v>10</v>
      </c>
      <c r="H762" s="6" t="s">
        <v>81</v>
      </c>
      <c r="I762" s="6" t="s">
        <v>80</v>
      </c>
      <c r="J762" s="6" t="s">
        <v>60</v>
      </c>
      <c r="K762" s="6" t="n">
        <v>81322</v>
      </c>
      <c r="L762" s="6" t="n">
        <v>77175</v>
      </c>
      <c r="M762" s="6" t="s">
        <v>142</v>
      </c>
      <c r="N762" s="6" t="n">
        <v>49</v>
      </c>
      <c r="O762" s="6" t="s">
        <v>60</v>
      </c>
      <c r="P762" s="6" t="n">
        <v>5</v>
      </c>
      <c r="Q762" s="6" t="n">
        <v>-8.93</v>
      </c>
      <c r="R762" s="20" t="n">
        <f aca="false">(L762-K762)/K762</f>
        <v>-0.0509948107523179</v>
      </c>
    </row>
    <row r="763" customFormat="false" ht="15" hidden="false" customHeight="false" outlineLevel="0" collapsed="false">
      <c r="A763" s="6" t="s">
        <v>925</v>
      </c>
      <c r="B763" s="6" t="n">
        <v>27</v>
      </c>
      <c r="C763" s="6" t="s">
        <v>159</v>
      </c>
      <c r="D763" s="6" t="s">
        <v>148</v>
      </c>
      <c r="E763" s="6" t="s">
        <v>89</v>
      </c>
      <c r="F763" s="6" t="s">
        <v>162</v>
      </c>
      <c r="G763" s="6" t="n">
        <v>2</v>
      </c>
      <c r="H763" s="6" t="s">
        <v>82</v>
      </c>
      <c r="I763" s="6" t="s">
        <v>82</v>
      </c>
      <c r="J763" s="6" t="s">
        <v>58</v>
      </c>
      <c r="K763" s="6" t="n">
        <v>66133</v>
      </c>
      <c r="L763" s="6" t="n">
        <v>73210</v>
      </c>
      <c r="M763" s="6" t="s">
        <v>146</v>
      </c>
      <c r="N763" s="6" t="n">
        <v>42</v>
      </c>
      <c r="O763" s="6" t="s">
        <v>60</v>
      </c>
      <c r="P763" s="6" t="n">
        <v>9</v>
      </c>
      <c r="Q763" s="6" t="n">
        <v>9</v>
      </c>
      <c r="R763" s="20" t="n">
        <f aca="false">(L763-K763)/K763</f>
        <v>0.107011628082803</v>
      </c>
    </row>
    <row r="764" customFormat="false" ht="15" hidden="false" customHeight="false" outlineLevel="0" collapsed="false">
      <c r="A764" s="6" t="s">
        <v>926</v>
      </c>
      <c r="B764" s="6" t="n">
        <v>41</v>
      </c>
      <c r="C764" s="6" t="s">
        <v>134</v>
      </c>
      <c r="D764" s="6" t="s">
        <v>140</v>
      </c>
      <c r="E764" s="6" t="s">
        <v>93</v>
      </c>
      <c r="F764" s="6" t="s">
        <v>197</v>
      </c>
      <c r="G764" s="6" t="n">
        <v>16</v>
      </c>
      <c r="H764" s="6" t="s">
        <v>80</v>
      </c>
      <c r="I764" s="6" t="s">
        <v>80</v>
      </c>
      <c r="J764" s="6" t="s">
        <v>58</v>
      </c>
      <c r="K764" s="6" t="n">
        <v>72674</v>
      </c>
      <c r="L764" s="6" t="n">
        <v>69716</v>
      </c>
      <c r="M764" s="6" t="s">
        <v>142</v>
      </c>
      <c r="N764" s="6" t="n">
        <v>50</v>
      </c>
      <c r="O764" s="6" t="s">
        <v>58</v>
      </c>
      <c r="P764" s="6" t="n">
        <v>7</v>
      </c>
      <c r="Q764" s="6" t="n">
        <v>-15.73</v>
      </c>
      <c r="R764" s="20" t="n">
        <f aca="false">(L764-K764)/K764</f>
        <v>-0.0407023144453312</v>
      </c>
    </row>
    <row r="765" customFormat="false" ht="15" hidden="false" customHeight="false" outlineLevel="0" collapsed="false">
      <c r="A765" s="6" t="s">
        <v>927</v>
      </c>
      <c r="B765" s="6" t="n">
        <v>24</v>
      </c>
      <c r="C765" s="6" t="s">
        <v>159</v>
      </c>
      <c r="D765" s="6" t="s">
        <v>144</v>
      </c>
      <c r="E765" s="6" t="s">
        <v>89</v>
      </c>
      <c r="F765" s="6" t="s">
        <v>162</v>
      </c>
      <c r="G765" s="6" t="n">
        <v>2</v>
      </c>
      <c r="H765" s="6" t="s">
        <v>82</v>
      </c>
      <c r="I765" s="6" t="s">
        <v>80</v>
      </c>
      <c r="J765" s="6" t="s">
        <v>58</v>
      </c>
      <c r="K765" s="6" t="n">
        <v>83051</v>
      </c>
      <c r="L765" s="6" t="n">
        <v>79302</v>
      </c>
      <c r="M765" s="6" t="s">
        <v>142</v>
      </c>
      <c r="N765" s="6" t="n">
        <v>41</v>
      </c>
      <c r="O765" s="6" t="s">
        <v>58</v>
      </c>
      <c r="P765" s="6" t="n">
        <v>9</v>
      </c>
      <c r="Q765" s="6" t="n">
        <v>-13.19</v>
      </c>
      <c r="R765" s="20" t="n">
        <f aca="false">(L765-K765)/K765</f>
        <v>-0.0451409374962373</v>
      </c>
    </row>
    <row r="766" customFormat="false" ht="15" hidden="false" customHeight="false" outlineLevel="0" collapsed="false">
      <c r="A766" s="6" t="s">
        <v>928</v>
      </c>
      <c r="B766" s="6" t="n">
        <v>28</v>
      </c>
      <c r="C766" s="6" t="s">
        <v>139</v>
      </c>
      <c r="D766" s="6" t="s">
        <v>140</v>
      </c>
      <c r="E766" s="6" t="s">
        <v>93</v>
      </c>
      <c r="F766" s="6" t="s">
        <v>181</v>
      </c>
      <c r="G766" s="6" t="n">
        <v>5</v>
      </c>
      <c r="H766" s="6" t="s">
        <v>82</v>
      </c>
      <c r="I766" s="6" t="s">
        <v>80</v>
      </c>
      <c r="J766" s="6" t="s">
        <v>60</v>
      </c>
      <c r="K766" s="6" t="n">
        <v>49880</v>
      </c>
      <c r="L766" s="6" t="n">
        <v>66921</v>
      </c>
      <c r="M766" s="6" t="s">
        <v>142</v>
      </c>
      <c r="N766" s="6" t="n">
        <v>46</v>
      </c>
      <c r="O766" s="6" t="s">
        <v>58</v>
      </c>
      <c r="P766" s="6" t="n">
        <v>3</v>
      </c>
      <c r="Q766" s="6" t="n">
        <v>11.49</v>
      </c>
      <c r="R766" s="20" t="n">
        <f aca="false">(L766-K766)/K766</f>
        <v>0.341639935846031</v>
      </c>
    </row>
    <row r="767" customFormat="false" ht="15" hidden="false" customHeight="false" outlineLevel="0" collapsed="false">
      <c r="A767" s="6" t="s">
        <v>929</v>
      </c>
      <c r="B767" s="6" t="n">
        <v>31</v>
      </c>
      <c r="C767" s="6" t="s">
        <v>139</v>
      </c>
      <c r="D767" s="6" t="s">
        <v>144</v>
      </c>
      <c r="E767" s="6" t="s">
        <v>92</v>
      </c>
      <c r="F767" s="6" t="s">
        <v>222</v>
      </c>
      <c r="G767" s="6" t="n">
        <v>7</v>
      </c>
      <c r="H767" s="6" t="s">
        <v>82</v>
      </c>
      <c r="I767" s="6" t="s">
        <v>81</v>
      </c>
      <c r="J767" s="6" t="s">
        <v>60</v>
      </c>
      <c r="K767" s="6" t="n">
        <v>80383</v>
      </c>
      <c r="L767" s="6" t="n">
        <v>104923</v>
      </c>
      <c r="M767" s="6" t="s">
        <v>146</v>
      </c>
      <c r="N767" s="6" t="n">
        <v>52</v>
      </c>
      <c r="O767" s="6" t="s">
        <v>58</v>
      </c>
      <c r="P767" s="6" t="n">
        <v>6</v>
      </c>
      <c r="Q767" s="6" t="n">
        <v>-2.2</v>
      </c>
      <c r="R767" s="20" t="n">
        <f aca="false">(L767-K767)/K767</f>
        <v>0.305288431633554</v>
      </c>
    </row>
    <row r="768" customFormat="false" ht="15" hidden="false" customHeight="false" outlineLevel="0" collapsed="false">
      <c r="A768" s="6" t="s">
        <v>930</v>
      </c>
      <c r="B768" s="6" t="n">
        <v>46</v>
      </c>
      <c r="C768" s="6" t="s">
        <v>159</v>
      </c>
      <c r="D768" s="6" t="s">
        <v>140</v>
      </c>
      <c r="E768" s="6" t="s">
        <v>90</v>
      </c>
      <c r="F768" s="6" t="s">
        <v>236</v>
      </c>
      <c r="G768" s="6" t="n">
        <v>24</v>
      </c>
      <c r="H768" s="6" t="s">
        <v>81</v>
      </c>
      <c r="I768" s="6" t="s">
        <v>80</v>
      </c>
      <c r="J768" s="6" t="s">
        <v>58</v>
      </c>
      <c r="K768" s="6" t="n">
        <v>56299</v>
      </c>
      <c r="L768" s="6" t="n">
        <v>52751</v>
      </c>
      <c r="M768" s="6" t="s">
        <v>142</v>
      </c>
      <c r="N768" s="6" t="n">
        <v>43</v>
      </c>
      <c r="O768" s="6" t="s">
        <v>60</v>
      </c>
      <c r="P768" s="6" t="n">
        <v>6</v>
      </c>
      <c r="Q768" s="6" t="n">
        <v>11.11</v>
      </c>
      <c r="R768" s="20" t="n">
        <f aca="false">(L768-K768)/K768</f>
        <v>-0.0630206575605251</v>
      </c>
    </row>
    <row r="769" customFormat="false" ht="15" hidden="false" customHeight="false" outlineLevel="0" collapsed="false">
      <c r="A769" s="6" t="s">
        <v>931</v>
      </c>
      <c r="B769" s="6" t="n">
        <v>44</v>
      </c>
      <c r="C769" s="6" t="s">
        <v>134</v>
      </c>
      <c r="D769" s="6" t="s">
        <v>144</v>
      </c>
      <c r="E769" s="6" t="s">
        <v>93</v>
      </c>
      <c r="F769" s="6" t="s">
        <v>197</v>
      </c>
      <c r="G769" s="6" t="n">
        <v>20</v>
      </c>
      <c r="H769" s="6" t="s">
        <v>82</v>
      </c>
      <c r="I769" s="6" t="s">
        <v>80</v>
      </c>
      <c r="J769" s="6" t="s">
        <v>60</v>
      </c>
      <c r="K769" s="6" t="n">
        <v>109854</v>
      </c>
      <c r="L769" s="6" t="n">
        <v>135919</v>
      </c>
      <c r="M769" s="6" t="s">
        <v>142</v>
      </c>
      <c r="N769" s="6" t="n">
        <v>47</v>
      </c>
      <c r="O769" s="6" t="s">
        <v>58</v>
      </c>
      <c r="P769" s="6" t="n">
        <v>5</v>
      </c>
      <c r="Q769" s="6" t="n">
        <v>-17.18</v>
      </c>
      <c r="R769" s="20" t="n">
        <f aca="false">(L769-K769)/K769</f>
        <v>0.237269466746773</v>
      </c>
    </row>
    <row r="770" customFormat="false" ht="15" hidden="false" customHeight="false" outlineLevel="0" collapsed="false">
      <c r="A770" s="6" t="s">
        <v>932</v>
      </c>
      <c r="B770" s="6" t="n">
        <v>35</v>
      </c>
      <c r="C770" s="6" t="s">
        <v>159</v>
      </c>
      <c r="D770" s="6" t="s">
        <v>144</v>
      </c>
      <c r="E770" s="6" t="s">
        <v>93</v>
      </c>
      <c r="F770" s="6" t="s">
        <v>197</v>
      </c>
      <c r="G770" s="6" t="n">
        <v>10</v>
      </c>
      <c r="H770" s="6" t="s">
        <v>82</v>
      </c>
      <c r="I770" s="6" t="s">
        <v>80</v>
      </c>
      <c r="J770" s="6" t="s">
        <v>58</v>
      </c>
      <c r="K770" s="6" t="n">
        <v>57281</v>
      </c>
      <c r="L770" s="6" t="n">
        <v>68933</v>
      </c>
      <c r="M770" s="6" t="s">
        <v>142</v>
      </c>
      <c r="N770" s="6" t="n">
        <v>53</v>
      </c>
      <c r="O770" s="6" t="s">
        <v>60</v>
      </c>
      <c r="P770" s="6" t="n">
        <v>5</v>
      </c>
      <c r="Q770" s="6" t="n">
        <v>-9.81</v>
      </c>
      <c r="R770" s="20" t="n">
        <f aca="false">(L770-K770)/K770</f>
        <v>0.20341823641347</v>
      </c>
    </row>
    <row r="771" customFormat="false" ht="15" hidden="false" customHeight="false" outlineLevel="0" collapsed="false">
      <c r="A771" s="6" t="s">
        <v>933</v>
      </c>
      <c r="B771" s="6" t="n">
        <v>53</v>
      </c>
      <c r="C771" s="6" t="s">
        <v>139</v>
      </c>
      <c r="D771" s="6" t="s">
        <v>144</v>
      </c>
      <c r="E771" s="6" t="s">
        <v>90</v>
      </c>
      <c r="F771" s="6" t="s">
        <v>145</v>
      </c>
      <c r="G771" s="6" t="n">
        <v>31</v>
      </c>
      <c r="H771" s="6" t="s">
        <v>82</v>
      </c>
      <c r="I771" s="6" t="s">
        <v>81</v>
      </c>
      <c r="J771" s="6" t="s">
        <v>58</v>
      </c>
      <c r="K771" s="6" t="n">
        <v>60951</v>
      </c>
      <c r="L771" s="6" t="n">
        <v>72640</v>
      </c>
      <c r="M771" s="6" t="s">
        <v>146</v>
      </c>
      <c r="N771" s="6" t="n">
        <v>38</v>
      </c>
      <c r="O771" s="6" t="s">
        <v>58</v>
      </c>
      <c r="P771" s="6" t="n">
        <v>8</v>
      </c>
      <c r="Q771" s="6" t="n">
        <v>14.78</v>
      </c>
      <c r="R771" s="20" t="n">
        <f aca="false">(L771-K771)/K771</f>
        <v>0.191777001197683</v>
      </c>
    </row>
    <row r="772" customFormat="false" ht="15" hidden="false" customHeight="false" outlineLevel="0" collapsed="false">
      <c r="A772" s="6" t="s">
        <v>934</v>
      </c>
      <c r="B772" s="6" t="n">
        <v>55</v>
      </c>
      <c r="C772" s="6" t="s">
        <v>159</v>
      </c>
      <c r="D772" s="6" t="s">
        <v>148</v>
      </c>
      <c r="E772" s="6" t="s">
        <v>89</v>
      </c>
      <c r="F772" s="6" t="s">
        <v>153</v>
      </c>
      <c r="G772" s="6" t="n">
        <v>31</v>
      </c>
      <c r="H772" s="6" t="s">
        <v>82</v>
      </c>
      <c r="I772" s="6" t="s">
        <v>82</v>
      </c>
      <c r="J772" s="6" t="s">
        <v>60</v>
      </c>
      <c r="K772" s="6" t="n">
        <v>109823</v>
      </c>
      <c r="L772" s="6" t="n">
        <v>151324</v>
      </c>
      <c r="M772" s="6" t="s">
        <v>146</v>
      </c>
      <c r="N772" s="6" t="n">
        <v>47</v>
      </c>
      <c r="O772" s="6" t="s">
        <v>58</v>
      </c>
      <c r="P772" s="6" t="n">
        <v>7</v>
      </c>
      <c r="Q772" s="6" t="n">
        <v>-13.11</v>
      </c>
      <c r="R772" s="20" t="n">
        <f aca="false">(L772-K772)/K772</f>
        <v>0.377889877348097</v>
      </c>
    </row>
    <row r="773" customFormat="false" ht="15" hidden="false" customHeight="false" outlineLevel="0" collapsed="false">
      <c r="A773" s="6" t="s">
        <v>935</v>
      </c>
      <c r="B773" s="6" t="n">
        <v>26</v>
      </c>
      <c r="C773" s="6" t="s">
        <v>134</v>
      </c>
      <c r="D773" s="6" t="s">
        <v>148</v>
      </c>
      <c r="E773" s="6" t="s">
        <v>91</v>
      </c>
      <c r="F773" s="6" t="s">
        <v>206</v>
      </c>
      <c r="G773" s="6" t="n">
        <v>4</v>
      </c>
      <c r="H773" s="6" t="s">
        <v>81</v>
      </c>
      <c r="I773" s="6" t="s">
        <v>81</v>
      </c>
      <c r="J773" s="6" t="s">
        <v>60</v>
      </c>
      <c r="K773" s="6" t="n">
        <v>75203</v>
      </c>
      <c r="L773" s="6" t="n">
        <v>71721</v>
      </c>
      <c r="M773" s="6" t="s">
        <v>146</v>
      </c>
      <c r="N773" s="6" t="n">
        <v>36</v>
      </c>
      <c r="O773" s="6" t="s">
        <v>60</v>
      </c>
      <c r="P773" s="6" t="n">
        <v>4</v>
      </c>
      <c r="Q773" s="6" t="n">
        <v>27.85</v>
      </c>
      <c r="R773" s="20" t="n">
        <f aca="false">(L773-K773)/K773</f>
        <v>-0.0463013443612622</v>
      </c>
    </row>
    <row r="774" customFormat="false" ht="15" hidden="false" customHeight="false" outlineLevel="0" collapsed="false">
      <c r="A774" s="6" t="s">
        <v>936</v>
      </c>
      <c r="B774" s="6" t="n">
        <v>33</v>
      </c>
      <c r="C774" s="6" t="s">
        <v>134</v>
      </c>
      <c r="D774" s="6" t="s">
        <v>135</v>
      </c>
      <c r="E774" s="6" t="s">
        <v>89</v>
      </c>
      <c r="F774" s="6" t="s">
        <v>151</v>
      </c>
      <c r="G774" s="6" t="n">
        <v>7</v>
      </c>
      <c r="H774" s="6" t="s">
        <v>82</v>
      </c>
      <c r="I774" s="6" t="s">
        <v>81</v>
      </c>
      <c r="J774" s="6" t="s">
        <v>60</v>
      </c>
      <c r="K774" s="6" t="n">
        <v>99322</v>
      </c>
      <c r="L774" s="6" t="n">
        <v>129739</v>
      </c>
      <c r="M774" s="6" t="s">
        <v>146</v>
      </c>
      <c r="N774" s="6" t="n">
        <v>48</v>
      </c>
      <c r="O774" s="6" t="s">
        <v>58</v>
      </c>
      <c r="P774" s="6" t="n">
        <v>8</v>
      </c>
      <c r="Q774" s="6" t="n">
        <v>-0.5</v>
      </c>
      <c r="R774" s="20" t="n">
        <f aca="false">(L774-K774)/K774</f>
        <v>0.306246350254727</v>
      </c>
    </row>
    <row r="775" customFormat="false" ht="15" hidden="false" customHeight="false" outlineLevel="0" collapsed="false">
      <c r="A775" s="6" t="s">
        <v>937</v>
      </c>
      <c r="B775" s="6" t="n">
        <v>45</v>
      </c>
      <c r="C775" s="6" t="s">
        <v>159</v>
      </c>
      <c r="D775" s="6" t="s">
        <v>140</v>
      </c>
      <c r="E775" s="6" t="s">
        <v>87</v>
      </c>
      <c r="F775" s="6" t="s">
        <v>149</v>
      </c>
      <c r="G775" s="6" t="n">
        <v>23</v>
      </c>
      <c r="H775" s="6" t="s">
        <v>82</v>
      </c>
      <c r="I775" s="6" t="s">
        <v>81</v>
      </c>
      <c r="J775" s="6" t="s">
        <v>58</v>
      </c>
      <c r="K775" s="6" t="n">
        <v>75760</v>
      </c>
      <c r="L775" s="6" t="n">
        <v>79230</v>
      </c>
      <c r="M775" s="6" t="s">
        <v>146</v>
      </c>
      <c r="N775" s="6" t="n">
        <v>53</v>
      </c>
      <c r="O775" s="6" t="s">
        <v>58</v>
      </c>
      <c r="P775" s="6" t="n">
        <v>4</v>
      </c>
      <c r="Q775" s="6" t="n">
        <v>38.69</v>
      </c>
      <c r="R775" s="20" t="n">
        <f aca="false">(L775-K775)/K775</f>
        <v>0.0458025343189018</v>
      </c>
    </row>
    <row r="776" customFormat="false" ht="15" hidden="false" customHeight="false" outlineLevel="0" collapsed="false">
      <c r="A776" s="6" t="s">
        <v>938</v>
      </c>
      <c r="B776" s="6" t="n">
        <v>33</v>
      </c>
      <c r="C776" s="6" t="s">
        <v>139</v>
      </c>
      <c r="D776" s="6" t="s">
        <v>140</v>
      </c>
      <c r="E776" s="6" t="s">
        <v>91</v>
      </c>
      <c r="F776" s="6" t="s">
        <v>206</v>
      </c>
      <c r="G776" s="6" t="n">
        <v>8</v>
      </c>
      <c r="H776" s="6" t="s">
        <v>82</v>
      </c>
      <c r="I776" s="6" t="s">
        <v>81</v>
      </c>
      <c r="J776" s="6" t="s">
        <v>60</v>
      </c>
      <c r="K776" s="6" t="n">
        <v>113232</v>
      </c>
      <c r="L776" s="6" t="n">
        <v>147152</v>
      </c>
      <c r="M776" s="6" t="s">
        <v>146</v>
      </c>
      <c r="N776" s="6" t="n">
        <v>51</v>
      </c>
      <c r="O776" s="6" t="s">
        <v>60</v>
      </c>
      <c r="P776" s="6" t="n">
        <v>7</v>
      </c>
      <c r="Q776" s="6" t="n">
        <v>28.25</v>
      </c>
      <c r="R776" s="20" t="n">
        <f aca="false">(L776-K776)/K776</f>
        <v>0.29956196128303</v>
      </c>
    </row>
    <row r="777" customFormat="false" ht="15" hidden="false" customHeight="false" outlineLevel="0" collapsed="false">
      <c r="A777" s="6" t="s">
        <v>939</v>
      </c>
      <c r="B777" s="6" t="n">
        <v>47</v>
      </c>
      <c r="C777" s="6" t="s">
        <v>139</v>
      </c>
      <c r="D777" s="6" t="s">
        <v>140</v>
      </c>
      <c r="E777" s="6" t="s">
        <v>93</v>
      </c>
      <c r="F777" s="6" t="s">
        <v>197</v>
      </c>
      <c r="G777" s="6" t="n">
        <v>23</v>
      </c>
      <c r="H777" s="6" t="s">
        <v>80</v>
      </c>
      <c r="I777" s="6" t="s">
        <v>82</v>
      </c>
      <c r="J777" s="6" t="s">
        <v>58</v>
      </c>
      <c r="K777" s="6" t="n">
        <v>43921</v>
      </c>
      <c r="L777" s="6" t="n">
        <v>46022</v>
      </c>
      <c r="M777" s="6" t="s">
        <v>142</v>
      </c>
      <c r="N777" s="6" t="n">
        <v>40</v>
      </c>
      <c r="O777" s="6" t="s">
        <v>60</v>
      </c>
      <c r="P777" s="6" t="n">
        <v>7</v>
      </c>
      <c r="Q777" s="6" t="n">
        <v>7.58</v>
      </c>
      <c r="R777" s="20" t="n">
        <f aca="false">(L777-K777)/K777</f>
        <v>0.0478358871610391</v>
      </c>
    </row>
    <row r="778" customFormat="false" ht="15" hidden="false" customHeight="false" outlineLevel="0" collapsed="false">
      <c r="A778" s="6" t="s">
        <v>940</v>
      </c>
      <c r="B778" s="6" t="n">
        <v>44</v>
      </c>
      <c r="C778" s="6" t="s">
        <v>159</v>
      </c>
      <c r="D778" s="6" t="s">
        <v>144</v>
      </c>
      <c r="E778" s="6" t="s">
        <v>90</v>
      </c>
      <c r="F778" s="6" t="s">
        <v>145</v>
      </c>
      <c r="G778" s="6" t="n">
        <v>19</v>
      </c>
      <c r="H778" s="6" t="s">
        <v>81</v>
      </c>
      <c r="I778" s="6" t="s">
        <v>82</v>
      </c>
      <c r="J778" s="6" t="s">
        <v>58</v>
      </c>
      <c r="K778" s="6" t="n">
        <v>52837</v>
      </c>
      <c r="L778" s="6" t="n">
        <v>48491</v>
      </c>
      <c r="M778" s="6" t="s">
        <v>142</v>
      </c>
      <c r="N778" s="6" t="n">
        <v>37</v>
      </c>
      <c r="O778" s="6" t="s">
        <v>60</v>
      </c>
      <c r="P778" s="6" t="n">
        <v>6</v>
      </c>
      <c r="Q778" s="6" t="n">
        <v>17.97</v>
      </c>
      <c r="R778" s="20" t="n">
        <f aca="false">(L778-K778)/K778</f>
        <v>-0.0822529666710828</v>
      </c>
    </row>
    <row r="779" customFormat="false" ht="15" hidden="false" customHeight="false" outlineLevel="0" collapsed="false">
      <c r="A779" s="6" t="s">
        <v>941</v>
      </c>
      <c r="B779" s="6" t="n">
        <v>29</v>
      </c>
      <c r="C779" s="6" t="s">
        <v>139</v>
      </c>
      <c r="D779" s="6" t="s">
        <v>148</v>
      </c>
      <c r="E779" s="6" t="s">
        <v>89</v>
      </c>
      <c r="F779" s="6" t="s">
        <v>151</v>
      </c>
      <c r="G779" s="6" t="n">
        <v>4</v>
      </c>
      <c r="H779" s="6" t="s">
        <v>81</v>
      </c>
      <c r="I779" s="6" t="s">
        <v>81</v>
      </c>
      <c r="J779" s="6" t="s">
        <v>60</v>
      </c>
      <c r="K779" s="6" t="n">
        <v>72422</v>
      </c>
      <c r="L779" s="6" t="n">
        <v>85804</v>
      </c>
      <c r="M779" s="6" t="s">
        <v>146</v>
      </c>
      <c r="N779" s="6" t="n">
        <v>42</v>
      </c>
      <c r="O779" s="6" t="s">
        <v>58</v>
      </c>
      <c r="P779" s="6" t="n">
        <v>7</v>
      </c>
      <c r="Q779" s="6" t="n">
        <v>32.78</v>
      </c>
      <c r="R779" s="20" t="n">
        <f aca="false">(L779-K779)/K779</f>
        <v>0.184778106100356</v>
      </c>
    </row>
    <row r="780" customFormat="false" ht="15" hidden="false" customHeight="false" outlineLevel="0" collapsed="false">
      <c r="A780" s="6" t="s">
        <v>942</v>
      </c>
      <c r="B780" s="6" t="n">
        <v>46</v>
      </c>
      <c r="C780" s="6" t="s">
        <v>139</v>
      </c>
      <c r="D780" s="6" t="s">
        <v>135</v>
      </c>
      <c r="E780" s="6" t="s">
        <v>92</v>
      </c>
      <c r="F780" s="6" t="s">
        <v>136</v>
      </c>
      <c r="G780" s="6" t="n">
        <v>24</v>
      </c>
      <c r="H780" s="6" t="s">
        <v>80</v>
      </c>
      <c r="I780" s="6" t="s">
        <v>80</v>
      </c>
      <c r="J780" s="6" t="s">
        <v>58</v>
      </c>
      <c r="K780" s="6" t="n">
        <v>40304</v>
      </c>
      <c r="L780" s="6" t="n">
        <v>40431</v>
      </c>
      <c r="M780" s="6" t="s">
        <v>142</v>
      </c>
      <c r="N780" s="6" t="n">
        <v>45</v>
      </c>
      <c r="O780" s="6" t="s">
        <v>58</v>
      </c>
      <c r="P780" s="6" t="n">
        <v>5</v>
      </c>
      <c r="Q780" s="6" t="n">
        <v>-1.83</v>
      </c>
      <c r="R780" s="20" t="n">
        <f aca="false">(L780-K780)/K780</f>
        <v>0.0031510520047638</v>
      </c>
    </row>
    <row r="781" customFormat="false" ht="15" hidden="false" customHeight="false" outlineLevel="0" collapsed="false">
      <c r="A781" s="6" t="s">
        <v>943</v>
      </c>
      <c r="B781" s="6" t="n">
        <v>44</v>
      </c>
      <c r="C781" s="6" t="s">
        <v>159</v>
      </c>
      <c r="D781" s="6" t="s">
        <v>148</v>
      </c>
      <c r="E781" s="6" t="s">
        <v>90</v>
      </c>
      <c r="F781" s="6" t="s">
        <v>236</v>
      </c>
      <c r="G781" s="6" t="n">
        <v>18</v>
      </c>
      <c r="H781" s="6" t="s">
        <v>81</v>
      </c>
      <c r="I781" s="6" t="s">
        <v>80</v>
      </c>
      <c r="J781" s="6" t="s">
        <v>58</v>
      </c>
      <c r="K781" s="6" t="n">
        <v>30490</v>
      </c>
      <c r="L781" s="6" t="n">
        <v>30641</v>
      </c>
      <c r="M781" s="6" t="s">
        <v>142</v>
      </c>
      <c r="N781" s="6" t="n">
        <v>41</v>
      </c>
      <c r="O781" s="6" t="s">
        <v>58</v>
      </c>
      <c r="P781" s="6" t="n">
        <v>9</v>
      </c>
      <c r="Q781" s="6" t="n">
        <v>-5.37</v>
      </c>
      <c r="R781" s="20" t="n">
        <f aca="false">(L781-K781)/K781</f>
        <v>0.00495244342407347</v>
      </c>
    </row>
    <row r="782" customFormat="false" ht="15" hidden="false" customHeight="false" outlineLevel="0" collapsed="false">
      <c r="A782" s="6" t="s">
        <v>944</v>
      </c>
      <c r="B782" s="6" t="n">
        <v>48</v>
      </c>
      <c r="C782" s="6" t="s">
        <v>134</v>
      </c>
      <c r="D782" s="6" t="s">
        <v>140</v>
      </c>
      <c r="E782" s="6" t="s">
        <v>90</v>
      </c>
      <c r="F782" s="6" t="s">
        <v>236</v>
      </c>
      <c r="G782" s="6" t="n">
        <v>22</v>
      </c>
      <c r="H782" s="6" t="s">
        <v>80</v>
      </c>
      <c r="I782" s="6" t="s">
        <v>81</v>
      </c>
      <c r="J782" s="6" t="s">
        <v>60</v>
      </c>
      <c r="K782" s="6" t="n">
        <v>33159</v>
      </c>
      <c r="L782" s="6" t="n">
        <v>35192</v>
      </c>
      <c r="M782" s="6" t="s">
        <v>146</v>
      </c>
      <c r="N782" s="6" t="n">
        <v>44</v>
      </c>
      <c r="O782" s="6" t="s">
        <v>58</v>
      </c>
      <c r="P782" s="6" t="n">
        <v>9</v>
      </c>
      <c r="Q782" s="6" t="n">
        <v>-18.49</v>
      </c>
      <c r="R782" s="20" t="n">
        <f aca="false">(L782-K782)/K782</f>
        <v>0.0613106547242076</v>
      </c>
    </row>
    <row r="783" customFormat="false" ht="15" hidden="false" customHeight="false" outlineLevel="0" collapsed="false">
      <c r="A783" s="6" t="s">
        <v>945</v>
      </c>
      <c r="B783" s="6" t="n">
        <v>41</v>
      </c>
      <c r="C783" s="6" t="s">
        <v>139</v>
      </c>
      <c r="D783" s="6" t="s">
        <v>135</v>
      </c>
      <c r="E783" s="6" t="s">
        <v>91</v>
      </c>
      <c r="F783" s="6" t="s">
        <v>208</v>
      </c>
      <c r="G783" s="6" t="n">
        <v>17</v>
      </c>
      <c r="H783" s="6" t="s">
        <v>81</v>
      </c>
      <c r="I783" s="6" t="s">
        <v>81</v>
      </c>
      <c r="J783" s="6" t="s">
        <v>60</v>
      </c>
      <c r="K783" s="6" t="n">
        <v>59320</v>
      </c>
      <c r="L783" s="6" t="n">
        <v>66641</v>
      </c>
      <c r="M783" s="6" t="s">
        <v>146</v>
      </c>
      <c r="N783" s="6" t="n">
        <v>42</v>
      </c>
      <c r="O783" s="6" t="s">
        <v>58</v>
      </c>
      <c r="P783" s="6" t="n">
        <v>7</v>
      </c>
      <c r="Q783" s="6" t="n">
        <v>4.74</v>
      </c>
      <c r="R783" s="20" t="n">
        <f aca="false">(L783-K783)/K783</f>
        <v>0.123415374241403</v>
      </c>
    </row>
    <row r="784" customFormat="false" ht="15" hidden="false" customHeight="false" outlineLevel="0" collapsed="false">
      <c r="A784" s="6" t="s">
        <v>946</v>
      </c>
      <c r="B784" s="6" t="n">
        <v>34</v>
      </c>
      <c r="C784" s="6" t="s">
        <v>139</v>
      </c>
      <c r="D784" s="6" t="s">
        <v>144</v>
      </c>
      <c r="E784" s="6" t="s">
        <v>91</v>
      </c>
      <c r="F784" s="6" t="s">
        <v>208</v>
      </c>
      <c r="G784" s="6" t="n">
        <v>12</v>
      </c>
      <c r="H784" s="6" t="s">
        <v>82</v>
      </c>
      <c r="I784" s="6" t="s">
        <v>81</v>
      </c>
      <c r="J784" s="6" t="s">
        <v>58</v>
      </c>
      <c r="K784" s="6" t="n">
        <v>44678</v>
      </c>
      <c r="L784" s="6" t="n">
        <v>44248</v>
      </c>
      <c r="M784" s="6" t="s">
        <v>146</v>
      </c>
      <c r="N784" s="6" t="n">
        <v>51</v>
      </c>
      <c r="O784" s="6" t="s">
        <v>60</v>
      </c>
      <c r="P784" s="6" t="n">
        <v>6</v>
      </c>
      <c r="Q784" s="6" t="n">
        <v>34.72</v>
      </c>
      <c r="R784" s="20" t="n">
        <f aca="false">(L784-K784)/K784</f>
        <v>-0.00962442365369981</v>
      </c>
    </row>
    <row r="785" customFormat="false" ht="15" hidden="false" customHeight="false" outlineLevel="0" collapsed="false">
      <c r="A785" s="6" t="s">
        <v>947</v>
      </c>
      <c r="B785" s="6" t="n">
        <v>23</v>
      </c>
      <c r="C785" s="6" t="s">
        <v>159</v>
      </c>
      <c r="D785" s="6" t="s">
        <v>148</v>
      </c>
      <c r="E785" s="6" t="s">
        <v>92</v>
      </c>
      <c r="F785" s="6" t="s">
        <v>222</v>
      </c>
      <c r="G785" s="6" t="n">
        <v>1</v>
      </c>
      <c r="H785" s="6" t="s">
        <v>81</v>
      </c>
      <c r="I785" s="6" t="s">
        <v>82</v>
      </c>
      <c r="J785" s="6" t="s">
        <v>58</v>
      </c>
      <c r="K785" s="6" t="n">
        <v>91497</v>
      </c>
      <c r="L785" s="6" t="n">
        <v>82524</v>
      </c>
      <c r="M785" s="6" t="s">
        <v>142</v>
      </c>
      <c r="N785" s="6" t="n">
        <v>40</v>
      </c>
      <c r="O785" s="6" t="s">
        <v>58</v>
      </c>
      <c r="P785" s="6" t="n">
        <v>8</v>
      </c>
      <c r="Q785" s="6" t="n">
        <v>9.77</v>
      </c>
      <c r="R785" s="20" t="n">
        <f aca="false">(L785-K785)/K785</f>
        <v>-0.0980687891406276</v>
      </c>
    </row>
    <row r="786" customFormat="false" ht="15" hidden="false" customHeight="false" outlineLevel="0" collapsed="false">
      <c r="A786" s="6" t="s">
        <v>948</v>
      </c>
      <c r="B786" s="6" t="n">
        <v>32</v>
      </c>
      <c r="C786" s="6" t="s">
        <v>159</v>
      </c>
      <c r="D786" s="6" t="s">
        <v>140</v>
      </c>
      <c r="E786" s="6" t="s">
        <v>91</v>
      </c>
      <c r="F786" s="6" t="s">
        <v>208</v>
      </c>
      <c r="G786" s="6" t="n">
        <v>9</v>
      </c>
      <c r="H786" s="6" t="s">
        <v>80</v>
      </c>
      <c r="I786" s="6" t="s">
        <v>80</v>
      </c>
      <c r="J786" s="6" t="s">
        <v>58</v>
      </c>
      <c r="K786" s="6" t="n">
        <v>59863</v>
      </c>
      <c r="L786" s="6" t="n">
        <v>58024</v>
      </c>
      <c r="M786" s="6" t="s">
        <v>142</v>
      </c>
      <c r="N786" s="6" t="n">
        <v>35</v>
      </c>
      <c r="O786" s="6" t="s">
        <v>60</v>
      </c>
      <c r="P786" s="6" t="n">
        <v>5</v>
      </c>
      <c r="Q786" s="6" t="n">
        <v>14.43</v>
      </c>
      <c r="R786" s="20" t="n">
        <f aca="false">(L786-K786)/K786</f>
        <v>-0.0307201443295525</v>
      </c>
    </row>
    <row r="787" customFormat="false" ht="15" hidden="false" customHeight="false" outlineLevel="0" collapsed="false">
      <c r="A787" s="6" t="s">
        <v>949</v>
      </c>
      <c r="B787" s="6" t="n">
        <v>39</v>
      </c>
      <c r="C787" s="6" t="s">
        <v>139</v>
      </c>
      <c r="D787" s="6" t="s">
        <v>135</v>
      </c>
      <c r="E787" s="6" t="s">
        <v>93</v>
      </c>
      <c r="F787" s="6" t="s">
        <v>164</v>
      </c>
      <c r="G787" s="6" t="n">
        <v>17</v>
      </c>
      <c r="H787" s="6" t="s">
        <v>82</v>
      </c>
      <c r="I787" s="6" t="s">
        <v>81</v>
      </c>
      <c r="J787" s="6" t="s">
        <v>60</v>
      </c>
      <c r="K787" s="6" t="n">
        <v>89251</v>
      </c>
      <c r="L787" s="6" t="n">
        <v>93215</v>
      </c>
      <c r="M787" s="6" t="s">
        <v>146</v>
      </c>
      <c r="N787" s="6" t="n">
        <v>35</v>
      </c>
      <c r="O787" s="6" t="s">
        <v>60</v>
      </c>
      <c r="P787" s="6" t="n">
        <v>6</v>
      </c>
      <c r="Q787" s="6" t="n">
        <v>11.28</v>
      </c>
      <c r="R787" s="20" t="n">
        <f aca="false">(L787-K787)/K787</f>
        <v>0.0444140681897122</v>
      </c>
    </row>
    <row r="788" customFormat="false" ht="15" hidden="false" customHeight="false" outlineLevel="0" collapsed="false">
      <c r="A788" s="6" t="s">
        <v>950</v>
      </c>
      <c r="B788" s="6" t="n">
        <v>46</v>
      </c>
      <c r="C788" s="6" t="s">
        <v>159</v>
      </c>
      <c r="D788" s="6" t="s">
        <v>135</v>
      </c>
      <c r="E788" s="6" t="s">
        <v>88</v>
      </c>
      <c r="F788" s="6" t="s">
        <v>157</v>
      </c>
      <c r="G788" s="6" t="n">
        <v>20</v>
      </c>
      <c r="H788" s="6" t="s">
        <v>80</v>
      </c>
      <c r="I788" s="6" t="s">
        <v>82</v>
      </c>
      <c r="J788" s="6" t="s">
        <v>58</v>
      </c>
      <c r="K788" s="6" t="n">
        <v>91360</v>
      </c>
      <c r="L788" s="6" t="n">
        <v>98600</v>
      </c>
      <c r="M788" s="6" t="s">
        <v>142</v>
      </c>
      <c r="N788" s="6" t="n">
        <v>50</v>
      </c>
      <c r="O788" s="6" t="s">
        <v>60</v>
      </c>
      <c r="P788" s="6" t="n">
        <v>4</v>
      </c>
      <c r="Q788" s="6" t="n">
        <v>14.63</v>
      </c>
      <c r="R788" s="20" t="n">
        <f aca="false">(L788-K788)/K788</f>
        <v>0.0792469352014011</v>
      </c>
    </row>
    <row r="789" customFormat="false" ht="15" hidden="false" customHeight="false" outlineLevel="0" collapsed="false">
      <c r="A789" s="6" t="s">
        <v>951</v>
      </c>
      <c r="B789" s="6" t="n">
        <v>50</v>
      </c>
      <c r="C789" s="6" t="s">
        <v>134</v>
      </c>
      <c r="D789" s="6" t="s">
        <v>148</v>
      </c>
      <c r="E789" s="6" t="s">
        <v>87</v>
      </c>
      <c r="F789" s="6" t="s">
        <v>155</v>
      </c>
      <c r="G789" s="6" t="n">
        <v>26</v>
      </c>
      <c r="H789" s="6" t="s">
        <v>80</v>
      </c>
      <c r="I789" s="6" t="s">
        <v>82</v>
      </c>
      <c r="J789" s="6" t="s">
        <v>60</v>
      </c>
      <c r="K789" s="6" t="n">
        <v>93382</v>
      </c>
      <c r="L789" s="6" t="n">
        <v>94731</v>
      </c>
      <c r="M789" s="6" t="s">
        <v>142</v>
      </c>
      <c r="N789" s="6" t="n">
        <v>53</v>
      </c>
      <c r="O789" s="6" t="s">
        <v>60</v>
      </c>
      <c r="P789" s="6" t="n">
        <v>3</v>
      </c>
      <c r="Q789" s="6" t="n">
        <v>24.99</v>
      </c>
      <c r="R789" s="20" t="n">
        <f aca="false">(L789-K789)/K789</f>
        <v>0.0144460388511705</v>
      </c>
    </row>
    <row r="790" customFormat="false" ht="15" hidden="false" customHeight="false" outlineLevel="0" collapsed="false">
      <c r="A790" s="6" t="s">
        <v>952</v>
      </c>
      <c r="B790" s="6" t="n">
        <v>22</v>
      </c>
      <c r="C790" s="6" t="s">
        <v>134</v>
      </c>
      <c r="D790" s="6" t="s">
        <v>135</v>
      </c>
      <c r="E790" s="6" t="s">
        <v>89</v>
      </c>
      <c r="F790" s="6" t="s">
        <v>162</v>
      </c>
      <c r="G790" s="6" t="n">
        <v>0</v>
      </c>
      <c r="H790" s="6" t="s">
        <v>82</v>
      </c>
      <c r="I790" s="6" t="s">
        <v>81</v>
      </c>
      <c r="J790" s="6" t="s">
        <v>60</v>
      </c>
      <c r="K790" s="6" t="n">
        <v>67344</v>
      </c>
      <c r="L790" s="6" t="n">
        <v>64736</v>
      </c>
      <c r="M790" s="6" t="s">
        <v>146</v>
      </c>
      <c r="N790" s="6" t="n">
        <v>52</v>
      </c>
      <c r="O790" s="6" t="s">
        <v>60</v>
      </c>
      <c r="P790" s="6" t="n">
        <v>4</v>
      </c>
      <c r="Q790" s="6" t="n">
        <v>-8.08</v>
      </c>
      <c r="R790" s="20" t="n">
        <f aca="false">(L790-K790)/K790</f>
        <v>-0.0387265383701592</v>
      </c>
    </row>
    <row r="791" customFormat="false" ht="15" hidden="false" customHeight="false" outlineLevel="0" collapsed="false">
      <c r="A791" s="6" t="s">
        <v>953</v>
      </c>
      <c r="B791" s="6" t="n">
        <v>46</v>
      </c>
      <c r="C791" s="6" t="s">
        <v>159</v>
      </c>
      <c r="D791" s="6" t="s">
        <v>135</v>
      </c>
      <c r="E791" s="6" t="s">
        <v>90</v>
      </c>
      <c r="F791" s="6" t="s">
        <v>236</v>
      </c>
      <c r="G791" s="6" t="n">
        <v>20</v>
      </c>
      <c r="H791" s="6" t="s">
        <v>80</v>
      </c>
      <c r="I791" s="6" t="s">
        <v>82</v>
      </c>
      <c r="J791" s="6" t="s">
        <v>58</v>
      </c>
      <c r="K791" s="6" t="n">
        <v>70581</v>
      </c>
      <c r="L791" s="6" t="n">
        <v>73294</v>
      </c>
      <c r="M791" s="6" t="s">
        <v>142</v>
      </c>
      <c r="N791" s="6" t="n">
        <v>43</v>
      </c>
      <c r="O791" s="6" t="s">
        <v>60</v>
      </c>
      <c r="P791" s="6" t="n">
        <v>5</v>
      </c>
      <c r="Q791" s="6" t="n">
        <v>-15.96</v>
      </c>
      <c r="R791" s="20" t="n">
        <f aca="false">(L791-K791)/K791</f>
        <v>0.0384381065725904</v>
      </c>
    </row>
    <row r="792" customFormat="false" ht="15" hidden="false" customHeight="false" outlineLevel="0" collapsed="false">
      <c r="A792" s="6" t="s">
        <v>954</v>
      </c>
      <c r="B792" s="6" t="n">
        <v>52</v>
      </c>
      <c r="C792" s="6" t="s">
        <v>139</v>
      </c>
      <c r="D792" s="6" t="s">
        <v>148</v>
      </c>
      <c r="E792" s="6" t="s">
        <v>92</v>
      </c>
      <c r="F792" s="6" t="s">
        <v>136</v>
      </c>
      <c r="G792" s="6" t="n">
        <v>29</v>
      </c>
      <c r="H792" s="6" t="s">
        <v>80</v>
      </c>
      <c r="I792" s="6" t="s">
        <v>82</v>
      </c>
      <c r="J792" s="6" t="s">
        <v>58</v>
      </c>
      <c r="K792" s="6" t="n">
        <v>77645</v>
      </c>
      <c r="L792" s="6" t="n">
        <v>82089</v>
      </c>
      <c r="M792" s="6" t="s">
        <v>142</v>
      </c>
      <c r="N792" s="6" t="n">
        <v>54</v>
      </c>
      <c r="O792" s="6" t="s">
        <v>60</v>
      </c>
      <c r="P792" s="6" t="n">
        <v>7</v>
      </c>
      <c r="Q792" s="6" t="n">
        <v>14.74</v>
      </c>
      <c r="R792" s="20" t="n">
        <f aca="false">(L792-K792)/K792</f>
        <v>0.0572348509240775</v>
      </c>
    </row>
    <row r="793" customFormat="false" ht="15" hidden="false" customHeight="false" outlineLevel="0" collapsed="false">
      <c r="A793" s="6" t="s">
        <v>955</v>
      </c>
      <c r="B793" s="6" t="n">
        <v>30</v>
      </c>
      <c r="C793" s="6" t="s">
        <v>134</v>
      </c>
      <c r="D793" s="6" t="s">
        <v>135</v>
      </c>
      <c r="E793" s="6" t="s">
        <v>93</v>
      </c>
      <c r="F793" s="6" t="s">
        <v>181</v>
      </c>
      <c r="G793" s="6" t="n">
        <v>5</v>
      </c>
      <c r="H793" s="6" t="s">
        <v>82</v>
      </c>
      <c r="I793" s="6" t="s">
        <v>81</v>
      </c>
      <c r="J793" s="6" t="s">
        <v>58</v>
      </c>
      <c r="K793" s="6" t="n">
        <v>96727</v>
      </c>
      <c r="L793" s="6" t="n">
        <v>116200</v>
      </c>
      <c r="M793" s="6" t="s">
        <v>146</v>
      </c>
      <c r="N793" s="6" t="n">
        <v>38</v>
      </c>
      <c r="O793" s="6" t="s">
        <v>58</v>
      </c>
      <c r="P793" s="6" t="n">
        <v>3</v>
      </c>
      <c r="Q793" s="6" t="n">
        <v>27.92</v>
      </c>
      <c r="R793" s="20" t="n">
        <f aca="false">(L793-K793)/K793</f>
        <v>0.201319176651814</v>
      </c>
    </row>
    <row r="794" customFormat="false" ht="15" hidden="false" customHeight="false" outlineLevel="0" collapsed="false">
      <c r="A794" s="6" t="s">
        <v>956</v>
      </c>
      <c r="B794" s="6" t="n">
        <v>37</v>
      </c>
      <c r="C794" s="6" t="s">
        <v>134</v>
      </c>
      <c r="D794" s="6" t="s">
        <v>140</v>
      </c>
      <c r="E794" s="6" t="s">
        <v>88</v>
      </c>
      <c r="F794" s="6" t="s">
        <v>234</v>
      </c>
      <c r="G794" s="6" t="n">
        <v>13</v>
      </c>
      <c r="H794" s="6" t="s">
        <v>80</v>
      </c>
      <c r="I794" s="6" t="s">
        <v>81</v>
      </c>
      <c r="J794" s="6" t="s">
        <v>60</v>
      </c>
      <c r="K794" s="6" t="n">
        <v>36008</v>
      </c>
      <c r="L794" s="6" t="n">
        <v>38993</v>
      </c>
      <c r="M794" s="6" t="s">
        <v>146</v>
      </c>
      <c r="N794" s="6" t="n">
        <v>54</v>
      </c>
      <c r="O794" s="6" t="s">
        <v>58</v>
      </c>
      <c r="P794" s="6" t="n">
        <v>9</v>
      </c>
      <c r="Q794" s="6" t="n">
        <v>7.51</v>
      </c>
      <c r="R794" s="20" t="n">
        <f aca="false">(L794-K794)/K794</f>
        <v>0.0828982448344812</v>
      </c>
    </row>
    <row r="795" customFormat="false" ht="15" hidden="false" customHeight="false" outlineLevel="0" collapsed="false">
      <c r="A795" s="6" t="s">
        <v>957</v>
      </c>
      <c r="B795" s="6" t="n">
        <v>39</v>
      </c>
      <c r="C795" s="6" t="s">
        <v>139</v>
      </c>
      <c r="D795" s="6" t="s">
        <v>140</v>
      </c>
      <c r="E795" s="6" t="s">
        <v>91</v>
      </c>
      <c r="F795" s="6" t="s">
        <v>141</v>
      </c>
      <c r="G795" s="6" t="n">
        <v>16</v>
      </c>
      <c r="H795" s="6" t="s">
        <v>81</v>
      </c>
      <c r="I795" s="6" t="s">
        <v>82</v>
      </c>
      <c r="J795" s="6" t="s">
        <v>58</v>
      </c>
      <c r="K795" s="6" t="n">
        <v>66444</v>
      </c>
      <c r="L795" s="6" t="n">
        <v>78372</v>
      </c>
      <c r="M795" s="6" t="s">
        <v>142</v>
      </c>
      <c r="N795" s="6" t="n">
        <v>44</v>
      </c>
      <c r="O795" s="6" t="s">
        <v>60</v>
      </c>
      <c r="P795" s="6" t="n">
        <v>7</v>
      </c>
      <c r="Q795" s="6" t="n">
        <v>39.82</v>
      </c>
      <c r="R795" s="20" t="n">
        <f aca="false">(L795-K795)/K795</f>
        <v>0.179519595448799</v>
      </c>
    </row>
    <row r="796" customFormat="false" ht="15" hidden="false" customHeight="false" outlineLevel="0" collapsed="false">
      <c r="A796" s="6" t="s">
        <v>958</v>
      </c>
      <c r="B796" s="6" t="n">
        <v>52</v>
      </c>
      <c r="C796" s="6" t="s">
        <v>139</v>
      </c>
      <c r="D796" s="6" t="s">
        <v>144</v>
      </c>
      <c r="E796" s="6" t="s">
        <v>92</v>
      </c>
      <c r="F796" s="6" t="s">
        <v>222</v>
      </c>
      <c r="G796" s="6" t="n">
        <v>30</v>
      </c>
      <c r="H796" s="6" t="s">
        <v>81</v>
      </c>
      <c r="I796" s="6" t="s">
        <v>82</v>
      </c>
      <c r="J796" s="6" t="s">
        <v>58</v>
      </c>
      <c r="K796" s="6" t="n">
        <v>30066</v>
      </c>
      <c r="L796" s="6" t="n">
        <v>27503</v>
      </c>
      <c r="M796" s="6" t="s">
        <v>142</v>
      </c>
      <c r="N796" s="6" t="n">
        <v>43</v>
      </c>
      <c r="O796" s="6" t="s">
        <v>58</v>
      </c>
      <c r="P796" s="6" t="n">
        <v>8</v>
      </c>
      <c r="Q796" s="6" t="n">
        <v>-6.14</v>
      </c>
      <c r="R796" s="20" t="n">
        <f aca="false">(L796-K796)/K796</f>
        <v>-0.0852457925896361</v>
      </c>
    </row>
    <row r="797" customFormat="false" ht="15" hidden="false" customHeight="false" outlineLevel="0" collapsed="false">
      <c r="A797" s="6" t="s">
        <v>959</v>
      </c>
      <c r="B797" s="6" t="n">
        <v>32</v>
      </c>
      <c r="C797" s="6" t="s">
        <v>134</v>
      </c>
      <c r="D797" s="6" t="s">
        <v>148</v>
      </c>
      <c r="E797" s="6" t="s">
        <v>90</v>
      </c>
      <c r="F797" s="6" t="s">
        <v>145</v>
      </c>
      <c r="G797" s="6" t="n">
        <v>8</v>
      </c>
      <c r="H797" s="6" t="s">
        <v>82</v>
      </c>
      <c r="I797" s="6" t="s">
        <v>81</v>
      </c>
      <c r="J797" s="6" t="s">
        <v>60</v>
      </c>
      <c r="K797" s="6" t="n">
        <v>41772</v>
      </c>
      <c r="L797" s="6" t="n">
        <v>34034</v>
      </c>
      <c r="M797" s="6" t="s">
        <v>146</v>
      </c>
      <c r="N797" s="6" t="n">
        <v>47</v>
      </c>
      <c r="O797" s="6" t="s">
        <v>60</v>
      </c>
      <c r="P797" s="6" t="n">
        <v>6</v>
      </c>
      <c r="Q797" s="6" t="n">
        <v>-7.43</v>
      </c>
      <c r="R797" s="20" t="n">
        <f aca="false">(L797-K797)/K797</f>
        <v>-0.185243703916499</v>
      </c>
    </row>
    <row r="798" customFormat="false" ht="15" hidden="false" customHeight="false" outlineLevel="0" collapsed="false">
      <c r="A798" s="6" t="s">
        <v>960</v>
      </c>
      <c r="B798" s="6" t="n">
        <v>58</v>
      </c>
      <c r="C798" s="6" t="s">
        <v>134</v>
      </c>
      <c r="D798" s="6" t="s">
        <v>140</v>
      </c>
      <c r="E798" s="6" t="s">
        <v>90</v>
      </c>
      <c r="F798" s="6" t="s">
        <v>236</v>
      </c>
      <c r="G798" s="6" t="n">
        <v>35</v>
      </c>
      <c r="H798" s="6" t="s">
        <v>80</v>
      </c>
      <c r="I798" s="6" t="s">
        <v>82</v>
      </c>
      <c r="J798" s="6" t="s">
        <v>58</v>
      </c>
      <c r="K798" s="6" t="n">
        <v>86827</v>
      </c>
      <c r="L798" s="6" t="n">
        <v>92358</v>
      </c>
      <c r="M798" s="6" t="s">
        <v>142</v>
      </c>
      <c r="N798" s="6" t="n">
        <v>36</v>
      </c>
      <c r="O798" s="6" t="s">
        <v>60</v>
      </c>
      <c r="P798" s="6" t="n">
        <v>8</v>
      </c>
      <c r="Q798" s="6" t="n">
        <v>25.6</v>
      </c>
      <c r="R798" s="20" t="n">
        <f aca="false">(L798-K798)/K798</f>
        <v>0.0637013832102917</v>
      </c>
    </row>
    <row r="799" customFormat="false" ht="15" hidden="false" customHeight="false" outlineLevel="0" collapsed="false">
      <c r="A799" s="6" t="s">
        <v>961</v>
      </c>
      <c r="B799" s="6" t="n">
        <v>44</v>
      </c>
      <c r="C799" s="6" t="s">
        <v>134</v>
      </c>
      <c r="D799" s="6" t="s">
        <v>144</v>
      </c>
      <c r="E799" s="6" t="s">
        <v>89</v>
      </c>
      <c r="F799" s="6" t="s">
        <v>151</v>
      </c>
      <c r="G799" s="6" t="n">
        <v>18</v>
      </c>
      <c r="H799" s="6" t="s">
        <v>82</v>
      </c>
      <c r="I799" s="6" t="s">
        <v>82</v>
      </c>
      <c r="J799" s="6" t="s">
        <v>60</v>
      </c>
      <c r="K799" s="6" t="n">
        <v>47558</v>
      </c>
      <c r="L799" s="6" t="n">
        <v>49059</v>
      </c>
      <c r="M799" s="6" t="s">
        <v>137</v>
      </c>
      <c r="N799" s="6" t="n">
        <v>39</v>
      </c>
      <c r="O799" s="6" t="s">
        <v>58</v>
      </c>
      <c r="P799" s="6" t="n">
        <v>9</v>
      </c>
      <c r="Q799" s="6" t="n">
        <v>2.44</v>
      </c>
      <c r="R799" s="20" t="n">
        <f aca="false">(L799-K799)/K799</f>
        <v>0.0315614617940199</v>
      </c>
    </row>
    <row r="800" customFormat="false" ht="15" hidden="false" customHeight="false" outlineLevel="0" collapsed="false">
      <c r="A800" s="6" t="s">
        <v>962</v>
      </c>
      <c r="B800" s="6" t="n">
        <v>52</v>
      </c>
      <c r="C800" s="6" t="s">
        <v>159</v>
      </c>
      <c r="D800" s="6" t="s">
        <v>148</v>
      </c>
      <c r="E800" s="6" t="s">
        <v>87</v>
      </c>
      <c r="F800" s="6" t="s">
        <v>160</v>
      </c>
      <c r="G800" s="6" t="n">
        <v>30</v>
      </c>
      <c r="H800" s="6" t="s">
        <v>80</v>
      </c>
      <c r="I800" s="6" t="s">
        <v>82</v>
      </c>
      <c r="J800" s="6" t="s">
        <v>60</v>
      </c>
      <c r="K800" s="6" t="n">
        <v>30798</v>
      </c>
      <c r="L800" s="6" t="n">
        <v>33719</v>
      </c>
      <c r="M800" s="6" t="s">
        <v>142</v>
      </c>
      <c r="N800" s="6" t="n">
        <v>51</v>
      </c>
      <c r="O800" s="6" t="s">
        <v>60</v>
      </c>
      <c r="P800" s="6" t="n">
        <v>7</v>
      </c>
      <c r="Q800" s="6" t="n">
        <v>3.61</v>
      </c>
      <c r="R800" s="20" t="n">
        <f aca="false">(L800-K800)/K800</f>
        <v>0.0948438210273394</v>
      </c>
    </row>
    <row r="801" customFormat="false" ht="15" hidden="false" customHeight="false" outlineLevel="0" collapsed="false">
      <c r="A801" s="6" t="s">
        <v>963</v>
      </c>
      <c r="B801" s="6" t="n">
        <v>23</v>
      </c>
      <c r="C801" s="6" t="s">
        <v>139</v>
      </c>
      <c r="D801" s="6" t="s">
        <v>144</v>
      </c>
      <c r="E801" s="6" t="s">
        <v>88</v>
      </c>
      <c r="F801" s="6" t="s">
        <v>157</v>
      </c>
      <c r="G801" s="6" t="n">
        <v>1</v>
      </c>
      <c r="H801" s="6" t="s">
        <v>82</v>
      </c>
      <c r="I801" s="6" t="s">
        <v>82</v>
      </c>
      <c r="J801" s="6" t="s">
        <v>60</v>
      </c>
      <c r="K801" s="6" t="n">
        <v>33084</v>
      </c>
      <c r="L801" s="6" t="n">
        <v>34966</v>
      </c>
      <c r="M801" s="6" t="s">
        <v>137</v>
      </c>
      <c r="N801" s="6" t="n">
        <v>40</v>
      </c>
      <c r="O801" s="6" t="s">
        <v>60</v>
      </c>
      <c r="P801" s="6" t="n">
        <v>5</v>
      </c>
      <c r="Q801" s="6" t="n">
        <v>17.92</v>
      </c>
      <c r="R801" s="20" t="n">
        <f aca="false">(L801-K801)/K801</f>
        <v>0.0568855035666788</v>
      </c>
    </row>
    <row r="802" customFormat="false" ht="15" hidden="false" customHeight="false" outlineLevel="0" collapsed="false">
      <c r="A802" s="6" t="s">
        <v>964</v>
      </c>
      <c r="B802" s="6" t="n">
        <v>56</v>
      </c>
      <c r="C802" s="6" t="s">
        <v>134</v>
      </c>
      <c r="D802" s="6" t="s">
        <v>148</v>
      </c>
      <c r="E802" s="6" t="s">
        <v>87</v>
      </c>
      <c r="F802" s="6" t="s">
        <v>149</v>
      </c>
      <c r="G802" s="6" t="n">
        <v>33</v>
      </c>
      <c r="H802" s="6" t="s">
        <v>82</v>
      </c>
      <c r="I802" s="6" t="s">
        <v>82</v>
      </c>
      <c r="J802" s="6" t="s">
        <v>58</v>
      </c>
      <c r="K802" s="6" t="n">
        <v>62330</v>
      </c>
      <c r="L802" s="6" t="n">
        <v>73993</v>
      </c>
      <c r="M802" s="6" t="s">
        <v>146</v>
      </c>
      <c r="N802" s="6" t="n">
        <v>53</v>
      </c>
      <c r="O802" s="6" t="s">
        <v>58</v>
      </c>
      <c r="P802" s="6" t="n">
        <v>8</v>
      </c>
      <c r="Q802" s="6" t="n">
        <v>24.71</v>
      </c>
      <c r="R802" s="20" t="n">
        <f aca="false">(L802-K802)/K802</f>
        <v>0.187116958126103</v>
      </c>
    </row>
    <row r="803" customFormat="false" ht="15" hidden="false" customHeight="false" outlineLevel="0" collapsed="false">
      <c r="A803" s="6" t="s">
        <v>965</v>
      </c>
      <c r="B803" s="6" t="n">
        <v>40</v>
      </c>
      <c r="C803" s="6" t="s">
        <v>139</v>
      </c>
      <c r="D803" s="6" t="s">
        <v>135</v>
      </c>
      <c r="E803" s="6" t="s">
        <v>92</v>
      </c>
      <c r="F803" s="6" t="s">
        <v>136</v>
      </c>
      <c r="G803" s="6" t="n">
        <v>18</v>
      </c>
      <c r="H803" s="6" t="s">
        <v>82</v>
      </c>
      <c r="I803" s="6" t="s">
        <v>82</v>
      </c>
      <c r="J803" s="6" t="s">
        <v>58</v>
      </c>
      <c r="K803" s="6" t="n">
        <v>90430</v>
      </c>
      <c r="L803" s="6" t="n">
        <v>113106</v>
      </c>
      <c r="M803" s="6" t="s">
        <v>146</v>
      </c>
      <c r="N803" s="6" t="n">
        <v>48</v>
      </c>
      <c r="O803" s="6" t="s">
        <v>60</v>
      </c>
      <c r="P803" s="6" t="n">
        <v>3</v>
      </c>
      <c r="Q803" s="6" t="n">
        <v>33.82</v>
      </c>
      <c r="R803" s="20" t="n">
        <f aca="false">(L803-K803)/K803</f>
        <v>0.250757491982749</v>
      </c>
    </row>
    <row r="804" customFormat="false" ht="15" hidden="false" customHeight="false" outlineLevel="0" collapsed="false">
      <c r="A804" s="6" t="s">
        <v>966</v>
      </c>
      <c r="B804" s="6" t="n">
        <v>40</v>
      </c>
      <c r="C804" s="6" t="s">
        <v>139</v>
      </c>
      <c r="D804" s="6" t="s">
        <v>140</v>
      </c>
      <c r="E804" s="6" t="s">
        <v>92</v>
      </c>
      <c r="F804" s="6" t="s">
        <v>222</v>
      </c>
      <c r="G804" s="6" t="n">
        <v>15</v>
      </c>
      <c r="H804" s="6" t="s">
        <v>82</v>
      </c>
      <c r="I804" s="6" t="s">
        <v>82</v>
      </c>
      <c r="J804" s="6" t="s">
        <v>58</v>
      </c>
      <c r="K804" s="6" t="n">
        <v>61186</v>
      </c>
      <c r="L804" s="6" t="n">
        <v>77876</v>
      </c>
      <c r="M804" s="6" t="s">
        <v>137</v>
      </c>
      <c r="N804" s="6" t="n">
        <v>42</v>
      </c>
      <c r="O804" s="6" t="s">
        <v>60</v>
      </c>
      <c r="P804" s="6" t="n">
        <v>5</v>
      </c>
      <c r="Q804" s="6" t="n">
        <v>34.19</v>
      </c>
      <c r="R804" s="20" t="n">
        <f aca="false">(L804-K804)/K804</f>
        <v>0.272774817768771</v>
      </c>
    </row>
    <row r="805" customFormat="false" ht="15" hidden="false" customHeight="false" outlineLevel="0" collapsed="false">
      <c r="A805" s="6" t="s">
        <v>967</v>
      </c>
      <c r="B805" s="6" t="n">
        <v>29</v>
      </c>
      <c r="C805" s="6" t="s">
        <v>159</v>
      </c>
      <c r="D805" s="6" t="s">
        <v>140</v>
      </c>
      <c r="E805" s="6" t="s">
        <v>89</v>
      </c>
      <c r="F805" s="6" t="s">
        <v>151</v>
      </c>
      <c r="G805" s="6" t="n">
        <v>6</v>
      </c>
      <c r="H805" s="6" t="s">
        <v>80</v>
      </c>
      <c r="I805" s="6" t="s">
        <v>80</v>
      </c>
      <c r="J805" s="6" t="s">
        <v>58</v>
      </c>
      <c r="K805" s="6" t="n">
        <v>105483</v>
      </c>
      <c r="L805" s="6" t="n">
        <v>109701</v>
      </c>
      <c r="M805" s="6" t="s">
        <v>142</v>
      </c>
      <c r="N805" s="6" t="n">
        <v>51</v>
      </c>
      <c r="O805" s="6" t="s">
        <v>60</v>
      </c>
      <c r="P805" s="6" t="n">
        <v>9</v>
      </c>
      <c r="Q805" s="6" t="n">
        <v>9.14</v>
      </c>
      <c r="R805" s="20" t="n">
        <f aca="false">(L805-K805)/K805</f>
        <v>0.0399874861352066</v>
      </c>
    </row>
    <row r="806" customFormat="false" ht="15" hidden="false" customHeight="false" outlineLevel="0" collapsed="false">
      <c r="A806" s="6" t="s">
        <v>968</v>
      </c>
      <c r="B806" s="6" t="n">
        <v>34</v>
      </c>
      <c r="C806" s="6" t="s">
        <v>139</v>
      </c>
      <c r="D806" s="6" t="s">
        <v>140</v>
      </c>
      <c r="E806" s="6" t="s">
        <v>92</v>
      </c>
      <c r="F806" s="6" t="s">
        <v>222</v>
      </c>
      <c r="G806" s="6" t="n">
        <v>10</v>
      </c>
      <c r="H806" s="6" t="s">
        <v>82</v>
      </c>
      <c r="I806" s="6" t="s">
        <v>81</v>
      </c>
      <c r="J806" s="6" t="s">
        <v>58</v>
      </c>
      <c r="K806" s="6" t="n">
        <v>111417</v>
      </c>
      <c r="L806" s="6" t="n">
        <v>140250</v>
      </c>
      <c r="M806" s="6" t="s">
        <v>146</v>
      </c>
      <c r="N806" s="6" t="n">
        <v>52</v>
      </c>
      <c r="O806" s="6" t="s">
        <v>58</v>
      </c>
      <c r="P806" s="6" t="n">
        <v>9</v>
      </c>
      <c r="Q806" s="6" t="n">
        <v>-11.2</v>
      </c>
      <c r="R806" s="20" t="n">
        <f aca="false">(L806-K806)/K806</f>
        <v>0.258784566089555</v>
      </c>
    </row>
    <row r="807" customFormat="false" ht="15" hidden="false" customHeight="false" outlineLevel="0" collapsed="false">
      <c r="A807" s="6" t="s">
        <v>969</v>
      </c>
      <c r="B807" s="6" t="n">
        <v>27</v>
      </c>
      <c r="C807" s="6" t="s">
        <v>134</v>
      </c>
      <c r="D807" s="6" t="s">
        <v>148</v>
      </c>
      <c r="E807" s="6" t="s">
        <v>91</v>
      </c>
      <c r="F807" s="6" t="s">
        <v>141</v>
      </c>
      <c r="G807" s="6" t="n">
        <v>1</v>
      </c>
      <c r="H807" s="6" t="s">
        <v>82</v>
      </c>
      <c r="I807" s="6" t="s">
        <v>82</v>
      </c>
      <c r="J807" s="6" t="s">
        <v>60</v>
      </c>
      <c r="K807" s="6" t="n">
        <v>49581</v>
      </c>
      <c r="L807" s="6" t="n">
        <v>49529</v>
      </c>
      <c r="M807" s="6" t="s">
        <v>146</v>
      </c>
      <c r="N807" s="6" t="n">
        <v>45</v>
      </c>
      <c r="O807" s="6" t="s">
        <v>60</v>
      </c>
      <c r="P807" s="6" t="n">
        <v>4</v>
      </c>
      <c r="Q807" s="6" t="n">
        <v>10.03</v>
      </c>
      <c r="R807" s="20" t="n">
        <f aca="false">(L807-K807)/K807</f>
        <v>-0.00104878885056776</v>
      </c>
    </row>
    <row r="808" customFormat="false" ht="15" hidden="false" customHeight="false" outlineLevel="0" collapsed="false">
      <c r="A808" s="6" t="s">
        <v>970</v>
      </c>
      <c r="B808" s="6" t="n">
        <v>55</v>
      </c>
      <c r="C808" s="6" t="s">
        <v>139</v>
      </c>
      <c r="D808" s="6" t="s">
        <v>144</v>
      </c>
      <c r="E808" s="6" t="s">
        <v>88</v>
      </c>
      <c r="F808" s="6" t="s">
        <v>157</v>
      </c>
      <c r="G808" s="6" t="n">
        <v>30</v>
      </c>
      <c r="H808" s="6" t="s">
        <v>80</v>
      </c>
      <c r="I808" s="6" t="s">
        <v>80</v>
      </c>
      <c r="J808" s="6" t="s">
        <v>58</v>
      </c>
      <c r="K808" s="6" t="n">
        <v>43386</v>
      </c>
      <c r="L808" s="6" t="n">
        <v>46822</v>
      </c>
      <c r="M808" s="6" t="s">
        <v>142</v>
      </c>
      <c r="N808" s="6" t="n">
        <v>50</v>
      </c>
      <c r="O808" s="6" t="s">
        <v>60</v>
      </c>
      <c r="P808" s="6" t="n">
        <v>7</v>
      </c>
      <c r="Q808" s="6" t="n">
        <v>-11.76</v>
      </c>
      <c r="R808" s="20" t="n">
        <f aca="false">(L808-K808)/K808</f>
        <v>0.0791960540266445</v>
      </c>
    </row>
    <row r="809" customFormat="false" ht="15" hidden="false" customHeight="false" outlineLevel="0" collapsed="false">
      <c r="A809" s="6" t="s">
        <v>971</v>
      </c>
      <c r="B809" s="6" t="n">
        <v>51</v>
      </c>
      <c r="C809" s="6" t="s">
        <v>134</v>
      </c>
      <c r="D809" s="6" t="s">
        <v>148</v>
      </c>
      <c r="E809" s="6" t="s">
        <v>90</v>
      </c>
      <c r="F809" s="6" t="s">
        <v>202</v>
      </c>
      <c r="G809" s="6" t="n">
        <v>27</v>
      </c>
      <c r="H809" s="6" t="s">
        <v>82</v>
      </c>
      <c r="I809" s="6" t="s">
        <v>81</v>
      </c>
      <c r="J809" s="6" t="s">
        <v>58</v>
      </c>
      <c r="K809" s="6" t="n">
        <v>52706</v>
      </c>
      <c r="L809" s="6" t="n">
        <v>72072</v>
      </c>
      <c r="M809" s="6" t="s">
        <v>146</v>
      </c>
      <c r="N809" s="6" t="n">
        <v>41</v>
      </c>
      <c r="O809" s="6" t="s">
        <v>58</v>
      </c>
      <c r="P809" s="6" t="n">
        <v>3</v>
      </c>
      <c r="Q809" s="6" t="n">
        <v>-1.22</v>
      </c>
      <c r="R809" s="20" t="n">
        <f aca="false">(L809-K809)/K809</f>
        <v>0.367434447690965</v>
      </c>
    </row>
    <row r="810" customFormat="false" ht="15" hidden="false" customHeight="false" outlineLevel="0" collapsed="false">
      <c r="A810" s="6" t="s">
        <v>972</v>
      </c>
      <c r="B810" s="6" t="n">
        <v>22</v>
      </c>
      <c r="C810" s="6" t="s">
        <v>139</v>
      </c>
      <c r="D810" s="6" t="s">
        <v>140</v>
      </c>
      <c r="E810" s="6" t="s">
        <v>93</v>
      </c>
      <c r="F810" s="6" t="s">
        <v>197</v>
      </c>
      <c r="G810" s="6" t="n">
        <v>0</v>
      </c>
      <c r="H810" s="6" t="s">
        <v>81</v>
      </c>
      <c r="I810" s="6" t="s">
        <v>80</v>
      </c>
      <c r="J810" s="6" t="s">
        <v>58</v>
      </c>
      <c r="K810" s="6" t="n">
        <v>46574</v>
      </c>
      <c r="L810" s="6" t="n">
        <v>43061</v>
      </c>
      <c r="M810" s="6" t="s">
        <v>142</v>
      </c>
      <c r="N810" s="6" t="n">
        <v>37</v>
      </c>
      <c r="O810" s="6" t="s">
        <v>58</v>
      </c>
      <c r="P810" s="6" t="n">
        <v>5</v>
      </c>
      <c r="Q810" s="6" t="n">
        <v>18.81</v>
      </c>
      <c r="R810" s="20" t="n">
        <f aca="false">(L810-K810)/K810</f>
        <v>-0.0754283505818697</v>
      </c>
    </row>
    <row r="811" customFormat="false" ht="15" hidden="false" customHeight="false" outlineLevel="0" collapsed="false">
      <c r="A811" s="6" t="s">
        <v>973</v>
      </c>
      <c r="B811" s="6" t="n">
        <v>24</v>
      </c>
      <c r="C811" s="6" t="s">
        <v>159</v>
      </c>
      <c r="D811" s="6" t="s">
        <v>140</v>
      </c>
      <c r="E811" s="6" t="s">
        <v>90</v>
      </c>
      <c r="F811" s="6" t="s">
        <v>145</v>
      </c>
      <c r="G811" s="6" t="n">
        <v>0</v>
      </c>
      <c r="H811" s="6" t="s">
        <v>82</v>
      </c>
      <c r="I811" s="6" t="s">
        <v>82</v>
      </c>
      <c r="J811" s="6" t="s">
        <v>58</v>
      </c>
      <c r="K811" s="6" t="n">
        <v>96151</v>
      </c>
      <c r="L811" s="6" t="n">
        <v>126516</v>
      </c>
      <c r="M811" s="6" t="s">
        <v>146</v>
      </c>
      <c r="N811" s="6" t="n">
        <v>50</v>
      </c>
      <c r="O811" s="6" t="s">
        <v>60</v>
      </c>
      <c r="P811" s="6" t="n">
        <v>8</v>
      </c>
      <c r="Q811" s="6" t="n">
        <v>37.57</v>
      </c>
      <c r="R811" s="20" t="n">
        <f aca="false">(L811-K811)/K811</f>
        <v>0.315805347838296</v>
      </c>
    </row>
    <row r="812" customFormat="false" ht="15" hidden="false" customHeight="false" outlineLevel="0" collapsed="false">
      <c r="A812" s="6" t="s">
        <v>974</v>
      </c>
      <c r="B812" s="6" t="n">
        <v>28</v>
      </c>
      <c r="C812" s="6" t="s">
        <v>134</v>
      </c>
      <c r="D812" s="6" t="s">
        <v>135</v>
      </c>
      <c r="E812" s="6" t="s">
        <v>90</v>
      </c>
      <c r="F812" s="6" t="s">
        <v>202</v>
      </c>
      <c r="G812" s="6" t="n">
        <v>3</v>
      </c>
      <c r="H812" s="6" t="s">
        <v>80</v>
      </c>
      <c r="I812" s="6" t="s">
        <v>81</v>
      </c>
      <c r="J812" s="6" t="s">
        <v>58</v>
      </c>
      <c r="K812" s="6" t="n">
        <v>98694</v>
      </c>
      <c r="L812" s="6" t="n">
        <v>96250</v>
      </c>
      <c r="M812" s="6" t="s">
        <v>146</v>
      </c>
      <c r="N812" s="6" t="n">
        <v>35</v>
      </c>
      <c r="O812" s="6" t="s">
        <v>60</v>
      </c>
      <c r="P812" s="6" t="n">
        <v>4</v>
      </c>
      <c r="Q812" s="6" t="n">
        <v>30.19</v>
      </c>
      <c r="R812" s="20" t="n">
        <f aca="false">(L812-K812)/K812</f>
        <v>-0.0247634101363811</v>
      </c>
    </row>
    <row r="813" customFormat="false" ht="15" hidden="false" customHeight="false" outlineLevel="0" collapsed="false">
      <c r="A813" s="6" t="s">
        <v>975</v>
      </c>
      <c r="B813" s="6" t="n">
        <v>57</v>
      </c>
      <c r="C813" s="6" t="s">
        <v>139</v>
      </c>
      <c r="D813" s="6" t="s">
        <v>148</v>
      </c>
      <c r="E813" s="6" t="s">
        <v>88</v>
      </c>
      <c r="F813" s="6" t="s">
        <v>179</v>
      </c>
      <c r="G813" s="6" t="n">
        <v>31</v>
      </c>
      <c r="H813" s="6" t="s">
        <v>82</v>
      </c>
      <c r="I813" s="6" t="s">
        <v>82</v>
      </c>
      <c r="J813" s="6" t="s">
        <v>60</v>
      </c>
      <c r="K813" s="6" t="n">
        <v>52504</v>
      </c>
      <c r="L813" s="6" t="n">
        <v>51701</v>
      </c>
      <c r="M813" s="6" t="s">
        <v>146</v>
      </c>
      <c r="N813" s="6" t="n">
        <v>50</v>
      </c>
      <c r="O813" s="6" t="s">
        <v>60</v>
      </c>
      <c r="P813" s="6" t="n">
        <v>7</v>
      </c>
      <c r="Q813" s="6" t="n">
        <v>8.63</v>
      </c>
      <c r="R813" s="20" t="n">
        <f aca="false">(L813-K813)/K813</f>
        <v>-0.0152940728325461</v>
      </c>
    </row>
    <row r="814" customFormat="false" ht="15" hidden="false" customHeight="false" outlineLevel="0" collapsed="false">
      <c r="A814" s="6" t="s">
        <v>976</v>
      </c>
      <c r="B814" s="6" t="n">
        <v>53</v>
      </c>
      <c r="C814" s="6" t="s">
        <v>139</v>
      </c>
      <c r="D814" s="6" t="s">
        <v>148</v>
      </c>
      <c r="E814" s="6" t="s">
        <v>92</v>
      </c>
      <c r="F814" s="6" t="s">
        <v>136</v>
      </c>
      <c r="G814" s="6" t="n">
        <v>29</v>
      </c>
      <c r="H814" s="6" t="s">
        <v>80</v>
      </c>
      <c r="I814" s="6" t="s">
        <v>81</v>
      </c>
      <c r="J814" s="6" t="s">
        <v>60</v>
      </c>
      <c r="K814" s="6" t="n">
        <v>63139</v>
      </c>
      <c r="L814" s="6" t="n">
        <v>68826</v>
      </c>
      <c r="M814" s="6" t="s">
        <v>146</v>
      </c>
      <c r="N814" s="6" t="n">
        <v>48</v>
      </c>
      <c r="O814" s="6" t="s">
        <v>58</v>
      </c>
      <c r="P814" s="6" t="n">
        <v>9</v>
      </c>
      <c r="Q814" s="6" t="n">
        <v>4.13</v>
      </c>
      <c r="R814" s="20" t="n">
        <f aca="false">(L814-K814)/K814</f>
        <v>0.0900711129412883</v>
      </c>
    </row>
    <row r="815" customFormat="false" ht="15" hidden="false" customHeight="false" outlineLevel="0" collapsed="false">
      <c r="A815" s="6" t="s">
        <v>977</v>
      </c>
      <c r="B815" s="6" t="n">
        <v>52</v>
      </c>
      <c r="C815" s="6" t="s">
        <v>134</v>
      </c>
      <c r="D815" s="6" t="s">
        <v>140</v>
      </c>
      <c r="E815" s="6" t="s">
        <v>91</v>
      </c>
      <c r="F815" s="6" t="s">
        <v>208</v>
      </c>
      <c r="G815" s="6" t="n">
        <v>30</v>
      </c>
      <c r="H815" s="6" t="s">
        <v>81</v>
      </c>
      <c r="I815" s="6" t="s">
        <v>82</v>
      </c>
      <c r="J815" s="6" t="s">
        <v>58</v>
      </c>
      <c r="K815" s="6" t="n">
        <v>82091</v>
      </c>
      <c r="L815" s="6" t="n">
        <v>91745</v>
      </c>
      <c r="M815" s="6" t="s">
        <v>142</v>
      </c>
      <c r="N815" s="6" t="n">
        <v>52</v>
      </c>
      <c r="O815" s="6" t="s">
        <v>58</v>
      </c>
      <c r="P815" s="6" t="n">
        <v>8</v>
      </c>
      <c r="Q815" s="6" t="n">
        <v>-13.24</v>
      </c>
      <c r="R815" s="20" t="n">
        <f aca="false">(L815-K815)/K815</f>
        <v>0.117601198669769</v>
      </c>
    </row>
    <row r="816" customFormat="false" ht="15" hidden="false" customHeight="false" outlineLevel="0" collapsed="false">
      <c r="A816" s="6" t="s">
        <v>978</v>
      </c>
      <c r="B816" s="6" t="n">
        <v>35</v>
      </c>
      <c r="C816" s="6" t="s">
        <v>134</v>
      </c>
      <c r="D816" s="6" t="s">
        <v>140</v>
      </c>
      <c r="E816" s="6" t="s">
        <v>89</v>
      </c>
      <c r="F816" s="6" t="s">
        <v>153</v>
      </c>
      <c r="G816" s="6" t="n">
        <v>12</v>
      </c>
      <c r="H816" s="6" t="s">
        <v>82</v>
      </c>
      <c r="I816" s="6" t="s">
        <v>80</v>
      </c>
      <c r="J816" s="6" t="s">
        <v>58</v>
      </c>
      <c r="K816" s="6" t="n">
        <v>100990</v>
      </c>
      <c r="L816" s="6" t="n">
        <v>85089</v>
      </c>
      <c r="M816" s="6" t="s">
        <v>142</v>
      </c>
      <c r="N816" s="6" t="n">
        <v>52</v>
      </c>
      <c r="O816" s="6" t="s">
        <v>58</v>
      </c>
      <c r="P816" s="6" t="n">
        <v>6</v>
      </c>
      <c r="Q816" s="6" t="n">
        <v>0.99</v>
      </c>
      <c r="R816" s="20" t="n">
        <f aca="false">(L816-K816)/K816</f>
        <v>-0.157451232795326</v>
      </c>
    </row>
    <row r="817" customFormat="false" ht="15" hidden="false" customHeight="false" outlineLevel="0" collapsed="false">
      <c r="A817" s="6" t="s">
        <v>979</v>
      </c>
      <c r="B817" s="6" t="n">
        <v>29</v>
      </c>
      <c r="C817" s="6" t="s">
        <v>134</v>
      </c>
      <c r="D817" s="6" t="s">
        <v>140</v>
      </c>
      <c r="E817" s="6" t="s">
        <v>87</v>
      </c>
      <c r="F817" s="6" t="s">
        <v>155</v>
      </c>
      <c r="G817" s="6" t="n">
        <v>5</v>
      </c>
      <c r="H817" s="6" t="s">
        <v>80</v>
      </c>
      <c r="I817" s="6" t="s">
        <v>80</v>
      </c>
      <c r="J817" s="6" t="s">
        <v>58</v>
      </c>
      <c r="K817" s="6" t="n">
        <v>116717</v>
      </c>
      <c r="L817" s="6" t="n">
        <v>127374</v>
      </c>
      <c r="M817" s="6" t="s">
        <v>142</v>
      </c>
      <c r="N817" s="6" t="n">
        <v>42</v>
      </c>
      <c r="O817" s="6" t="s">
        <v>60</v>
      </c>
      <c r="P817" s="6" t="n">
        <v>7</v>
      </c>
      <c r="Q817" s="6" t="n">
        <v>-2.1</v>
      </c>
      <c r="R817" s="20" t="n">
        <f aca="false">(L817-K817)/K817</f>
        <v>0.0913063221295955</v>
      </c>
    </row>
    <row r="818" customFormat="false" ht="15" hidden="false" customHeight="false" outlineLevel="0" collapsed="false">
      <c r="A818" s="6" t="s">
        <v>980</v>
      </c>
      <c r="B818" s="6" t="n">
        <v>53</v>
      </c>
      <c r="C818" s="6" t="s">
        <v>139</v>
      </c>
      <c r="D818" s="6" t="s">
        <v>135</v>
      </c>
      <c r="E818" s="6" t="s">
        <v>87</v>
      </c>
      <c r="F818" s="6" t="s">
        <v>155</v>
      </c>
      <c r="G818" s="6" t="n">
        <v>28</v>
      </c>
      <c r="H818" s="6" t="s">
        <v>82</v>
      </c>
      <c r="I818" s="6" t="s">
        <v>82</v>
      </c>
      <c r="J818" s="6" t="s">
        <v>58</v>
      </c>
      <c r="K818" s="6" t="n">
        <v>59424</v>
      </c>
      <c r="L818" s="6" t="n">
        <v>55437</v>
      </c>
      <c r="M818" s="6" t="s">
        <v>146</v>
      </c>
      <c r="N818" s="6" t="n">
        <v>49</v>
      </c>
      <c r="O818" s="6" t="s">
        <v>58</v>
      </c>
      <c r="P818" s="6" t="n">
        <v>6</v>
      </c>
      <c r="Q818" s="6" t="n">
        <v>-16.63</v>
      </c>
      <c r="R818" s="20" t="n">
        <f aca="false">(L818-K818)/K818</f>
        <v>-0.0670941033925687</v>
      </c>
    </row>
    <row r="819" customFormat="false" ht="15" hidden="false" customHeight="false" outlineLevel="0" collapsed="false">
      <c r="A819" s="6" t="s">
        <v>981</v>
      </c>
      <c r="B819" s="6" t="n">
        <v>35</v>
      </c>
      <c r="C819" s="6" t="s">
        <v>139</v>
      </c>
      <c r="D819" s="6" t="s">
        <v>140</v>
      </c>
      <c r="E819" s="6" t="s">
        <v>88</v>
      </c>
      <c r="F819" s="6" t="s">
        <v>157</v>
      </c>
      <c r="G819" s="6" t="n">
        <v>13</v>
      </c>
      <c r="H819" s="6" t="s">
        <v>82</v>
      </c>
      <c r="I819" s="6" t="s">
        <v>80</v>
      </c>
      <c r="J819" s="6" t="s">
        <v>58</v>
      </c>
      <c r="K819" s="6" t="n">
        <v>53649</v>
      </c>
      <c r="L819" s="6" t="n">
        <v>48309</v>
      </c>
      <c r="M819" s="6" t="s">
        <v>142</v>
      </c>
      <c r="N819" s="6" t="n">
        <v>40</v>
      </c>
      <c r="O819" s="6" t="s">
        <v>58</v>
      </c>
      <c r="P819" s="6" t="n">
        <v>8</v>
      </c>
      <c r="Q819" s="6" t="n">
        <v>7.76</v>
      </c>
      <c r="R819" s="20" t="n">
        <f aca="false">(L819-K819)/K819</f>
        <v>-0.0995358720572611</v>
      </c>
    </row>
    <row r="820" customFormat="false" ht="15" hidden="false" customHeight="false" outlineLevel="0" collapsed="false">
      <c r="A820" s="6" t="s">
        <v>982</v>
      </c>
      <c r="B820" s="6" t="n">
        <v>29</v>
      </c>
      <c r="C820" s="6" t="s">
        <v>134</v>
      </c>
      <c r="D820" s="6" t="s">
        <v>135</v>
      </c>
      <c r="E820" s="6" t="s">
        <v>93</v>
      </c>
      <c r="F820" s="6" t="s">
        <v>164</v>
      </c>
      <c r="G820" s="6" t="n">
        <v>5</v>
      </c>
      <c r="H820" s="6" t="s">
        <v>81</v>
      </c>
      <c r="I820" s="6" t="s">
        <v>82</v>
      </c>
      <c r="J820" s="6" t="s">
        <v>58</v>
      </c>
      <c r="K820" s="6" t="n">
        <v>44645</v>
      </c>
      <c r="L820" s="6" t="n">
        <v>46529</v>
      </c>
      <c r="M820" s="6" t="s">
        <v>142</v>
      </c>
      <c r="N820" s="6" t="n">
        <v>54</v>
      </c>
      <c r="O820" s="6" t="s">
        <v>58</v>
      </c>
      <c r="P820" s="6" t="n">
        <v>7</v>
      </c>
      <c r="Q820" s="6" t="n">
        <v>7.08</v>
      </c>
      <c r="R820" s="20" t="n">
        <f aca="false">(L820-K820)/K820</f>
        <v>0.0421995744204278</v>
      </c>
    </row>
    <row r="821" customFormat="false" ht="15" hidden="false" customHeight="false" outlineLevel="0" collapsed="false">
      <c r="A821" s="6" t="s">
        <v>983</v>
      </c>
      <c r="B821" s="6" t="n">
        <v>43</v>
      </c>
      <c r="C821" s="6" t="s">
        <v>139</v>
      </c>
      <c r="D821" s="6" t="s">
        <v>140</v>
      </c>
      <c r="E821" s="6" t="s">
        <v>89</v>
      </c>
      <c r="F821" s="6" t="s">
        <v>162</v>
      </c>
      <c r="G821" s="6" t="n">
        <v>19</v>
      </c>
      <c r="H821" s="6" t="s">
        <v>82</v>
      </c>
      <c r="I821" s="6" t="s">
        <v>80</v>
      </c>
      <c r="J821" s="6" t="s">
        <v>60</v>
      </c>
      <c r="K821" s="6" t="n">
        <v>58132</v>
      </c>
      <c r="L821" s="6" t="n">
        <v>75115</v>
      </c>
      <c r="M821" s="6" t="s">
        <v>142</v>
      </c>
      <c r="N821" s="6" t="n">
        <v>51</v>
      </c>
      <c r="O821" s="6" t="s">
        <v>60</v>
      </c>
      <c r="P821" s="6" t="n">
        <v>5</v>
      </c>
      <c r="Q821" s="6" t="n">
        <v>18.92</v>
      </c>
      <c r="R821" s="20" t="n">
        <f aca="false">(L821-K821)/K821</f>
        <v>0.292145462051882</v>
      </c>
    </row>
    <row r="822" customFormat="false" ht="15" hidden="false" customHeight="false" outlineLevel="0" collapsed="false">
      <c r="A822" s="6" t="s">
        <v>984</v>
      </c>
      <c r="B822" s="6" t="n">
        <v>38</v>
      </c>
      <c r="C822" s="6" t="s">
        <v>159</v>
      </c>
      <c r="D822" s="6" t="s">
        <v>148</v>
      </c>
      <c r="E822" s="6" t="s">
        <v>92</v>
      </c>
      <c r="F822" s="6" t="s">
        <v>136</v>
      </c>
      <c r="G822" s="6" t="n">
        <v>15</v>
      </c>
      <c r="H822" s="6" t="s">
        <v>82</v>
      </c>
      <c r="I822" s="6" t="s">
        <v>82</v>
      </c>
      <c r="J822" s="6" t="s">
        <v>58</v>
      </c>
      <c r="K822" s="6" t="n">
        <v>81702</v>
      </c>
      <c r="L822" s="6" t="n">
        <v>102231</v>
      </c>
      <c r="M822" s="6" t="s">
        <v>146</v>
      </c>
      <c r="N822" s="6" t="n">
        <v>36</v>
      </c>
      <c r="O822" s="6" t="s">
        <v>60</v>
      </c>
      <c r="P822" s="6" t="n">
        <v>8</v>
      </c>
      <c r="Q822" s="6" t="n">
        <v>10.77</v>
      </c>
      <c r="R822" s="20" t="n">
        <f aca="false">(L822-K822)/K822</f>
        <v>0.251266798854373</v>
      </c>
    </row>
    <row r="823" customFormat="false" ht="15" hidden="false" customHeight="false" outlineLevel="0" collapsed="false">
      <c r="A823" s="6" t="s">
        <v>985</v>
      </c>
      <c r="B823" s="6" t="n">
        <v>27</v>
      </c>
      <c r="C823" s="6" t="s">
        <v>134</v>
      </c>
      <c r="D823" s="6" t="s">
        <v>140</v>
      </c>
      <c r="E823" s="6" t="s">
        <v>90</v>
      </c>
      <c r="F823" s="6" t="s">
        <v>145</v>
      </c>
      <c r="G823" s="6" t="n">
        <v>5</v>
      </c>
      <c r="H823" s="6" t="s">
        <v>80</v>
      </c>
      <c r="I823" s="6" t="s">
        <v>80</v>
      </c>
      <c r="J823" s="6" t="s">
        <v>60</v>
      </c>
      <c r="K823" s="6" t="n">
        <v>59670</v>
      </c>
      <c r="L823" s="6" t="n">
        <v>64255</v>
      </c>
      <c r="M823" s="6" t="s">
        <v>142</v>
      </c>
      <c r="N823" s="6" t="n">
        <v>50</v>
      </c>
      <c r="O823" s="6" t="s">
        <v>58</v>
      </c>
      <c r="P823" s="6" t="n">
        <v>5</v>
      </c>
      <c r="Q823" s="6" t="n">
        <v>-4.42</v>
      </c>
      <c r="R823" s="20" t="n">
        <f aca="false">(L823-K823)/K823</f>
        <v>0.0768392827216357</v>
      </c>
    </row>
    <row r="824" customFormat="false" ht="15" hidden="false" customHeight="false" outlineLevel="0" collapsed="false">
      <c r="A824" s="6" t="s">
        <v>986</v>
      </c>
      <c r="B824" s="6" t="n">
        <v>58</v>
      </c>
      <c r="C824" s="6" t="s">
        <v>134</v>
      </c>
      <c r="D824" s="6" t="s">
        <v>144</v>
      </c>
      <c r="E824" s="6" t="s">
        <v>87</v>
      </c>
      <c r="F824" s="6" t="s">
        <v>160</v>
      </c>
      <c r="G824" s="6" t="n">
        <v>36</v>
      </c>
      <c r="H824" s="6" t="s">
        <v>81</v>
      </c>
      <c r="I824" s="6" t="s">
        <v>81</v>
      </c>
      <c r="J824" s="6" t="s">
        <v>60</v>
      </c>
      <c r="K824" s="6" t="n">
        <v>96985</v>
      </c>
      <c r="L824" s="6" t="n">
        <v>93676</v>
      </c>
      <c r="M824" s="6" t="s">
        <v>146</v>
      </c>
      <c r="N824" s="6" t="n">
        <v>38</v>
      </c>
      <c r="O824" s="6" t="s">
        <v>60</v>
      </c>
      <c r="P824" s="6" t="n">
        <v>8</v>
      </c>
      <c r="Q824" s="6" t="n">
        <v>-19.99</v>
      </c>
      <c r="R824" s="20" t="n">
        <f aca="false">(L824-K824)/K824</f>
        <v>-0.0341186781461051</v>
      </c>
    </row>
    <row r="825" customFormat="false" ht="15" hidden="false" customHeight="false" outlineLevel="0" collapsed="false">
      <c r="A825" s="6" t="s">
        <v>987</v>
      </c>
      <c r="B825" s="6" t="n">
        <v>43</v>
      </c>
      <c r="C825" s="6" t="s">
        <v>134</v>
      </c>
      <c r="D825" s="6" t="s">
        <v>148</v>
      </c>
      <c r="E825" s="6" t="s">
        <v>93</v>
      </c>
      <c r="F825" s="6" t="s">
        <v>164</v>
      </c>
      <c r="G825" s="6" t="n">
        <v>20</v>
      </c>
      <c r="H825" s="6" t="s">
        <v>80</v>
      </c>
      <c r="I825" s="6" t="s">
        <v>82</v>
      </c>
      <c r="J825" s="6" t="s">
        <v>60</v>
      </c>
      <c r="K825" s="6" t="n">
        <v>75212</v>
      </c>
      <c r="L825" s="6" t="n">
        <v>72809</v>
      </c>
      <c r="M825" s="6" t="s">
        <v>142</v>
      </c>
      <c r="N825" s="6" t="n">
        <v>52</v>
      </c>
      <c r="O825" s="6" t="s">
        <v>58</v>
      </c>
      <c r="P825" s="6" t="n">
        <v>9</v>
      </c>
      <c r="Q825" s="6" t="n">
        <v>-15.94</v>
      </c>
      <c r="R825" s="20" t="n">
        <f aca="false">(L825-K825)/K825</f>
        <v>-0.0319496888794341</v>
      </c>
    </row>
    <row r="826" customFormat="false" ht="15" hidden="false" customHeight="false" outlineLevel="0" collapsed="false">
      <c r="A826" s="6" t="s">
        <v>988</v>
      </c>
      <c r="B826" s="6" t="n">
        <v>22</v>
      </c>
      <c r="C826" s="6" t="s">
        <v>139</v>
      </c>
      <c r="D826" s="6" t="s">
        <v>140</v>
      </c>
      <c r="E826" s="6" t="s">
        <v>88</v>
      </c>
      <c r="F826" s="6" t="s">
        <v>179</v>
      </c>
      <c r="G826" s="6" t="n">
        <v>0</v>
      </c>
      <c r="H826" s="6" t="s">
        <v>81</v>
      </c>
      <c r="I826" s="6" t="s">
        <v>82</v>
      </c>
      <c r="J826" s="6" t="s">
        <v>60</v>
      </c>
      <c r="K826" s="6" t="n">
        <v>30215</v>
      </c>
      <c r="L826" s="6" t="n">
        <v>29982</v>
      </c>
      <c r="M826" s="6" t="s">
        <v>142</v>
      </c>
      <c r="N826" s="6" t="n">
        <v>45</v>
      </c>
      <c r="O826" s="6" t="s">
        <v>60</v>
      </c>
      <c r="P826" s="6" t="n">
        <v>5</v>
      </c>
      <c r="Q826" s="6" t="n">
        <v>-5.47</v>
      </c>
      <c r="R826" s="20" t="n">
        <f aca="false">(L826-K826)/K826</f>
        <v>-0.00771140162171107</v>
      </c>
    </row>
    <row r="827" customFormat="false" ht="15" hidden="false" customHeight="false" outlineLevel="0" collapsed="false">
      <c r="A827" s="6" t="s">
        <v>989</v>
      </c>
      <c r="B827" s="6" t="n">
        <v>53</v>
      </c>
      <c r="C827" s="6" t="s">
        <v>159</v>
      </c>
      <c r="D827" s="6" t="s">
        <v>144</v>
      </c>
      <c r="E827" s="6" t="s">
        <v>87</v>
      </c>
      <c r="F827" s="6" t="s">
        <v>149</v>
      </c>
      <c r="G827" s="6" t="n">
        <v>31</v>
      </c>
      <c r="H827" s="6" t="s">
        <v>81</v>
      </c>
      <c r="I827" s="6" t="s">
        <v>81</v>
      </c>
      <c r="J827" s="6" t="s">
        <v>60</v>
      </c>
      <c r="K827" s="6" t="n">
        <v>40345</v>
      </c>
      <c r="L827" s="6" t="n">
        <v>37649</v>
      </c>
      <c r="M827" s="6" t="s">
        <v>146</v>
      </c>
      <c r="N827" s="6" t="n">
        <v>40</v>
      </c>
      <c r="O827" s="6" t="s">
        <v>60</v>
      </c>
      <c r="P827" s="6" t="n">
        <v>8</v>
      </c>
      <c r="Q827" s="6" t="n">
        <v>-17.86</v>
      </c>
      <c r="R827" s="20" t="n">
        <f aca="false">(L827-K827)/K827</f>
        <v>-0.0668236460527946</v>
      </c>
    </row>
    <row r="828" customFormat="false" ht="15" hidden="false" customHeight="false" outlineLevel="0" collapsed="false">
      <c r="A828" s="6" t="s">
        <v>990</v>
      </c>
      <c r="B828" s="6" t="n">
        <v>37</v>
      </c>
      <c r="C828" s="6" t="s">
        <v>139</v>
      </c>
      <c r="D828" s="6" t="s">
        <v>135</v>
      </c>
      <c r="E828" s="6" t="s">
        <v>89</v>
      </c>
      <c r="F828" s="6" t="s">
        <v>151</v>
      </c>
      <c r="G828" s="6" t="n">
        <v>14</v>
      </c>
      <c r="H828" s="6" t="s">
        <v>80</v>
      </c>
      <c r="I828" s="6" t="s">
        <v>81</v>
      </c>
      <c r="J828" s="6" t="s">
        <v>60</v>
      </c>
      <c r="K828" s="6" t="n">
        <v>101537</v>
      </c>
      <c r="L828" s="6" t="n">
        <v>99352</v>
      </c>
      <c r="M828" s="6" t="s">
        <v>146</v>
      </c>
      <c r="N828" s="6" t="n">
        <v>47</v>
      </c>
      <c r="O828" s="6" t="s">
        <v>60</v>
      </c>
      <c r="P828" s="6" t="n">
        <v>4</v>
      </c>
      <c r="Q828" s="6" t="n">
        <v>-17.66</v>
      </c>
      <c r="R828" s="20" t="n">
        <f aca="false">(L828-K828)/K828</f>
        <v>-0.0215192491407073</v>
      </c>
    </row>
    <row r="829" customFormat="false" ht="15" hidden="false" customHeight="false" outlineLevel="0" collapsed="false">
      <c r="A829" s="6" t="s">
        <v>991</v>
      </c>
      <c r="B829" s="6" t="n">
        <v>34</v>
      </c>
      <c r="C829" s="6" t="s">
        <v>139</v>
      </c>
      <c r="D829" s="6" t="s">
        <v>140</v>
      </c>
      <c r="E829" s="6" t="s">
        <v>89</v>
      </c>
      <c r="F829" s="6" t="s">
        <v>151</v>
      </c>
      <c r="G829" s="6" t="n">
        <v>12</v>
      </c>
      <c r="H829" s="6" t="s">
        <v>80</v>
      </c>
      <c r="I829" s="6" t="s">
        <v>81</v>
      </c>
      <c r="J829" s="6" t="s">
        <v>58</v>
      </c>
      <c r="K829" s="6" t="n">
        <v>30228</v>
      </c>
      <c r="L829" s="6" t="n">
        <v>31829</v>
      </c>
      <c r="M829" s="6" t="s">
        <v>146</v>
      </c>
      <c r="N829" s="6" t="n">
        <v>51</v>
      </c>
      <c r="O829" s="6" t="s">
        <v>60</v>
      </c>
      <c r="P829" s="6" t="n">
        <v>9</v>
      </c>
      <c r="Q829" s="6" t="n">
        <v>28.9</v>
      </c>
      <c r="R829" s="20" t="n">
        <f aca="false">(L829-K829)/K829</f>
        <v>0.0529641392086807</v>
      </c>
    </row>
    <row r="830" customFormat="false" ht="15" hidden="false" customHeight="false" outlineLevel="0" collapsed="false">
      <c r="A830" s="6" t="s">
        <v>992</v>
      </c>
      <c r="B830" s="6" t="n">
        <v>39</v>
      </c>
      <c r="C830" s="6" t="s">
        <v>134</v>
      </c>
      <c r="D830" s="6" t="s">
        <v>148</v>
      </c>
      <c r="E830" s="6" t="s">
        <v>87</v>
      </c>
      <c r="F830" s="6" t="s">
        <v>160</v>
      </c>
      <c r="G830" s="6" t="n">
        <v>15</v>
      </c>
      <c r="H830" s="6" t="s">
        <v>81</v>
      </c>
      <c r="I830" s="6" t="s">
        <v>81</v>
      </c>
      <c r="J830" s="6" t="s">
        <v>60</v>
      </c>
      <c r="K830" s="6" t="n">
        <v>93261</v>
      </c>
      <c r="L830" s="6" t="n">
        <v>105703</v>
      </c>
      <c r="M830" s="6" t="s">
        <v>146</v>
      </c>
      <c r="N830" s="6" t="n">
        <v>37</v>
      </c>
      <c r="O830" s="6" t="s">
        <v>58</v>
      </c>
      <c r="P830" s="6" t="n">
        <v>9</v>
      </c>
      <c r="Q830" s="6" t="n">
        <v>7.64</v>
      </c>
      <c r="R830" s="20" t="n">
        <f aca="false">(L830-K830)/K830</f>
        <v>0.13341053602256</v>
      </c>
    </row>
    <row r="831" customFormat="false" ht="15" hidden="false" customHeight="false" outlineLevel="0" collapsed="false">
      <c r="A831" s="6" t="s">
        <v>993</v>
      </c>
      <c r="B831" s="6" t="n">
        <v>39</v>
      </c>
      <c r="C831" s="6" t="s">
        <v>139</v>
      </c>
      <c r="D831" s="6" t="s">
        <v>140</v>
      </c>
      <c r="E831" s="6" t="s">
        <v>88</v>
      </c>
      <c r="F831" s="6" t="s">
        <v>157</v>
      </c>
      <c r="G831" s="6" t="n">
        <v>16</v>
      </c>
      <c r="H831" s="6" t="s">
        <v>80</v>
      </c>
      <c r="I831" s="6" t="s">
        <v>80</v>
      </c>
      <c r="J831" s="6" t="s">
        <v>60</v>
      </c>
      <c r="K831" s="6" t="n">
        <v>119862</v>
      </c>
      <c r="L831" s="6" t="n">
        <v>127435</v>
      </c>
      <c r="M831" s="6" t="s">
        <v>142</v>
      </c>
      <c r="N831" s="6" t="n">
        <v>35</v>
      </c>
      <c r="O831" s="6" t="s">
        <v>60</v>
      </c>
      <c r="P831" s="6" t="n">
        <v>6</v>
      </c>
      <c r="Q831" s="6" t="n">
        <v>-5.08</v>
      </c>
      <c r="R831" s="20" t="n">
        <f aca="false">(L831-K831)/K831</f>
        <v>0.0631809914735279</v>
      </c>
    </row>
    <row r="832" customFormat="false" ht="15" hidden="false" customHeight="false" outlineLevel="0" collapsed="false">
      <c r="A832" s="6" t="s">
        <v>994</v>
      </c>
      <c r="B832" s="6" t="n">
        <v>50</v>
      </c>
      <c r="C832" s="6" t="s">
        <v>134</v>
      </c>
      <c r="D832" s="6" t="s">
        <v>135</v>
      </c>
      <c r="E832" s="6" t="s">
        <v>92</v>
      </c>
      <c r="F832" s="6" t="s">
        <v>222</v>
      </c>
      <c r="G832" s="6" t="n">
        <v>24</v>
      </c>
      <c r="H832" s="6" t="s">
        <v>82</v>
      </c>
      <c r="I832" s="6" t="s">
        <v>81</v>
      </c>
      <c r="J832" s="6" t="s">
        <v>58</v>
      </c>
      <c r="K832" s="6" t="n">
        <v>92894</v>
      </c>
      <c r="L832" s="6" t="n">
        <v>96803</v>
      </c>
      <c r="M832" s="6" t="s">
        <v>146</v>
      </c>
      <c r="N832" s="6" t="n">
        <v>53</v>
      </c>
      <c r="O832" s="6" t="s">
        <v>60</v>
      </c>
      <c r="P832" s="6" t="n">
        <v>8</v>
      </c>
      <c r="Q832" s="6" t="n">
        <v>-5.91</v>
      </c>
      <c r="R832" s="20" t="n">
        <f aca="false">(L832-K832)/K832</f>
        <v>0.042080220466338</v>
      </c>
    </row>
    <row r="833" customFormat="false" ht="15" hidden="false" customHeight="false" outlineLevel="0" collapsed="false">
      <c r="A833" s="6" t="s">
        <v>995</v>
      </c>
      <c r="B833" s="6" t="n">
        <v>41</v>
      </c>
      <c r="C833" s="6" t="s">
        <v>159</v>
      </c>
      <c r="D833" s="6" t="s">
        <v>135</v>
      </c>
      <c r="E833" s="6" t="s">
        <v>89</v>
      </c>
      <c r="F833" s="6" t="s">
        <v>162</v>
      </c>
      <c r="G833" s="6" t="n">
        <v>17</v>
      </c>
      <c r="H833" s="6" t="s">
        <v>82</v>
      </c>
      <c r="I833" s="6" t="s">
        <v>81</v>
      </c>
      <c r="J833" s="6" t="s">
        <v>58</v>
      </c>
      <c r="K833" s="6" t="n">
        <v>107733</v>
      </c>
      <c r="L833" s="6" t="n">
        <v>150301</v>
      </c>
      <c r="M833" s="6" t="s">
        <v>146</v>
      </c>
      <c r="N833" s="6" t="n">
        <v>51</v>
      </c>
      <c r="O833" s="6" t="s">
        <v>58</v>
      </c>
      <c r="P833" s="6" t="n">
        <v>9</v>
      </c>
      <c r="Q833" s="6" t="n">
        <v>37.08</v>
      </c>
      <c r="R833" s="20" t="n">
        <f aca="false">(L833-K833)/K833</f>
        <v>0.395124984916414</v>
      </c>
    </row>
    <row r="834" customFormat="false" ht="15" hidden="false" customHeight="false" outlineLevel="0" collapsed="false">
      <c r="A834" s="6" t="s">
        <v>996</v>
      </c>
      <c r="B834" s="6" t="n">
        <v>28</v>
      </c>
      <c r="C834" s="6" t="s">
        <v>139</v>
      </c>
      <c r="D834" s="6" t="s">
        <v>140</v>
      </c>
      <c r="E834" s="6" t="s">
        <v>87</v>
      </c>
      <c r="F834" s="6" t="s">
        <v>149</v>
      </c>
      <c r="G834" s="6" t="n">
        <v>4</v>
      </c>
      <c r="H834" s="6" t="s">
        <v>81</v>
      </c>
      <c r="I834" s="6" t="s">
        <v>82</v>
      </c>
      <c r="J834" s="6" t="s">
        <v>58</v>
      </c>
      <c r="K834" s="6" t="n">
        <v>62574</v>
      </c>
      <c r="L834" s="6" t="n">
        <v>57469</v>
      </c>
      <c r="M834" s="6" t="s">
        <v>142</v>
      </c>
      <c r="N834" s="6" t="n">
        <v>45</v>
      </c>
      <c r="O834" s="6" t="s">
        <v>60</v>
      </c>
      <c r="P834" s="6" t="n">
        <v>6</v>
      </c>
      <c r="Q834" s="6" t="n">
        <v>-6.56</v>
      </c>
      <c r="R834" s="20" t="n">
        <f aca="false">(L834-K834)/K834</f>
        <v>-0.0815834052481862</v>
      </c>
    </row>
    <row r="835" customFormat="false" ht="15" hidden="false" customHeight="false" outlineLevel="0" collapsed="false">
      <c r="A835" s="6" t="s">
        <v>997</v>
      </c>
      <c r="B835" s="6" t="n">
        <v>50</v>
      </c>
      <c r="C835" s="6" t="s">
        <v>134</v>
      </c>
      <c r="D835" s="6" t="s">
        <v>135</v>
      </c>
      <c r="E835" s="6" t="s">
        <v>87</v>
      </c>
      <c r="F835" s="6" t="s">
        <v>155</v>
      </c>
      <c r="G835" s="6" t="n">
        <v>26</v>
      </c>
      <c r="H835" s="6" t="s">
        <v>81</v>
      </c>
      <c r="I835" s="6" t="s">
        <v>80</v>
      </c>
      <c r="J835" s="6" t="s">
        <v>60</v>
      </c>
      <c r="K835" s="6" t="n">
        <v>102104</v>
      </c>
      <c r="L835" s="6" t="n">
        <v>108343</v>
      </c>
      <c r="M835" s="6" t="s">
        <v>142</v>
      </c>
      <c r="N835" s="6" t="n">
        <v>50</v>
      </c>
      <c r="O835" s="6" t="s">
        <v>58</v>
      </c>
      <c r="P835" s="6" t="n">
        <v>4</v>
      </c>
      <c r="Q835" s="6" t="n">
        <v>30.4</v>
      </c>
      <c r="R835" s="20" t="n">
        <f aca="false">(L835-K835)/K835</f>
        <v>0.0611043641777012</v>
      </c>
    </row>
    <row r="836" customFormat="false" ht="15" hidden="false" customHeight="false" outlineLevel="0" collapsed="false">
      <c r="A836" s="6" t="s">
        <v>998</v>
      </c>
      <c r="B836" s="6" t="n">
        <v>38</v>
      </c>
      <c r="C836" s="6" t="s">
        <v>159</v>
      </c>
      <c r="D836" s="6" t="s">
        <v>140</v>
      </c>
      <c r="E836" s="6" t="s">
        <v>91</v>
      </c>
      <c r="F836" s="6" t="s">
        <v>141</v>
      </c>
      <c r="G836" s="6" t="n">
        <v>16</v>
      </c>
      <c r="H836" s="6" t="s">
        <v>82</v>
      </c>
      <c r="I836" s="6" t="s">
        <v>80</v>
      </c>
      <c r="J836" s="6" t="s">
        <v>60</v>
      </c>
      <c r="K836" s="6" t="n">
        <v>96766</v>
      </c>
      <c r="L836" s="6" t="n">
        <v>122882</v>
      </c>
      <c r="M836" s="6" t="s">
        <v>142</v>
      </c>
      <c r="N836" s="6" t="n">
        <v>53</v>
      </c>
      <c r="O836" s="6" t="s">
        <v>58</v>
      </c>
      <c r="P836" s="6" t="n">
        <v>3</v>
      </c>
      <c r="Q836" s="6" t="n">
        <v>-12.65</v>
      </c>
      <c r="R836" s="20" t="n">
        <f aca="false">(L836-K836)/K836</f>
        <v>0.269888183866234</v>
      </c>
    </row>
    <row r="837" customFormat="false" ht="15" hidden="false" customHeight="false" outlineLevel="0" collapsed="false">
      <c r="A837" s="6" t="s">
        <v>999</v>
      </c>
      <c r="B837" s="6" t="n">
        <v>55</v>
      </c>
      <c r="C837" s="6" t="s">
        <v>139</v>
      </c>
      <c r="D837" s="6" t="s">
        <v>135</v>
      </c>
      <c r="E837" s="6" t="s">
        <v>92</v>
      </c>
      <c r="F837" s="6" t="s">
        <v>192</v>
      </c>
      <c r="G837" s="6" t="n">
        <v>31</v>
      </c>
      <c r="H837" s="6" t="s">
        <v>82</v>
      </c>
      <c r="I837" s="6" t="s">
        <v>82</v>
      </c>
      <c r="J837" s="6" t="s">
        <v>60</v>
      </c>
      <c r="K837" s="6" t="n">
        <v>48300</v>
      </c>
      <c r="L837" s="6" t="n">
        <v>39878</v>
      </c>
      <c r="M837" s="6" t="s">
        <v>137</v>
      </c>
      <c r="N837" s="6" t="n">
        <v>40</v>
      </c>
      <c r="O837" s="6" t="s">
        <v>60</v>
      </c>
      <c r="P837" s="6" t="n">
        <v>7</v>
      </c>
      <c r="Q837" s="6" t="n">
        <v>31.88</v>
      </c>
      <c r="R837" s="20" t="n">
        <f aca="false">(L837-K837)/K837</f>
        <v>-0.174368530020704</v>
      </c>
    </row>
    <row r="838" customFormat="false" ht="15" hidden="false" customHeight="false" outlineLevel="0" collapsed="false">
      <c r="A838" s="6" t="s">
        <v>1000</v>
      </c>
      <c r="B838" s="6" t="n">
        <v>22</v>
      </c>
      <c r="C838" s="6" t="s">
        <v>139</v>
      </c>
      <c r="D838" s="6" t="s">
        <v>144</v>
      </c>
      <c r="E838" s="6" t="s">
        <v>91</v>
      </c>
      <c r="F838" s="6" t="s">
        <v>206</v>
      </c>
      <c r="G838" s="6" t="n">
        <v>0</v>
      </c>
      <c r="H838" s="6" t="s">
        <v>80</v>
      </c>
      <c r="I838" s="6" t="s">
        <v>82</v>
      </c>
      <c r="J838" s="6" t="s">
        <v>58</v>
      </c>
      <c r="K838" s="6" t="n">
        <v>85514</v>
      </c>
      <c r="L838" s="6" t="n">
        <v>90703</v>
      </c>
      <c r="M838" s="6" t="s">
        <v>142</v>
      </c>
      <c r="N838" s="6" t="n">
        <v>42</v>
      </c>
      <c r="O838" s="6" t="s">
        <v>58</v>
      </c>
      <c r="P838" s="6" t="n">
        <v>4</v>
      </c>
      <c r="Q838" s="6" t="n">
        <v>-11.66</v>
      </c>
      <c r="R838" s="20" t="n">
        <f aca="false">(L838-K838)/K838</f>
        <v>0.0606801225530323</v>
      </c>
    </row>
    <row r="839" customFormat="false" ht="15" hidden="false" customHeight="false" outlineLevel="0" collapsed="false">
      <c r="A839" s="6" t="s">
        <v>1001</v>
      </c>
      <c r="B839" s="6" t="n">
        <v>37</v>
      </c>
      <c r="C839" s="6" t="s">
        <v>139</v>
      </c>
      <c r="D839" s="6" t="s">
        <v>144</v>
      </c>
      <c r="E839" s="6" t="s">
        <v>87</v>
      </c>
      <c r="F839" s="6" t="s">
        <v>160</v>
      </c>
      <c r="G839" s="6" t="n">
        <v>12</v>
      </c>
      <c r="H839" s="6" t="s">
        <v>82</v>
      </c>
      <c r="I839" s="6" t="s">
        <v>80</v>
      </c>
      <c r="J839" s="6" t="s">
        <v>58</v>
      </c>
      <c r="K839" s="6" t="n">
        <v>42352</v>
      </c>
      <c r="L839" s="6" t="n">
        <v>55136</v>
      </c>
      <c r="M839" s="6" t="s">
        <v>142</v>
      </c>
      <c r="N839" s="6" t="n">
        <v>51</v>
      </c>
      <c r="O839" s="6" t="s">
        <v>58</v>
      </c>
      <c r="P839" s="6" t="n">
        <v>3</v>
      </c>
      <c r="Q839" s="6" t="n">
        <v>10.15</v>
      </c>
      <c r="R839" s="20" t="n">
        <f aca="false">(L839-K839)/K839</f>
        <v>0.301851152247828</v>
      </c>
    </row>
    <row r="840" customFormat="false" ht="15" hidden="false" customHeight="false" outlineLevel="0" collapsed="false">
      <c r="A840" s="6" t="s">
        <v>1002</v>
      </c>
      <c r="B840" s="6" t="n">
        <v>44</v>
      </c>
      <c r="C840" s="6" t="s">
        <v>139</v>
      </c>
      <c r="D840" s="6" t="s">
        <v>135</v>
      </c>
      <c r="E840" s="6" t="s">
        <v>92</v>
      </c>
      <c r="F840" s="6" t="s">
        <v>222</v>
      </c>
      <c r="G840" s="6" t="n">
        <v>19</v>
      </c>
      <c r="H840" s="6" t="s">
        <v>81</v>
      </c>
      <c r="I840" s="6" t="s">
        <v>80</v>
      </c>
      <c r="J840" s="6" t="s">
        <v>58</v>
      </c>
      <c r="K840" s="6" t="n">
        <v>49782</v>
      </c>
      <c r="L840" s="6" t="n">
        <v>52326</v>
      </c>
      <c r="M840" s="6" t="s">
        <v>142</v>
      </c>
      <c r="N840" s="6" t="n">
        <v>47</v>
      </c>
      <c r="O840" s="6" t="s">
        <v>58</v>
      </c>
      <c r="P840" s="6" t="n">
        <v>6</v>
      </c>
      <c r="Q840" s="6" t="n">
        <v>32.7</v>
      </c>
      <c r="R840" s="20" t="n">
        <f aca="false">(L840-K840)/K840</f>
        <v>0.0511028082439436</v>
      </c>
    </row>
    <row r="841" customFormat="false" ht="15" hidden="false" customHeight="false" outlineLevel="0" collapsed="false">
      <c r="A841" s="6" t="s">
        <v>1003</v>
      </c>
      <c r="B841" s="6" t="n">
        <v>35</v>
      </c>
      <c r="C841" s="6" t="s">
        <v>134</v>
      </c>
      <c r="D841" s="6" t="s">
        <v>144</v>
      </c>
      <c r="E841" s="6" t="s">
        <v>90</v>
      </c>
      <c r="F841" s="6" t="s">
        <v>145</v>
      </c>
      <c r="G841" s="6" t="n">
        <v>11</v>
      </c>
      <c r="H841" s="6" t="s">
        <v>80</v>
      </c>
      <c r="I841" s="6" t="s">
        <v>82</v>
      </c>
      <c r="J841" s="6" t="s">
        <v>60</v>
      </c>
      <c r="K841" s="6" t="n">
        <v>62769</v>
      </c>
      <c r="L841" s="6" t="n">
        <v>61208</v>
      </c>
      <c r="M841" s="6" t="s">
        <v>142</v>
      </c>
      <c r="N841" s="6" t="n">
        <v>39</v>
      </c>
      <c r="O841" s="6" t="s">
        <v>58</v>
      </c>
      <c r="P841" s="6" t="n">
        <v>6</v>
      </c>
      <c r="Q841" s="6" t="n">
        <v>-1.38</v>
      </c>
      <c r="R841" s="20" t="n">
        <f aca="false">(L841-K841)/K841</f>
        <v>-0.0248689639790342</v>
      </c>
    </row>
    <row r="842" customFormat="false" ht="15" hidden="false" customHeight="false" outlineLevel="0" collapsed="false">
      <c r="A842" s="6" t="s">
        <v>1004</v>
      </c>
      <c r="B842" s="6" t="n">
        <v>27</v>
      </c>
      <c r="C842" s="6" t="s">
        <v>159</v>
      </c>
      <c r="D842" s="6" t="s">
        <v>144</v>
      </c>
      <c r="E842" s="6" t="s">
        <v>87</v>
      </c>
      <c r="F842" s="6" t="s">
        <v>155</v>
      </c>
      <c r="G842" s="6" t="n">
        <v>5</v>
      </c>
      <c r="H842" s="6" t="s">
        <v>80</v>
      </c>
      <c r="I842" s="6" t="s">
        <v>80</v>
      </c>
      <c r="J842" s="6" t="s">
        <v>58</v>
      </c>
      <c r="K842" s="6" t="n">
        <v>38320</v>
      </c>
      <c r="L842" s="6" t="n">
        <v>37299</v>
      </c>
      <c r="M842" s="6" t="s">
        <v>142</v>
      </c>
      <c r="N842" s="6" t="n">
        <v>40</v>
      </c>
      <c r="O842" s="6" t="s">
        <v>58</v>
      </c>
      <c r="P842" s="6" t="n">
        <v>5</v>
      </c>
      <c r="Q842" s="6" t="n">
        <v>12.82</v>
      </c>
      <c r="R842" s="20" t="n">
        <f aca="false">(L842-K842)/K842</f>
        <v>-0.0266440501043841</v>
      </c>
    </row>
    <row r="843" customFormat="false" ht="15" hidden="false" customHeight="false" outlineLevel="0" collapsed="false">
      <c r="A843" s="6" t="s">
        <v>1005</v>
      </c>
      <c r="B843" s="6" t="n">
        <v>39</v>
      </c>
      <c r="C843" s="6" t="s">
        <v>139</v>
      </c>
      <c r="D843" s="6" t="s">
        <v>140</v>
      </c>
      <c r="E843" s="6" t="s">
        <v>91</v>
      </c>
      <c r="F843" s="6" t="s">
        <v>208</v>
      </c>
      <c r="G843" s="6" t="n">
        <v>13</v>
      </c>
      <c r="H843" s="6" t="s">
        <v>82</v>
      </c>
      <c r="I843" s="6" t="s">
        <v>80</v>
      </c>
      <c r="J843" s="6" t="s">
        <v>58</v>
      </c>
      <c r="K843" s="6" t="n">
        <v>106896</v>
      </c>
      <c r="L843" s="6" t="n">
        <v>88070</v>
      </c>
      <c r="M843" s="6" t="s">
        <v>142</v>
      </c>
      <c r="N843" s="6" t="n">
        <v>41</v>
      </c>
      <c r="O843" s="6" t="s">
        <v>58</v>
      </c>
      <c r="P843" s="6" t="n">
        <v>9</v>
      </c>
      <c r="Q843" s="6" t="n">
        <v>-3.56</v>
      </c>
      <c r="R843" s="20" t="n">
        <f aca="false">(L843-K843)/K843</f>
        <v>-0.176115102529561</v>
      </c>
    </row>
    <row r="844" customFormat="false" ht="15" hidden="false" customHeight="false" outlineLevel="0" collapsed="false">
      <c r="A844" s="6" t="s">
        <v>1006</v>
      </c>
      <c r="B844" s="6" t="n">
        <v>48</v>
      </c>
      <c r="C844" s="6" t="s">
        <v>139</v>
      </c>
      <c r="D844" s="6" t="s">
        <v>140</v>
      </c>
      <c r="E844" s="6" t="s">
        <v>93</v>
      </c>
      <c r="F844" s="6" t="s">
        <v>164</v>
      </c>
      <c r="G844" s="6" t="n">
        <v>25</v>
      </c>
      <c r="H844" s="6" t="s">
        <v>81</v>
      </c>
      <c r="I844" s="6" t="s">
        <v>82</v>
      </c>
      <c r="J844" s="6" t="s">
        <v>58</v>
      </c>
      <c r="K844" s="6" t="n">
        <v>69886</v>
      </c>
      <c r="L844" s="6" t="n">
        <v>77565</v>
      </c>
      <c r="M844" s="6" t="s">
        <v>142</v>
      </c>
      <c r="N844" s="6" t="n">
        <v>39</v>
      </c>
      <c r="O844" s="6" t="s">
        <v>60</v>
      </c>
      <c r="P844" s="6" t="n">
        <v>7</v>
      </c>
      <c r="Q844" s="6" t="n">
        <v>31.18</v>
      </c>
      <c r="R844" s="20" t="n">
        <f aca="false">(L844-K844)/K844</f>
        <v>0.109878945711587</v>
      </c>
    </row>
    <row r="845" customFormat="false" ht="15" hidden="false" customHeight="false" outlineLevel="0" collapsed="false">
      <c r="A845" s="6" t="s">
        <v>1007</v>
      </c>
      <c r="B845" s="6" t="n">
        <v>23</v>
      </c>
      <c r="C845" s="6" t="s">
        <v>134</v>
      </c>
      <c r="D845" s="6" t="s">
        <v>135</v>
      </c>
      <c r="E845" s="6" t="s">
        <v>93</v>
      </c>
      <c r="F845" s="6" t="s">
        <v>181</v>
      </c>
      <c r="G845" s="6" t="n">
        <v>0</v>
      </c>
      <c r="H845" s="6" t="s">
        <v>82</v>
      </c>
      <c r="I845" s="6" t="s">
        <v>80</v>
      </c>
      <c r="J845" s="6" t="s">
        <v>60</v>
      </c>
      <c r="K845" s="6" t="n">
        <v>70544</v>
      </c>
      <c r="L845" s="6" t="n">
        <v>77943</v>
      </c>
      <c r="M845" s="6" t="s">
        <v>142</v>
      </c>
      <c r="N845" s="6" t="n">
        <v>50</v>
      </c>
      <c r="O845" s="6" t="s">
        <v>58</v>
      </c>
      <c r="P845" s="6" t="n">
        <v>8</v>
      </c>
      <c r="Q845" s="6" t="n">
        <v>17.21</v>
      </c>
      <c r="R845" s="20" t="n">
        <f aca="false">(L845-K845)/K845</f>
        <v>0.104884894533908</v>
      </c>
    </row>
    <row r="846" customFormat="false" ht="15" hidden="false" customHeight="false" outlineLevel="0" collapsed="false">
      <c r="A846" s="6" t="s">
        <v>1008</v>
      </c>
      <c r="B846" s="6" t="n">
        <v>50</v>
      </c>
      <c r="C846" s="6" t="s">
        <v>134</v>
      </c>
      <c r="D846" s="6" t="s">
        <v>144</v>
      </c>
      <c r="E846" s="6" t="s">
        <v>89</v>
      </c>
      <c r="F846" s="6" t="s">
        <v>151</v>
      </c>
      <c r="G846" s="6" t="n">
        <v>27</v>
      </c>
      <c r="H846" s="6" t="s">
        <v>82</v>
      </c>
      <c r="I846" s="6" t="s">
        <v>80</v>
      </c>
      <c r="J846" s="6" t="s">
        <v>58</v>
      </c>
      <c r="K846" s="6" t="n">
        <v>89470</v>
      </c>
      <c r="L846" s="6" t="n">
        <v>105318</v>
      </c>
      <c r="M846" s="6" t="s">
        <v>142</v>
      </c>
      <c r="N846" s="6" t="n">
        <v>35</v>
      </c>
      <c r="O846" s="6" t="s">
        <v>60</v>
      </c>
      <c r="P846" s="6" t="n">
        <v>3</v>
      </c>
      <c r="Q846" s="6" t="n">
        <v>18</v>
      </c>
      <c r="R846" s="20" t="n">
        <f aca="false">(L846-K846)/K846</f>
        <v>0.177131999552923</v>
      </c>
    </row>
    <row r="847" customFormat="false" ht="15" hidden="false" customHeight="false" outlineLevel="0" collapsed="false">
      <c r="A847" s="6" t="s">
        <v>1009</v>
      </c>
      <c r="B847" s="6" t="n">
        <v>44</v>
      </c>
      <c r="C847" s="6" t="s">
        <v>139</v>
      </c>
      <c r="D847" s="6" t="s">
        <v>144</v>
      </c>
      <c r="E847" s="6" t="s">
        <v>92</v>
      </c>
      <c r="F847" s="6" t="s">
        <v>192</v>
      </c>
      <c r="G847" s="6" t="n">
        <v>20</v>
      </c>
      <c r="H847" s="6" t="s">
        <v>82</v>
      </c>
      <c r="I847" s="6" t="s">
        <v>82</v>
      </c>
      <c r="J847" s="6" t="s">
        <v>58</v>
      </c>
      <c r="K847" s="6" t="n">
        <v>86633</v>
      </c>
      <c r="L847" s="6" t="n">
        <v>101816</v>
      </c>
      <c r="M847" s="6" t="s">
        <v>137</v>
      </c>
      <c r="N847" s="6" t="n">
        <v>41</v>
      </c>
      <c r="O847" s="6" t="s">
        <v>58</v>
      </c>
      <c r="P847" s="6" t="n">
        <v>3</v>
      </c>
      <c r="Q847" s="6" t="n">
        <v>28.5</v>
      </c>
      <c r="R847" s="20" t="n">
        <f aca="false">(L847-K847)/K847</f>
        <v>0.175256541964378</v>
      </c>
    </row>
    <row r="848" customFormat="false" ht="15" hidden="false" customHeight="false" outlineLevel="0" collapsed="false">
      <c r="A848" s="6" t="s">
        <v>1010</v>
      </c>
      <c r="B848" s="6" t="n">
        <v>22</v>
      </c>
      <c r="C848" s="6" t="s">
        <v>159</v>
      </c>
      <c r="D848" s="6" t="s">
        <v>135</v>
      </c>
      <c r="E848" s="6" t="s">
        <v>93</v>
      </c>
      <c r="F848" s="6" t="s">
        <v>181</v>
      </c>
      <c r="G848" s="6" t="n">
        <v>0</v>
      </c>
      <c r="H848" s="6" t="s">
        <v>81</v>
      </c>
      <c r="I848" s="6" t="s">
        <v>82</v>
      </c>
      <c r="J848" s="6" t="s">
        <v>58</v>
      </c>
      <c r="K848" s="6" t="n">
        <v>85565</v>
      </c>
      <c r="L848" s="6" t="n">
        <v>94243</v>
      </c>
      <c r="M848" s="6" t="s">
        <v>142</v>
      </c>
      <c r="N848" s="6" t="n">
        <v>44</v>
      </c>
      <c r="O848" s="6" t="s">
        <v>60</v>
      </c>
      <c r="P848" s="6" t="n">
        <v>9</v>
      </c>
      <c r="Q848" s="6" t="n">
        <v>35.58</v>
      </c>
      <c r="R848" s="20" t="n">
        <f aca="false">(L848-K848)/K848</f>
        <v>0.10141997311985</v>
      </c>
    </row>
    <row r="849" customFormat="false" ht="15" hidden="false" customHeight="false" outlineLevel="0" collapsed="false">
      <c r="A849" s="6" t="s">
        <v>1011</v>
      </c>
      <c r="B849" s="6" t="n">
        <v>47</v>
      </c>
      <c r="C849" s="6" t="s">
        <v>134</v>
      </c>
      <c r="D849" s="6" t="s">
        <v>135</v>
      </c>
      <c r="E849" s="6" t="s">
        <v>93</v>
      </c>
      <c r="F849" s="6" t="s">
        <v>197</v>
      </c>
      <c r="G849" s="6" t="n">
        <v>24</v>
      </c>
      <c r="H849" s="6" t="s">
        <v>82</v>
      </c>
      <c r="I849" s="6" t="s">
        <v>80</v>
      </c>
      <c r="J849" s="6" t="s">
        <v>60</v>
      </c>
      <c r="K849" s="6" t="n">
        <v>85421</v>
      </c>
      <c r="L849" s="6" t="n">
        <v>80731</v>
      </c>
      <c r="M849" s="6" t="s">
        <v>142</v>
      </c>
      <c r="N849" s="6" t="n">
        <v>53</v>
      </c>
      <c r="O849" s="6" t="s">
        <v>58</v>
      </c>
      <c r="P849" s="6" t="n">
        <v>9</v>
      </c>
      <c r="Q849" s="6" t="n">
        <v>5.56</v>
      </c>
      <c r="R849" s="20" t="n">
        <f aca="false">(L849-K849)/K849</f>
        <v>-0.0549045316725395</v>
      </c>
    </row>
    <row r="850" customFormat="false" ht="15" hidden="false" customHeight="false" outlineLevel="0" collapsed="false">
      <c r="A850" s="6" t="s">
        <v>1012</v>
      </c>
      <c r="B850" s="6" t="n">
        <v>33</v>
      </c>
      <c r="C850" s="6" t="s">
        <v>159</v>
      </c>
      <c r="D850" s="6" t="s">
        <v>144</v>
      </c>
      <c r="E850" s="6" t="s">
        <v>91</v>
      </c>
      <c r="F850" s="6" t="s">
        <v>208</v>
      </c>
      <c r="G850" s="6" t="n">
        <v>11</v>
      </c>
      <c r="H850" s="6" t="s">
        <v>82</v>
      </c>
      <c r="I850" s="6" t="s">
        <v>80</v>
      </c>
      <c r="J850" s="6" t="s">
        <v>60</v>
      </c>
      <c r="K850" s="6" t="n">
        <v>118095</v>
      </c>
      <c r="L850" s="6" t="n">
        <v>120161</v>
      </c>
      <c r="M850" s="6" t="s">
        <v>142</v>
      </c>
      <c r="N850" s="6" t="n">
        <v>51</v>
      </c>
      <c r="O850" s="6" t="s">
        <v>58</v>
      </c>
      <c r="P850" s="6" t="n">
        <v>8</v>
      </c>
      <c r="Q850" s="6" t="n">
        <v>29.44</v>
      </c>
      <c r="R850" s="20" t="n">
        <f aca="false">(L850-K850)/K850</f>
        <v>0.0174943901096575</v>
      </c>
    </row>
    <row r="851" customFormat="false" ht="15" hidden="false" customHeight="false" outlineLevel="0" collapsed="false">
      <c r="A851" s="6" t="s">
        <v>1013</v>
      </c>
      <c r="B851" s="6" t="n">
        <v>23</v>
      </c>
      <c r="C851" s="6" t="s">
        <v>134</v>
      </c>
      <c r="D851" s="6" t="s">
        <v>148</v>
      </c>
      <c r="E851" s="6" t="s">
        <v>90</v>
      </c>
      <c r="F851" s="6" t="s">
        <v>145</v>
      </c>
      <c r="G851" s="6" t="n">
        <v>0</v>
      </c>
      <c r="H851" s="6" t="s">
        <v>80</v>
      </c>
      <c r="I851" s="6" t="s">
        <v>80</v>
      </c>
      <c r="J851" s="6" t="s">
        <v>58</v>
      </c>
      <c r="K851" s="6" t="n">
        <v>118177</v>
      </c>
      <c r="L851" s="6" t="n">
        <v>127932</v>
      </c>
      <c r="M851" s="6" t="s">
        <v>142</v>
      </c>
      <c r="N851" s="6" t="n">
        <v>35</v>
      </c>
      <c r="O851" s="6" t="s">
        <v>58</v>
      </c>
      <c r="P851" s="6" t="n">
        <v>5</v>
      </c>
      <c r="Q851" s="6" t="n">
        <v>0.58</v>
      </c>
      <c r="R851" s="20" t="n">
        <f aca="false">(L851-K851)/K851</f>
        <v>0.0825456730158999</v>
      </c>
    </row>
    <row r="852" customFormat="false" ht="15" hidden="false" customHeight="false" outlineLevel="0" collapsed="false">
      <c r="A852" s="6" t="s">
        <v>1014</v>
      </c>
      <c r="B852" s="6" t="n">
        <v>31</v>
      </c>
      <c r="C852" s="6" t="s">
        <v>139</v>
      </c>
      <c r="D852" s="6" t="s">
        <v>148</v>
      </c>
      <c r="E852" s="6" t="s">
        <v>90</v>
      </c>
      <c r="F852" s="6" t="s">
        <v>202</v>
      </c>
      <c r="G852" s="6" t="n">
        <v>9</v>
      </c>
      <c r="H852" s="6" t="s">
        <v>81</v>
      </c>
      <c r="I852" s="6" t="s">
        <v>82</v>
      </c>
      <c r="J852" s="6" t="s">
        <v>58</v>
      </c>
      <c r="K852" s="6" t="n">
        <v>75156</v>
      </c>
      <c r="L852" s="6" t="n">
        <v>75766</v>
      </c>
      <c r="M852" s="6" t="s">
        <v>142</v>
      </c>
      <c r="N852" s="6" t="n">
        <v>43</v>
      </c>
      <c r="O852" s="6" t="s">
        <v>58</v>
      </c>
      <c r="P852" s="6" t="n">
        <v>7</v>
      </c>
      <c r="Q852" s="6" t="n">
        <v>-14.78</v>
      </c>
      <c r="R852" s="20" t="n">
        <f aca="false">(L852-K852)/K852</f>
        <v>0.0081164511150141</v>
      </c>
    </row>
    <row r="853" customFormat="false" ht="15" hidden="false" customHeight="false" outlineLevel="0" collapsed="false">
      <c r="A853" s="6" t="s">
        <v>1015</v>
      </c>
      <c r="B853" s="6" t="n">
        <v>45</v>
      </c>
      <c r="C853" s="6" t="s">
        <v>139</v>
      </c>
      <c r="D853" s="6" t="s">
        <v>148</v>
      </c>
      <c r="E853" s="6" t="s">
        <v>92</v>
      </c>
      <c r="F853" s="6" t="s">
        <v>222</v>
      </c>
      <c r="G853" s="6" t="n">
        <v>23</v>
      </c>
      <c r="H853" s="6" t="s">
        <v>81</v>
      </c>
      <c r="I853" s="6" t="s">
        <v>81</v>
      </c>
      <c r="J853" s="6" t="s">
        <v>60</v>
      </c>
      <c r="K853" s="6" t="n">
        <v>61376</v>
      </c>
      <c r="L853" s="6" t="n">
        <v>59502</v>
      </c>
      <c r="M853" s="6" t="s">
        <v>146</v>
      </c>
      <c r="N853" s="6" t="n">
        <v>43</v>
      </c>
      <c r="O853" s="6" t="s">
        <v>58</v>
      </c>
      <c r="P853" s="6" t="n">
        <v>6</v>
      </c>
      <c r="Q853" s="6" t="n">
        <v>30.94</v>
      </c>
      <c r="R853" s="20" t="n">
        <f aca="false">(L853-K853)/K853</f>
        <v>-0.0305331074035454</v>
      </c>
    </row>
    <row r="854" customFormat="false" ht="15" hidden="false" customHeight="false" outlineLevel="0" collapsed="false">
      <c r="A854" s="6" t="s">
        <v>1016</v>
      </c>
      <c r="B854" s="6" t="n">
        <v>38</v>
      </c>
      <c r="C854" s="6" t="s">
        <v>134</v>
      </c>
      <c r="D854" s="6" t="s">
        <v>144</v>
      </c>
      <c r="E854" s="6" t="s">
        <v>87</v>
      </c>
      <c r="F854" s="6" t="s">
        <v>155</v>
      </c>
      <c r="G854" s="6" t="n">
        <v>16</v>
      </c>
      <c r="H854" s="6" t="s">
        <v>82</v>
      </c>
      <c r="I854" s="6" t="s">
        <v>80</v>
      </c>
      <c r="J854" s="6" t="s">
        <v>58</v>
      </c>
      <c r="K854" s="6" t="n">
        <v>83364</v>
      </c>
      <c r="L854" s="6" t="n">
        <v>95222</v>
      </c>
      <c r="M854" s="6" t="s">
        <v>142</v>
      </c>
      <c r="N854" s="6" t="n">
        <v>45</v>
      </c>
      <c r="O854" s="6" t="s">
        <v>60</v>
      </c>
      <c r="P854" s="6" t="n">
        <v>7</v>
      </c>
      <c r="Q854" s="6" t="n">
        <v>14.89</v>
      </c>
      <c r="R854" s="20" t="n">
        <f aca="false">(L854-K854)/K854</f>
        <v>0.142243654335205</v>
      </c>
    </row>
    <row r="855" customFormat="false" ht="15" hidden="false" customHeight="false" outlineLevel="0" collapsed="false">
      <c r="A855" s="6" t="s">
        <v>1017</v>
      </c>
      <c r="B855" s="6" t="n">
        <v>42</v>
      </c>
      <c r="C855" s="6" t="s">
        <v>159</v>
      </c>
      <c r="D855" s="6" t="s">
        <v>148</v>
      </c>
      <c r="E855" s="6" t="s">
        <v>91</v>
      </c>
      <c r="F855" s="6" t="s">
        <v>206</v>
      </c>
      <c r="G855" s="6" t="n">
        <v>19</v>
      </c>
      <c r="H855" s="6" t="s">
        <v>81</v>
      </c>
      <c r="I855" s="6" t="s">
        <v>82</v>
      </c>
      <c r="J855" s="6" t="s">
        <v>60</v>
      </c>
      <c r="K855" s="6" t="n">
        <v>108518</v>
      </c>
      <c r="L855" s="6" t="n">
        <v>106858</v>
      </c>
      <c r="M855" s="6" t="s">
        <v>142</v>
      </c>
      <c r="N855" s="6" t="n">
        <v>51</v>
      </c>
      <c r="O855" s="6" t="s">
        <v>60</v>
      </c>
      <c r="P855" s="6" t="n">
        <v>4</v>
      </c>
      <c r="Q855" s="6" t="n">
        <v>-15.14</v>
      </c>
      <c r="R855" s="20" t="n">
        <f aca="false">(L855-K855)/K855</f>
        <v>-0.0152970014191194</v>
      </c>
    </row>
    <row r="856" customFormat="false" ht="15" hidden="false" customHeight="false" outlineLevel="0" collapsed="false">
      <c r="A856" s="6" t="s">
        <v>1018</v>
      </c>
      <c r="B856" s="6" t="n">
        <v>41</v>
      </c>
      <c r="C856" s="6" t="s">
        <v>134</v>
      </c>
      <c r="D856" s="6" t="s">
        <v>148</v>
      </c>
      <c r="E856" s="6" t="s">
        <v>87</v>
      </c>
      <c r="F856" s="6" t="s">
        <v>149</v>
      </c>
      <c r="G856" s="6" t="n">
        <v>15</v>
      </c>
      <c r="H856" s="6" t="s">
        <v>82</v>
      </c>
      <c r="I856" s="6" t="s">
        <v>80</v>
      </c>
      <c r="J856" s="6" t="s">
        <v>60</v>
      </c>
      <c r="K856" s="6" t="n">
        <v>63324</v>
      </c>
      <c r="L856" s="6" t="n">
        <v>63115</v>
      </c>
      <c r="M856" s="6" t="s">
        <v>142</v>
      </c>
      <c r="N856" s="6" t="n">
        <v>51</v>
      </c>
      <c r="O856" s="6" t="s">
        <v>60</v>
      </c>
      <c r="P856" s="6" t="n">
        <v>7</v>
      </c>
      <c r="Q856" s="6" t="n">
        <v>2.32</v>
      </c>
      <c r="R856" s="20" t="n">
        <f aca="false">(L856-K856)/K856</f>
        <v>-0.00330048638746763</v>
      </c>
    </row>
    <row r="857" customFormat="false" ht="15" hidden="false" customHeight="false" outlineLevel="0" collapsed="false">
      <c r="A857" s="6" t="s">
        <v>1019</v>
      </c>
      <c r="B857" s="6" t="n">
        <v>52</v>
      </c>
      <c r="C857" s="6" t="s">
        <v>139</v>
      </c>
      <c r="D857" s="6" t="s">
        <v>135</v>
      </c>
      <c r="E857" s="6" t="s">
        <v>89</v>
      </c>
      <c r="F857" s="6" t="s">
        <v>153</v>
      </c>
      <c r="G857" s="6" t="n">
        <v>27</v>
      </c>
      <c r="H857" s="6" t="s">
        <v>81</v>
      </c>
      <c r="I857" s="6" t="s">
        <v>81</v>
      </c>
      <c r="J857" s="6" t="s">
        <v>60</v>
      </c>
      <c r="K857" s="6" t="n">
        <v>53889</v>
      </c>
      <c r="L857" s="6" t="n">
        <v>56615</v>
      </c>
      <c r="M857" s="6" t="s">
        <v>146</v>
      </c>
      <c r="N857" s="6" t="n">
        <v>49</v>
      </c>
      <c r="O857" s="6" t="s">
        <v>60</v>
      </c>
      <c r="P857" s="6" t="n">
        <v>5</v>
      </c>
      <c r="Q857" s="6" t="n">
        <v>14.99</v>
      </c>
      <c r="R857" s="20" t="n">
        <f aca="false">(L857-K857)/K857</f>
        <v>0.0505854627103862</v>
      </c>
    </row>
    <row r="858" customFormat="false" ht="15" hidden="false" customHeight="false" outlineLevel="0" collapsed="false">
      <c r="A858" s="6" t="s">
        <v>1020</v>
      </c>
      <c r="B858" s="6" t="n">
        <v>30</v>
      </c>
      <c r="C858" s="6" t="s">
        <v>134</v>
      </c>
      <c r="D858" s="6" t="s">
        <v>140</v>
      </c>
      <c r="E858" s="6" t="s">
        <v>90</v>
      </c>
      <c r="F858" s="6" t="s">
        <v>236</v>
      </c>
      <c r="G858" s="6" t="n">
        <v>4</v>
      </c>
      <c r="H858" s="6" t="s">
        <v>80</v>
      </c>
      <c r="I858" s="6" t="s">
        <v>82</v>
      </c>
      <c r="J858" s="6" t="s">
        <v>58</v>
      </c>
      <c r="K858" s="6" t="n">
        <v>86398</v>
      </c>
      <c r="L858" s="6" t="n">
        <v>88547</v>
      </c>
      <c r="M858" s="6" t="s">
        <v>142</v>
      </c>
      <c r="N858" s="6" t="n">
        <v>53</v>
      </c>
      <c r="O858" s="6" t="s">
        <v>60</v>
      </c>
      <c r="P858" s="6" t="n">
        <v>4</v>
      </c>
      <c r="Q858" s="6" t="n">
        <v>-7.01</v>
      </c>
      <c r="R858" s="20" t="n">
        <f aca="false">(L858-K858)/K858</f>
        <v>0.0248732609551147</v>
      </c>
    </row>
    <row r="859" customFormat="false" ht="15" hidden="false" customHeight="false" outlineLevel="0" collapsed="false">
      <c r="A859" s="6" t="s">
        <v>1021</v>
      </c>
      <c r="B859" s="6" t="n">
        <v>47</v>
      </c>
      <c r="C859" s="6" t="s">
        <v>159</v>
      </c>
      <c r="D859" s="6" t="s">
        <v>144</v>
      </c>
      <c r="E859" s="6" t="s">
        <v>88</v>
      </c>
      <c r="F859" s="6" t="s">
        <v>157</v>
      </c>
      <c r="G859" s="6" t="n">
        <v>25</v>
      </c>
      <c r="H859" s="6" t="s">
        <v>82</v>
      </c>
      <c r="I859" s="6" t="s">
        <v>82</v>
      </c>
      <c r="J859" s="6" t="s">
        <v>60</v>
      </c>
      <c r="K859" s="6" t="n">
        <v>72137</v>
      </c>
      <c r="L859" s="6" t="n">
        <v>72517</v>
      </c>
      <c r="M859" s="6" t="s">
        <v>146</v>
      </c>
      <c r="N859" s="6" t="n">
        <v>52</v>
      </c>
      <c r="O859" s="6" t="s">
        <v>58</v>
      </c>
      <c r="P859" s="6" t="n">
        <v>7</v>
      </c>
      <c r="Q859" s="6" t="n">
        <v>37.69</v>
      </c>
      <c r="R859" s="20" t="n">
        <f aca="false">(L859-K859)/K859</f>
        <v>0.00526775441174432</v>
      </c>
    </row>
    <row r="860" customFormat="false" ht="15" hidden="false" customHeight="false" outlineLevel="0" collapsed="false">
      <c r="A860" s="6" t="s">
        <v>1022</v>
      </c>
      <c r="B860" s="6" t="n">
        <v>24</v>
      </c>
      <c r="C860" s="6" t="s">
        <v>159</v>
      </c>
      <c r="D860" s="6" t="s">
        <v>148</v>
      </c>
      <c r="E860" s="6" t="s">
        <v>88</v>
      </c>
      <c r="F860" s="6" t="s">
        <v>179</v>
      </c>
      <c r="G860" s="6" t="n">
        <v>1</v>
      </c>
      <c r="H860" s="6" t="s">
        <v>80</v>
      </c>
      <c r="I860" s="6" t="s">
        <v>82</v>
      </c>
      <c r="J860" s="6" t="s">
        <v>60</v>
      </c>
      <c r="K860" s="6" t="n">
        <v>93456</v>
      </c>
      <c r="L860" s="6" t="n">
        <v>101533</v>
      </c>
      <c r="M860" s="6" t="s">
        <v>142</v>
      </c>
      <c r="N860" s="6" t="n">
        <v>35</v>
      </c>
      <c r="O860" s="6" t="s">
        <v>60</v>
      </c>
      <c r="P860" s="6" t="n">
        <v>6</v>
      </c>
      <c r="Q860" s="6" t="n">
        <v>14.14</v>
      </c>
      <c r="R860" s="20" t="n">
        <f aca="false">(L860-K860)/K860</f>
        <v>0.0864256976545112</v>
      </c>
    </row>
    <row r="861" customFormat="false" ht="15" hidden="false" customHeight="false" outlineLevel="0" collapsed="false">
      <c r="A861" s="6" t="s">
        <v>1023</v>
      </c>
      <c r="B861" s="6" t="n">
        <v>24</v>
      </c>
      <c r="C861" s="6" t="s">
        <v>159</v>
      </c>
      <c r="D861" s="6" t="s">
        <v>144</v>
      </c>
      <c r="E861" s="6" t="s">
        <v>90</v>
      </c>
      <c r="F861" s="6" t="s">
        <v>145</v>
      </c>
      <c r="G861" s="6" t="n">
        <v>0</v>
      </c>
      <c r="H861" s="6" t="s">
        <v>82</v>
      </c>
      <c r="I861" s="6" t="s">
        <v>82</v>
      </c>
      <c r="J861" s="6" t="s">
        <v>60</v>
      </c>
      <c r="K861" s="6" t="n">
        <v>53600</v>
      </c>
      <c r="L861" s="6" t="n">
        <v>70166</v>
      </c>
      <c r="M861" s="6" t="s">
        <v>146</v>
      </c>
      <c r="N861" s="6" t="n">
        <v>54</v>
      </c>
      <c r="O861" s="6" t="s">
        <v>58</v>
      </c>
      <c r="P861" s="6" t="n">
        <v>6</v>
      </c>
      <c r="Q861" s="6" t="n">
        <v>1.8</v>
      </c>
      <c r="R861" s="20" t="n">
        <f aca="false">(L861-K861)/K861</f>
        <v>0.309067164179104</v>
      </c>
    </row>
    <row r="862" customFormat="false" ht="15" hidden="false" customHeight="false" outlineLevel="0" collapsed="false">
      <c r="A862" s="6" t="s">
        <v>1024</v>
      </c>
      <c r="B862" s="6" t="n">
        <v>28</v>
      </c>
      <c r="C862" s="6" t="s">
        <v>134</v>
      </c>
      <c r="D862" s="6" t="s">
        <v>144</v>
      </c>
      <c r="E862" s="6" t="s">
        <v>90</v>
      </c>
      <c r="F862" s="6" t="s">
        <v>145</v>
      </c>
      <c r="G862" s="6" t="n">
        <v>3</v>
      </c>
      <c r="H862" s="6" t="s">
        <v>81</v>
      </c>
      <c r="I862" s="6" t="s">
        <v>80</v>
      </c>
      <c r="J862" s="6" t="s">
        <v>60</v>
      </c>
      <c r="K862" s="6" t="n">
        <v>86207</v>
      </c>
      <c r="L862" s="6" t="n">
        <v>78648</v>
      </c>
      <c r="M862" s="6" t="s">
        <v>142</v>
      </c>
      <c r="N862" s="6" t="n">
        <v>35</v>
      </c>
      <c r="O862" s="6" t="s">
        <v>58</v>
      </c>
      <c r="P862" s="6" t="n">
        <v>3</v>
      </c>
      <c r="Q862" s="6" t="n">
        <v>24.69</v>
      </c>
      <c r="R862" s="20" t="n">
        <f aca="false">(L862-K862)/K862</f>
        <v>-0.0876842947788463</v>
      </c>
    </row>
    <row r="863" customFormat="false" ht="15" hidden="false" customHeight="false" outlineLevel="0" collapsed="false">
      <c r="A863" s="6" t="s">
        <v>1025</v>
      </c>
      <c r="B863" s="6" t="n">
        <v>46</v>
      </c>
      <c r="C863" s="6" t="s">
        <v>134</v>
      </c>
      <c r="D863" s="6" t="s">
        <v>140</v>
      </c>
      <c r="E863" s="6" t="s">
        <v>89</v>
      </c>
      <c r="F863" s="6" t="s">
        <v>162</v>
      </c>
      <c r="G863" s="6" t="n">
        <v>23</v>
      </c>
      <c r="H863" s="6" t="s">
        <v>82</v>
      </c>
      <c r="I863" s="6" t="s">
        <v>81</v>
      </c>
      <c r="J863" s="6" t="s">
        <v>58</v>
      </c>
      <c r="K863" s="6" t="n">
        <v>59813</v>
      </c>
      <c r="L863" s="6" t="n">
        <v>72030</v>
      </c>
      <c r="M863" s="6" t="s">
        <v>146</v>
      </c>
      <c r="N863" s="6" t="n">
        <v>41</v>
      </c>
      <c r="O863" s="6" t="s">
        <v>58</v>
      </c>
      <c r="P863" s="6" t="n">
        <v>6</v>
      </c>
      <c r="Q863" s="6" t="n">
        <v>7.02</v>
      </c>
      <c r="R863" s="20" t="n">
        <f aca="false">(L863-K863)/K863</f>
        <v>0.204253255981141</v>
      </c>
    </row>
    <row r="864" customFormat="false" ht="15" hidden="false" customHeight="false" outlineLevel="0" collapsed="false">
      <c r="A864" s="6" t="s">
        <v>1026</v>
      </c>
      <c r="B864" s="6" t="n">
        <v>27</v>
      </c>
      <c r="C864" s="6" t="s">
        <v>139</v>
      </c>
      <c r="D864" s="6" t="s">
        <v>148</v>
      </c>
      <c r="E864" s="6" t="s">
        <v>91</v>
      </c>
      <c r="F864" s="6" t="s">
        <v>208</v>
      </c>
      <c r="G864" s="6" t="n">
        <v>2</v>
      </c>
      <c r="H864" s="6" t="s">
        <v>80</v>
      </c>
      <c r="I864" s="6" t="s">
        <v>82</v>
      </c>
      <c r="J864" s="6" t="s">
        <v>60</v>
      </c>
      <c r="K864" s="6" t="n">
        <v>109183</v>
      </c>
      <c r="L864" s="6" t="n">
        <v>114560</v>
      </c>
      <c r="M864" s="6" t="s">
        <v>142</v>
      </c>
      <c r="N864" s="6" t="n">
        <v>48</v>
      </c>
      <c r="O864" s="6" t="s">
        <v>58</v>
      </c>
      <c r="P864" s="6" t="n">
        <v>9</v>
      </c>
      <c r="Q864" s="6" t="n">
        <v>-6.85</v>
      </c>
      <c r="R864" s="20" t="n">
        <f aca="false">(L864-K864)/K864</f>
        <v>0.049247593489829</v>
      </c>
    </row>
    <row r="865" customFormat="false" ht="15" hidden="false" customHeight="false" outlineLevel="0" collapsed="false">
      <c r="A865" s="6" t="s">
        <v>1027</v>
      </c>
      <c r="B865" s="6" t="n">
        <v>54</v>
      </c>
      <c r="C865" s="6" t="s">
        <v>159</v>
      </c>
      <c r="D865" s="6" t="s">
        <v>140</v>
      </c>
      <c r="E865" s="6" t="s">
        <v>88</v>
      </c>
      <c r="F865" s="6" t="s">
        <v>234</v>
      </c>
      <c r="G865" s="6" t="n">
        <v>31</v>
      </c>
      <c r="H865" s="6" t="s">
        <v>80</v>
      </c>
      <c r="I865" s="6" t="s">
        <v>80</v>
      </c>
      <c r="J865" s="6" t="s">
        <v>60</v>
      </c>
      <c r="K865" s="6" t="n">
        <v>82344</v>
      </c>
      <c r="L865" s="6" t="n">
        <v>84187</v>
      </c>
      <c r="M865" s="6" t="s">
        <v>142</v>
      </c>
      <c r="N865" s="6" t="n">
        <v>54</v>
      </c>
      <c r="O865" s="6" t="s">
        <v>60</v>
      </c>
      <c r="P865" s="6" t="n">
        <v>6</v>
      </c>
      <c r="Q865" s="6" t="n">
        <v>-7.04</v>
      </c>
      <c r="R865" s="20" t="n">
        <f aca="false">(L865-K865)/K865</f>
        <v>0.0223817157291363</v>
      </c>
    </row>
    <row r="866" customFormat="false" ht="15" hidden="false" customHeight="false" outlineLevel="0" collapsed="false">
      <c r="A866" s="6" t="s">
        <v>1028</v>
      </c>
      <c r="B866" s="6" t="n">
        <v>47</v>
      </c>
      <c r="C866" s="6" t="s">
        <v>139</v>
      </c>
      <c r="D866" s="6" t="s">
        <v>140</v>
      </c>
      <c r="E866" s="6" t="s">
        <v>92</v>
      </c>
      <c r="F866" s="6" t="s">
        <v>222</v>
      </c>
      <c r="G866" s="6" t="n">
        <v>23</v>
      </c>
      <c r="H866" s="6" t="s">
        <v>80</v>
      </c>
      <c r="I866" s="6" t="s">
        <v>82</v>
      </c>
      <c r="J866" s="6" t="s">
        <v>60</v>
      </c>
      <c r="K866" s="6" t="n">
        <v>79549</v>
      </c>
      <c r="L866" s="6" t="n">
        <v>85184</v>
      </c>
      <c r="M866" s="6" t="s">
        <v>142</v>
      </c>
      <c r="N866" s="6" t="n">
        <v>46</v>
      </c>
      <c r="O866" s="6" t="s">
        <v>60</v>
      </c>
      <c r="P866" s="6" t="n">
        <v>3</v>
      </c>
      <c r="Q866" s="6" t="n">
        <v>-2.02</v>
      </c>
      <c r="R866" s="20" t="n">
        <f aca="false">(L866-K866)/K866</f>
        <v>0.0708368427007253</v>
      </c>
    </row>
    <row r="867" customFormat="false" ht="15" hidden="false" customHeight="false" outlineLevel="0" collapsed="false">
      <c r="A867" s="6" t="s">
        <v>1029</v>
      </c>
      <c r="B867" s="6" t="n">
        <v>34</v>
      </c>
      <c r="C867" s="6" t="s">
        <v>139</v>
      </c>
      <c r="D867" s="6" t="s">
        <v>144</v>
      </c>
      <c r="E867" s="6" t="s">
        <v>87</v>
      </c>
      <c r="F867" s="6" t="s">
        <v>160</v>
      </c>
      <c r="G867" s="6" t="n">
        <v>11</v>
      </c>
      <c r="H867" s="6" t="s">
        <v>81</v>
      </c>
      <c r="I867" s="6" t="s">
        <v>80</v>
      </c>
      <c r="J867" s="6" t="s">
        <v>58</v>
      </c>
      <c r="K867" s="6" t="n">
        <v>90139</v>
      </c>
      <c r="L867" s="6" t="n">
        <v>84463</v>
      </c>
      <c r="M867" s="6" t="s">
        <v>142</v>
      </c>
      <c r="N867" s="6" t="n">
        <v>38</v>
      </c>
      <c r="O867" s="6" t="s">
        <v>58</v>
      </c>
      <c r="P867" s="6" t="n">
        <v>4</v>
      </c>
      <c r="Q867" s="6" t="n">
        <v>-7.64</v>
      </c>
      <c r="R867" s="20" t="n">
        <f aca="false">(L867-K867)/K867</f>
        <v>-0.0629694139051909</v>
      </c>
    </row>
    <row r="868" customFormat="false" ht="15" hidden="false" customHeight="false" outlineLevel="0" collapsed="false">
      <c r="A868" s="6" t="s">
        <v>1030</v>
      </c>
      <c r="B868" s="6" t="n">
        <v>30</v>
      </c>
      <c r="C868" s="6" t="s">
        <v>139</v>
      </c>
      <c r="D868" s="6" t="s">
        <v>144</v>
      </c>
      <c r="E868" s="6" t="s">
        <v>92</v>
      </c>
      <c r="F868" s="6" t="s">
        <v>222</v>
      </c>
      <c r="G868" s="6" t="n">
        <v>4</v>
      </c>
      <c r="H868" s="6" t="s">
        <v>82</v>
      </c>
      <c r="I868" s="6" t="s">
        <v>80</v>
      </c>
      <c r="J868" s="6" t="s">
        <v>58</v>
      </c>
      <c r="K868" s="6" t="n">
        <v>77894</v>
      </c>
      <c r="L868" s="6" t="n">
        <v>80434</v>
      </c>
      <c r="M868" s="6" t="s">
        <v>142</v>
      </c>
      <c r="N868" s="6" t="n">
        <v>36</v>
      </c>
      <c r="O868" s="6" t="s">
        <v>58</v>
      </c>
      <c r="P868" s="6" t="n">
        <v>6</v>
      </c>
      <c r="Q868" s="6" t="n">
        <v>-11.7</v>
      </c>
      <c r="R868" s="20" t="n">
        <f aca="false">(L868-K868)/K868</f>
        <v>0.0326084165661027</v>
      </c>
    </row>
    <row r="869" customFormat="false" ht="15" hidden="false" customHeight="false" outlineLevel="0" collapsed="false">
      <c r="A869" s="6" t="s">
        <v>1031</v>
      </c>
      <c r="B869" s="6" t="n">
        <v>41</v>
      </c>
      <c r="C869" s="6" t="s">
        <v>134</v>
      </c>
      <c r="D869" s="6" t="s">
        <v>135</v>
      </c>
      <c r="E869" s="6" t="s">
        <v>92</v>
      </c>
      <c r="F869" s="6" t="s">
        <v>136</v>
      </c>
      <c r="G869" s="6" t="n">
        <v>17</v>
      </c>
      <c r="H869" s="6" t="s">
        <v>80</v>
      </c>
      <c r="I869" s="6" t="s">
        <v>82</v>
      </c>
      <c r="J869" s="6" t="s">
        <v>58</v>
      </c>
      <c r="K869" s="6" t="n">
        <v>34994</v>
      </c>
      <c r="L869" s="6" t="n">
        <v>35828</v>
      </c>
      <c r="M869" s="6" t="s">
        <v>142</v>
      </c>
      <c r="N869" s="6" t="n">
        <v>38</v>
      </c>
      <c r="O869" s="6" t="s">
        <v>58</v>
      </c>
      <c r="P869" s="6" t="n">
        <v>8</v>
      </c>
      <c r="Q869" s="6" t="n">
        <v>22.05</v>
      </c>
      <c r="R869" s="20" t="n">
        <f aca="false">(L869-K869)/K869</f>
        <v>0.0238326570269189</v>
      </c>
    </row>
    <row r="870" customFormat="false" ht="15" hidden="false" customHeight="false" outlineLevel="0" collapsed="false">
      <c r="A870" s="6" t="s">
        <v>1032</v>
      </c>
      <c r="B870" s="6" t="n">
        <v>37</v>
      </c>
      <c r="C870" s="6" t="s">
        <v>139</v>
      </c>
      <c r="D870" s="6" t="s">
        <v>140</v>
      </c>
      <c r="E870" s="6" t="s">
        <v>90</v>
      </c>
      <c r="F870" s="6" t="s">
        <v>202</v>
      </c>
      <c r="G870" s="6" t="n">
        <v>13</v>
      </c>
      <c r="H870" s="6" t="s">
        <v>80</v>
      </c>
      <c r="I870" s="6" t="s">
        <v>80</v>
      </c>
      <c r="J870" s="6" t="s">
        <v>60</v>
      </c>
      <c r="K870" s="6" t="n">
        <v>107355</v>
      </c>
      <c r="L870" s="6" t="n">
        <v>112429</v>
      </c>
      <c r="M870" s="6" t="s">
        <v>142</v>
      </c>
      <c r="N870" s="6" t="n">
        <v>38</v>
      </c>
      <c r="O870" s="6" t="s">
        <v>60</v>
      </c>
      <c r="P870" s="6" t="n">
        <v>8</v>
      </c>
      <c r="Q870" s="6" t="n">
        <v>-15.89</v>
      </c>
      <c r="R870" s="20" t="n">
        <f aca="false">(L870-K870)/K870</f>
        <v>0.0472637511061432</v>
      </c>
    </row>
    <row r="871" customFormat="false" ht="15" hidden="false" customHeight="false" outlineLevel="0" collapsed="false">
      <c r="A871" s="6" t="s">
        <v>1033</v>
      </c>
      <c r="B871" s="6" t="n">
        <v>39</v>
      </c>
      <c r="C871" s="6" t="s">
        <v>139</v>
      </c>
      <c r="D871" s="6" t="s">
        <v>148</v>
      </c>
      <c r="E871" s="6" t="s">
        <v>88</v>
      </c>
      <c r="F871" s="6" t="s">
        <v>234</v>
      </c>
      <c r="G871" s="6" t="n">
        <v>14</v>
      </c>
      <c r="H871" s="6" t="s">
        <v>82</v>
      </c>
      <c r="I871" s="6" t="s">
        <v>80</v>
      </c>
      <c r="J871" s="6" t="s">
        <v>58</v>
      </c>
      <c r="K871" s="6" t="n">
        <v>50659</v>
      </c>
      <c r="L871" s="6" t="n">
        <v>65322</v>
      </c>
      <c r="M871" s="6" t="s">
        <v>142</v>
      </c>
      <c r="N871" s="6" t="n">
        <v>53</v>
      </c>
      <c r="O871" s="6" t="s">
        <v>58</v>
      </c>
      <c r="P871" s="6" t="n">
        <v>9</v>
      </c>
      <c r="Q871" s="6" t="n">
        <v>15.84</v>
      </c>
      <c r="R871" s="20" t="n">
        <f aca="false">(L871-K871)/K871</f>
        <v>0.289445113405318</v>
      </c>
    </row>
    <row r="872" customFormat="false" ht="15" hidden="false" customHeight="false" outlineLevel="0" collapsed="false">
      <c r="A872" s="6" t="s">
        <v>1034</v>
      </c>
      <c r="B872" s="6" t="n">
        <v>53</v>
      </c>
      <c r="C872" s="6" t="s">
        <v>134</v>
      </c>
      <c r="D872" s="6" t="s">
        <v>144</v>
      </c>
      <c r="E872" s="6" t="s">
        <v>87</v>
      </c>
      <c r="F872" s="6" t="s">
        <v>155</v>
      </c>
      <c r="G872" s="6" t="n">
        <v>29</v>
      </c>
      <c r="H872" s="6" t="s">
        <v>81</v>
      </c>
      <c r="I872" s="6" t="s">
        <v>81</v>
      </c>
      <c r="J872" s="6" t="s">
        <v>60</v>
      </c>
      <c r="K872" s="6" t="n">
        <v>64565</v>
      </c>
      <c r="L872" s="6" t="n">
        <v>62117</v>
      </c>
      <c r="M872" s="6" t="s">
        <v>146</v>
      </c>
      <c r="N872" s="6" t="n">
        <v>39</v>
      </c>
      <c r="O872" s="6" t="s">
        <v>60</v>
      </c>
      <c r="P872" s="6" t="n">
        <v>9</v>
      </c>
      <c r="Q872" s="6" t="n">
        <v>31.08</v>
      </c>
      <c r="R872" s="20" t="n">
        <f aca="false">(L872-K872)/K872</f>
        <v>-0.0379152791760242</v>
      </c>
    </row>
    <row r="873" customFormat="false" ht="15" hidden="false" customHeight="false" outlineLevel="0" collapsed="false">
      <c r="A873" s="6" t="s">
        <v>1035</v>
      </c>
      <c r="B873" s="6" t="n">
        <v>26</v>
      </c>
      <c r="C873" s="6" t="s">
        <v>134</v>
      </c>
      <c r="D873" s="6" t="s">
        <v>148</v>
      </c>
      <c r="E873" s="6" t="s">
        <v>89</v>
      </c>
      <c r="F873" s="6" t="s">
        <v>162</v>
      </c>
      <c r="G873" s="6" t="n">
        <v>2</v>
      </c>
      <c r="H873" s="6" t="s">
        <v>81</v>
      </c>
      <c r="I873" s="6" t="s">
        <v>81</v>
      </c>
      <c r="J873" s="6" t="s">
        <v>60</v>
      </c>
      <c r="K873" s="6" t="n">
        <v>79294</v>
      </c>
      <c r="L873" s="6" t="n">
        <v>81601</v>
      </c>
      <c r="M873" s="6" t="s">
        <v>146</v>
      </c>
      <c r="N873" s="6" t="n">
        <v>39</v>
      </c>
      <c r="O873" s="6" t="s">
        <v>58</v>
      </c>
      <c r="P873" s="6" t="n">
        <v>3</v>
      </c>
      <c r="Q873" s="6" t="n">
        <v>-10.07</v>
      </c>
      <c r="R873" s="20" t="n">
        <f aca="false">(L873-K873)/K873</f>
        <v>0.0290942568164048</v>
      </c>
    </row>
    <row r="874" customFormat="false" ht="15" hidden="false" customHeight="false" outlineLevel="0" collapsed="false">
      <c r="A874" s="6" t="s">
        <v>1036</v>
      </c>
      <c r="B874" s="6" t="n">
        <v>36</v>
      </c>
      <c r="C874" s="6" t="s">
        <v>139</v>
      </c>
      <c r="D874" s="6" t="s">
        <v>144</v>
      </c>
      <c r="E874" s="6" t="s">
        <v>87</v>
      </c>
      <c r="F874" s="6" t="s">
        <v>149</v>
      </c>
      <c r="G874" s="6" t="n">
        <v>12</v>
      </c>
      <c r="H874" s="6" t="s">
        <v>81</v>
      </c>
      <c r="I874" s="6" t="s">
        <v>81</v>
      </c>
      <c r="J874" s="6" t="s">
        <v>58</v>
      </c>
      <c r="K874" s="6" t="n">
        <v>93580</v>
      </c>
      <c r="L874" s="6" t="n">
        <v>92264</v>
      </c>
      <c r="M874" s="6" t="s">
        <v>146</v>
      </c>
      <c r="N874" s="6" t="n">
        <v>42</v>
      </c>
      <c r="O874" s="6" t="s">
        <v>60</v>
      </c>
      <c r="P874" s="6" t="n">
        <v>7</v>
      </c>
      <c r="Q874" s="6" t="n">
        <v>11.08</v>
      </c>
      <c r="R874" s="20" t="n">
        <f aca="false">(L874-K874)/K874</f>
        <v>-0.0140628339388758</v>
      </c>
    </row>
    <row r="875" customFormat="false" ht="15" hidden="false" customHeight="false" outlineLevel="0" collapsed="false">
      <c r="A875" s="6" t="s">
        <v>1037</v>
      </c>
      <c r="B875" s="6" t="n">
        <v>32</v>
      </c>
      <c r="C875" s="6" t="s">
        <v>134</v>
      </c>
      <c r="D875" s="6" t="s">
        <v>140</v>
      </c>
      <c r="E875" s="6" t="s">
        <v>91</v>
      </c>
      <c r="F875" s="6" t="s">
        <v>206</v>
      </c>
      <c r="G875" s="6" t="n">
        <v>9</v>
      </c>
      <c r="H875" s="6" t="s">
        <v>81</v>
      </c>
      <c r="I875" s="6" t="s">
        <v>80</v>
      </c>
      <c r="J875" s="6" t="s">
        <v>58</v>
      </c>
      <c r="K875" s="6" t="n">
        <v>49324</v>
      </c>
      <c r="L875" s="6" t="n">
        <v>50834</v>
      </c>
      <c r="M875" s="6" t="s">
        <v>142</v>
      </c>
      <c r="N875" s="6" t="n">
        <v>48</v>
      </c>
      <c r="O875" s="6" t="s">
        <v>58</v>
      </c>
      <c r="P875" s="6" t="n">
        <v>4</v>
      </c>
      <c r="Q875" s="6" t="n">
        <v>37.19</v>
      </c>
      <c r="R875" s="20" t="n">
        <f aca="false">(L875-K875)/K875</f>
        <v>0.0306138999270132</v>
      </c>
    </row>
    <row r="876" customFormat="false" ht="15" hidden="false" customHeight="false" outlineLevel="0" collapsed="false">
      <c r="A876" s="6" t="s">
        <v>1038</v>
      </c>
      <c r="B876" s="6" t="n">
        <v>33</v>
      </c>
      <c r="C876" s="6" t="s">
        <v>139</v>
      </c>
      <c r="D876" s="6" t="s">
        <v>135</v>
      </c>
      <c r="E876" s="6" t="s">
        <v>92</v>
      </c>
      <c r="F876" s="6" t="s">
        <v>136</v>
      </c>
      <c r="G876" s="6" t="n">
        <v>8</v>
      </c>
      <c r="H876" s="6" t="s">
        <v>81</v>
      </c>
      <c r="I876" s="6" t="s">
        <v>82</v>
      </c>
      <c r="J876" s="6" t="s">
        <v>60</v>
      </c>
      <c r="K876" s="6" t="n">
        <v>40358</v>
      </c>
      <c r="L876" s="6" t="n">
        <v>39456</v>
      </c>
      <c r="M876" s="6" t="s">
        <v>142</v>
      </c>
      <c r="N876" s="6" t="n">
        <v>51</v>
      </c>
      <c r="O876" s="6" t="s">
        <v>58</v>
      </c>
      <c r="P876" s="6" t="n">
        <v>3</v>
      </c>
      <c r="Q876" s="6" t="n">
        <v>-16.83</v>
      </c>
      <c r="R876" s="20" t="n">
        <f aca="false">(L876-K876)/K876</f>
        <v>-0.0223499677882948</v>
      </c>
    </row>
    <row r="877" customFormat="false" ht="15" hidden="false" customHeight="false" outlineLevel="0" collapsed="false">
      <c r="A877" s="6" t="s">
        <v>1039</v>
      </c>
      <c r="B877" s="6" t="n">
        <v>24</v>
      </c>
      <c r="C877" s="6" t="s">
        <v>134</v>
      </c>
      <c r="D877" s="6" t="s">
        <v>135</v>
      </c>
      <c r="E877" s="6" t="s">
        <v>92</v>
      </c>
      <c r="F877" s="6" t="s">
        <v>136</v>
      </c>
      <c r="G877" s="6" t="n">
        <v>0</v>
      </c>
      <c r="H877" s="6" t="s">
        <v>80</v>
      </c>
      <c r="I877" s="6" t="s">
        <v>81</v>
      </c>
      <c r="J877" s="6" t="s">
        <v>58</v>
      </c>
      <c r="K877" s="6" t="n">
        <v>50224</v>
      </c>
      <c r="L877" s="6" t="n">
        <v>51964</v>
      </c>
      <c r="M877" s="6" t="s">
        <v>146</v>
      </c>
      <c r="N877" s="6" t="n">
        <v>47</v>
      </c>
      <c r="O877" s="6" t="s">
        <v>60</v>
      </c>
      <c r="P877" s="6" t="n">
        <v>4</v>
      </c>
      <c r="Q877" s="6" t="n">
        <v>16.03</v>
      </c>
      <c r="R877" s="20" t="n">
        <f aca="false">(L877-K877)/K877</f>
        <v>0.03464479133482</v>
      </c>
    </row>
    <row r="878" customFormat="false" ht="15" hidden="false" customHeight="false" outlineLevel="0" collapsed="false">
      <c r="A878" s="6" t="s">
        <v>1040</v>
      </c>
      <c r="B878" s="6" t="n">
        <v>42</v>
      </c>
      <c r="C878" s="6" t="s">
        <v>159</v>
      </c>
      <c r="D878" s="6" t="s">
        <v>140</v>
      </c>
      <c r="E878" s="6" t="s">
        <v>90</v>
      </c>
      <c r="F878" s="6" t="s">
        <v>145</v>
      </c>
      <c r="G878" s="6" t="n">
        <v>20</v>
      </c>
      <c r="H878" s="6" t="s">
        <v>80</v>
      </c>
      <c r="I878" s="6" t="s">
        <v>80</v>
      </c>
      <c r="J878" s="6" t="s">
        <v>60</v>
      </c>
      <c r="K878" s="6" t="n">
        <v>33203</v>
      </c>
      <c r="L878" s="6" t="n">
        <v>34444</v>
      </c>
      <c r="M878" s="6" t="s">
        <v>142</v>
      </c>
      <c r="N878" s="6" t="n">
        <v>46</v>
      </c>
      <c r="O878" s="6" t="s">
        <v>60</v>
      </c>
      <c r="P878" s="6" t="n">
        <v>3</v>
      </c>
      <c r="Q878" s="6" t="n">
        <v>-12.55</v>
      </c>
      <c r="R878" s="20" t="n">
        <f aca="false">(L878-K878)/K878</f>
        <v>0.0373761407101768</v>
      </c>
    </row>
    <row r="879" customFormat="false" ht="15" hidden="false" customHeight="false" outlineLevel="0" collapsed="false">
      <c r="A879" s="6" t="s">
        <v>1041</v>
      </c>
      <c r="B879" s="6" t="n">
        <v>31</v>
      </c>
      <c r="C879" s="6" t="s">
        <v>139</v>
      </c>
      <c r="D879" s="6" t="s">
        <v>144</v>
      </c>
      <c r="E879" s="6" t="s">
        <v>88</v>
      </c>
      <c r="F879" s="6" t="s">
        <v>179</v>
      </c>
      <c r="G879" s="6" t="n">
        <v>8</v>
      </c>
      <c r="H879" s="6" t="s">
        <v>82</v>
      </c>
      <c r="I879" s="6" t="s">
        <v>81</v>
      </c>
      <c r="J879" s="6" t="s">
        <v>60</v>
      </c>
      <c r="K879" s="6" t="n">
        <v>63541</v>
      </c>
      <c r="L879" s="6" t="n">
        <v>58153</v>
      </c>
      <c r="M879" s="6" t="s">
        <v>146</v>
      </c>
      <c r="N879" s="6" t="n">
        <v>46</v>
      </c>
      <c r="O879" s="6" t="s">
        <v>58</v>
      </c>
      <c r="P879" s="6" t="n">
        <v>3</v>
      </c>
      <c r="Q879" s="6" t="n">
        <v>20</v>
      </c>
      <c r="R879" s="20" t="n">
        <f aca="false">(L879-K879)/K879</f>
        <v>-0.0847956437575739</v>
      </c>
    </row>
    <row r="880" customFormat="false" ht="15" hidden="false" customHeight="false" outlineLevel="0" collapsed="false">
      <c r="A880" s="6" t="s">
        <v>1042</v>
      </c>
      <c r="B880" s="6" t="n">
        <v>23</v>
      </c>
      <c r="C880" s="6" t="s">
        <v>159</v>
      </c>
      <c r="D880" s="6" t="s">
        <v>144</v>
      </c>
      <c r="E880" s="6" t="s">
        <v>90</v>
      </c>
      <c r="F880" s="6" t="s">
        <v>202</v>
      </c>
      <c r="G880" s="6" t="n">
        <v>0</v>
      </c>
      <c r="H880" s="6" t="s">
        <v>81</v>
      </c>
      <c r="I880" s="6" t="s">
        <v>81</v>
      </c>
      <c r="J880" s="6" t="s">
        <v>60</v>
      </c>
      <c r="K880" s="6" t="n">
        <v>31674</v>
      </c>
      <c r="L880" s="6" t="n">
        <v>29802</v>
      </c>
      <c r="M880" s="6" t="s">
        <v>146</v>
      </c>
      <c r="N880" s="6" t="n">
        <v>54</v>
      </c>
      <c r="O880" s="6" t="s">
        <v>60</v>
      </c>
      <c r="P880" s="6" t="n">
        <v>6</v>
      </c>
      <c r="Q880" s="6" t="n">
        <v>23.68</v>
      </c>
      <c r="R880" s="20" t="n">
        <f aca="false">(L880-K880)/K880</f>
        <v>-0.0591021026709604</v>
      </c>
    </row>
    <row r="881" customFormat="false" ht="15" hidden="false" customHeight="false" outlineLevel="0" collapsed="false">
      <c r="A881" s="6" t="s">
        <v>1043</v>
      </c>
      <c r="B881" s="6" t="n">
        <v>50</v>
      </c>
      <c r="C881" s="6" t="s">
        <v>134</v>
      </c>
      <c r="D881" s="6" t="s">
        <v>148</v>
      </c>
      <c r="E881" s="6" t="s">
        <v>91</v>
      </c>
      <c r="F881" s="6" t="s">
        <v>141</v>
      </c>
      <c r="G881" s="6" t="n">
        <v>27</v>
      </c>
      <c r="H881" s="6" t="s">
        <v>82</v>
      </c>
      <c r="I881" s="6" t="s">
        <v>81</v>
      </c>
      <c r="J881" s="6" t="s">
        <v>60</v>
      </c>
      <c r="K881" s="6" t="n">
        <v>40492</v>
      </c>
      <c r="L881" s="6" t="n">
        <v>48387</v>
      </c>
      <c r="M881" s="6" t="s">
        <v>146</v>
      </c>
      <c r="N881" s="6" t="n">
        <v>46</v>
      </c>
      <c r="O881" s="6" t="s">
        <v>60</v>
      </c>
      <c r="P881" s="6" t="n">
        <v>4</v>
      </c>
      <c r="Q881" s="6" t="n">
        <v>6.26</v>
      </c>
      <c r="R881" s="20" t="n">
        <f aca="false">(L881-K881)/K881</f>
        <v>0.194976785537884</v>
      </c>
    </row>
    <row r="882" customFormat="false" ht="15" hidden="false" customHeight="false" outlineLevel="0" collapsed="false">
      <c r="A882" s="6" t="s">
        <v>1044</v>
      </c>
      <c r="B882" s="6" t="n">
        <v>51</v>
      </c>
      <c r="C882" s="6" t="s">
        <v>134</v>
      </c>
      <c r="D882" s="6" t="s">
        <v>144</v>
      </c>
      <c r="E882" s="6" t="s">
        <v>90</v>
      </c>
      <c r="F882" s="6" t="s">
        <v>145</v>
      </c>
      <c r="G882" s="6" t="n">
        <v>26</v>
      </c>
      <c r="H882" s="6" t="s">
        <v>80</v>
      </c>
      <c r="I882" s="6" t="s">
        <v>82</v>
      </c>
      <c r="J882" s="6" t="s">
        <v>58</v>
      </c>
      <c r="K882" s="6" t="n">
        <v>60935</v>
      </c>
      <c r="L882" s="6" t="n">
        <v>61433</v>
      </c>
      <c r="M882" s="6" t="s">
        <v>142</v>
      </c>
      <c r="N882" s="6" t="n">
        <v>40</v>
      </c>
      <c r="O882" s="6" t="s">
        <v>60</v>
      </c>
      <c r="P882" s="6" t="n">
        <v>8</v>
      </c>
      <c r="Q882" s="6" t="n">
        <v>-2.73</v>
      </c>
      <c r="R882" s="20" t="n">
        <f aca="false">(L882-K882)/K882</f>
        <v>0.00817264298022483</v>
      </c>
    </row>
    <row r="883" customFormat="false" ht="15" hidden="false" customHeight="false" outlineLevel="0" collapsed="false">
      <c r="A883" s="6" t="s">
        <v>1045</v>
      </c>
      <c r="B883" s="6" t="n">
        <v>43</v>
      </c>
      <c r="C883" s="6" t="s">
        <v>159</v>
      </c>
      <c r="D883" s="6" t="s">
        <v>140</v>
      </c>
      <c r="E883" s="6" t="s">
        <v>90</v>
      </c>
      <c r="F883" s="6" t="s">
        <v>202</v>
      </c>
      <c r="G883" s="6" t="n">
        <v>18</v>
      </c>
      <c r="H883" s="6" t="s">
        <v>82</v>
      </c>
      <c r="I883" s="6" t="s">
        <v>81</v>
      </c>
      <c r="J883" s="6" t="s">
        <v>58</v>
      </c>
      <c r="K883" s="6" t="n">
        <v>68729</v>
      </c>
      <c r="L883" s="6" t="n">
        <v>92943</v>
      </c>
      <c r="M883" s="6" t="s">
        <v>146</v>
      </c>
      <c r="N883" s="6" t="n">
        <v>51</v>
      </c>
      <c r="O883" s="6" t="s">
        <v>58</v>
      </c>
      <c r="P883" s="6" t="n">
        <v>5</v>
      </c>
      <c r="Q883" s="6" t="n">
        <v>-19.28</v>
      </c>
      <c r="R883" s="20" t="n">
        <f aca="false">(L883-K883)/K883</f>
        <v>0.352311251436803</v>
      </c>
    </row>
    <row r="884" customFormat="false" ht="15" hidden="false" customHeight="false" outlineLevel="0" collapsed="false">
      <c r="A884" s="6" t="s">
        <v>1046</v>
      </c>
      <c r="B884" s="6" t="n">
        <v>59</v>
      </c>
      <c r="C884" s="6" t="s">
        <v>159</v>
      </c>
      <c r="D884" s="6" t="s">
        <v>148</v>
      </c>
      <c r="E884" s="6" t="s">
        <v>90</v>
      </c>
      <c r="F884" s="6" t="s">
        <v>202</v>
      </c>
      <c r="G884" s="6" t="n">
        <v>35</v>
      </c>
      <c r="H884" s="6" t="s">
        <v>80</v>
      </c>
      <c r="I884" s="6" t="s">
        <v>81</v>
      </c>
      <c r="J884" s="6" t="s">
        <v>58</v>
      </c>
      <c r="K884" s="6" t="n">
        <v>93753</v>
      </c>
      <c r="L884" s="6" t="n">
        <v>98526</v>
      </c>
      <c r="M884" s="6" t="s">
        <v>146</v>
      </c>
      <c r="N884" s="6" t="n">
        <v>40</v>
      </c>
      <c r="O884" s="6" t="s">
        <v>58</v>
      </c>
      <c r="P884" s="6" t="n">
        <v>7</v>
      </c>
      <c r="Q884" s="6" t="n">
        <v>0.24</v>
      </c>
      <c r="R884" s="20" t="n">
        <f aca="false">(L884-K884)/K884</f>
        <v>0.0509103708681322</v>
      </c>
    </row>
    <row r="885" customFormat="false" ht="15" hidden="false" customHeight="false" outlineLevel="0" collapsed="false">
      <c r="A885" s="6" t="s">
        <v>1047</v>
      </c>
      <c r="B885" s="6" t="n">
        <v>45</v>
      </c>
      <c r="C885" s="6" t="s">
        <v>134</v>
      </c>
      <c r="D885" s="6" t="s">
        <v>144</v>
      </c>
      <c r="E885" s="6" t="s">
        <v>91</v>
      </c>
      <c r="F885" s="6" t="s">
        <v>141</v>
      </c>
      <c r="G885" s="6" t="n">
        <v>23</v>
      </c>
      <c r="H885" s="6" t="s">
        <v>82</v>
      </c>
      <c r="I885" s="6" t="s">
        <v>82</v>
      </c>
      <c r="J885" s="6" t="s">
        <v>58</v>
      </c>
      <c r="K885" s="6" t="n">
        <v>78570</v>
      </c>
      <c r="L885" s="6" t="n">
        <v>99768</v>
      </c>
      <c r="M885" s="6" t="s">
        <v>137</v>
      </c>
      <c r="N885" s="6" t="n">
        <v>54</v>
      </c>
      <c r="O885" s="6" t="s">
        <v>60</v>
      </c>
      <c r="P885" s="6" t="n">
        <v>6</v>
      </c>
      <c r="Q885" s="6" t="n">
        <v>25.01</v>
      </c>
      <c r="R885" s="20" t="n">
        <f aca="false">(L885-K885)/K885</f>
        <v>0.269797632684231</v>
      </c>
    </row>
    <row r="886" customFormat="false" ht="15" hidden="false" customHeight="false" outlineLevel="0" collapsed="false">
      <c r="A886" s="6" t="s">
        <v>1048</v>
      </c>
      <c r="B886" s="6" t="n">
        <v>48</v>
      </c>
      <c r="C886" s="6" t="s">
        <v>134</v>
      </c>
      <c r="D886" s="6" t="s">
        <v>148</v>
      </c>
      <c r="E886" s="6" t="s">
        <v>87</v>
      </c>
      <c r="F886" s="6" t="s">
        <v>160</v>
      </c>
      <c r="G886" s="6" t="n">
        <v>25</v>
      </c>
      <c r="H886" s="6" t="s">
        <v>81</v>
      </c>
      <c r="I886" s="6" t="s">
        <v>80</v>
      </c>
      <c r="J886" s="6" t="s">
        <v>60</v>
      </c>
      <c r="K886" s="6" t="n">
        <v>47400</v>
      </c>
      <c r="L886" s="6" t="n">
        <v>53591</v>
      </c>
      <c r="M886" s="6" t="s">
        <v>142</v>
      </c>
      <c r="N886" s="6" t="n">
        <v>45</v>
      </c>
      <c r="O886" s="6" t="s">
        <v>60</v>
      </c>
      <c r="P886" s="6" t="n">
        <v>9</v>
      </c>
      <c r="Q886" s="6" t="n">
        <v>-16.28</v>
      </c>
      <c r="R886" s="20" t="n">
        <f aca="false">(L886-K886)/K886</f>
        <v>0.130611814345992</v>
      </c>
    </row>
    <row r="887" customFormat="false" ht="15" hidden="false" customHeight="false" outlineLevel="0" collapsed="false">
      <c r="A887" s="6" t="s">
        <v>1049</v>
      </c>
      <c r="B887" s="6" t="n">
        <v>55</v>
      </c>
      <c r="C887" s="6" t="s">
        <v>139</v>
      </c>
      <c r="D887" s="6" t="s">
        <v>148</v>
      </c>
      <c r="E887" s="6" t="s">
        <v>91</v>
      </c>
      <c r="F887" s="6" t="s">
        <v>141</v>
      </c>
      <c r="G887" s="6" t="n">
        <v>33</v>
      </c>
      <c r="H887" s="6" t="s">
        <v>81</v>
      </c>
      <c r="I887" s="6" t="s">
        <v>82</v>
      </c>
      <c r="J887" s="6" t="s">
        <v>58</v>
      </c>
      <c r="K887" s="6" t="n">
        <v>71139</v>
      </c>
      <c r="L887" s="6" t="n">
        <v>73094</v>
      </c>
      <c r="M887" s="6" t="s">
        <v>142</v>
      </c>
      <c r="N887" s="6" t="n">
        <v>41</v>
      </c>
      <c r="O887" s="6" t="s">
        <v>60</v>
      </c>
      <c r="P887" s="6" t="n">
        <v>3</v>
      </c>
      <c r="Q887" s="6" t="n">
        <v>2.97</v>
      </c>
      <c r="R887" s="20" t="n">
        <f aca="false">(L887-K887)/K887</f>
        <v>0.0274814096346589</v>
      </c>
    </row>
    <row r="888" customFormat="false" ht="15" hidden="false" customHeight="false" outlineLevel="0" collapsed="false">
      <c r="A888" s="6" t="s">
        <v>1050</v>
      </c>
      <c r="B888" s="6" t="n">
        <v>42</v>
      </c>
      <c r="C888" s="6" t="s">
        <v>134</v>
      </c>
      <c r="D888" s="6" t="s">
        <v>140</v>
      </c>
      <c r="E888" s="6" t="s">
        <v>88</v>
      </c>
      <c r="F888" s="6" t="s">
        <v>234</v>
      </c>
      <c r="G888" s="6" t="n">
        <v>19</v>
      </c>
      <c r="H888" s="6" t="s">
        <v>80</v>
      </c>
      <c r="I888" s="6" t="s">
        <v>81</v>
      </c>
      <c r="J888" s="6" t="s">
        <v>60</v>
      </c>
      <c r="K888" s="6" t="n">
        <v>108353</v>
      </c>
      <c r="L888" s="6" t="n">
        <v>104569</v>
      </c>
      <c r="M888" s="6" t="s">
        <v>146</v>
      </c>
      <c r="N888" s="6" t="n">
        <v>54</v>
      </c>
      <c r="O888" s="6" t="s">
        <v>58</v>
      </c>
      <c r="P888" s="6" t="n">
        <v>5</v>
      </c>
      <c r="Q888" s="6" t="n">
        <v>3.6</v>
      </c>
      <c r="R888" s="20" t="n">
        <f aca="false">(L888-K888)/K888</f>
        <v>-0.0349228909213404</v>
      </c>
    </row>
    <row r="889" customFormat="false" ht="15" hidden="false" customHeight="false" outlineLevel="0" collapsed="false">
      <c r="A889" s="6" t="s">
        <v>1051</v>
      </c>
      <c r="B889" s="6" t="n">
        <v>39</v>
      </c>
      <c r="C889" s="6" t="s">
        <v>134</v>
      </c>
      <c r="D889" s="6" t="s">
        <v>148</v>
      </c>
      <c r="E889" s="6" t="s">
        <v>90</v>
      </c>
      <c r="F889" s="6" t="s">
        <v>236</v>
      </c>
      <c r="G889" s="6" t="n">
        <v>13</v>
      </c>
      <c r="H889" s="6" t="s">
        <v>82</v>
      </c>
      <c r="I889" s="6" t="s">
        <v>82</v>
      </c>
      <c r="J889" s="6" t="s">
        <v>58</v>
      </c>
      <c r="K889" s="6" t="n">
        <v>80717</v>
      </c>
      <c r="L889" s="6" t="n">
        <v>82337</v>
      </c>
      <c r="M889" s="6" t="s">
        <v>137</v>
      </c>
      <c r="N889" s="6" t="n">
        <v>54</v>
      </c>
      <c r="O889" s="6" t="s">
        <v>58</v>
      </c>
      <c r="P889" s="6" t="n">
        <v>3</v>
      </c>
      <c r="Q889" s="6" t="n">
        <v>-14.03</v>
      </c>
      <c r="R889" s="20" t="n">
        <f aca="false">(L889-K889)/K889</f>
        <v>0.020070121535736</v>
      </c>
    </row>
    <row r="890" customFormat="false" ht="15" hidden="false" customHeight="false" outlineLevel="0" collapsed="false">
      <c r="A890" s="6" t="s">
        <v>1052</v>
      </c>
      <c r="B890" s="6" t="n">
        <v>32</v>
      </c>
      <c r="C890" s="6" t="s">
        <v>134</v>
      </c>
      <c r="D890" s="6" t="s">
        <v>144</v>
      </c>
      <c r="E890" s="6" t="s">
        <v>92</v>
      </c>
      <c r="F890" s="6" t="s">
        <v>192</v>
      </c>
      <c r="G890" s="6" t="n">
        <v>9</v>
      </c>
      <c r="H890" s="6" t="s">
        <v>80</v>
      </c>
      <c r="I890" s="6" t="s">
        <v>81</v>
      </c>
      <c r="J890" s="6" t="s">
        <v>60</v>
      </c>
      <c r="K890" s="6" t="n">
        <v>82409</v>
      </c>
      <c r="L890" s="6" t="n">
        <v>85268</v>
      </c>
      <c r="M890" s="6" t="s">
        <v>146</v>
      </c>
      <c r="N890" s="6" t="n">
        <v>47</v>
      </c>
      <c r="O890" s="6" t="s">
        <v>58</v>
      </c>
      <c r="P890" s="6" t="n">
        <v>3</v>
      </c>
      <c r="Q890" s="6" t="n">
        <v>11</v>
      </c>
      <c r="R890" s="20" t="n">
        <f aca="false">(L890-K890)/K890</f>
        <v>0.0346928126782269</v>
      </c>
    </row>
    <row r="891" customFormat="false" ht="15" hidden="false" customHeight="false" outlineLevel="0" collapsed="false">
      <c r="A891" s="6" t="s">
        <v>1053</v>
      </c>
      <c r="B891" s="6" t="n">
        <v>25</v>
      </c>
      <c r="C891" s="6" t="s">
        <v>139</v>
      </c>
      <c r="D891" s="6" t="s">
        <v>135</v>
      </c>
      <c r="E891" s="6" t="s">
        <v>92</v>
      </c>
      <c r="F891" s="6" t="s">
        <v>136</v>
      </c>
      <c r="G891" s="6" t="n">
        <v>2</v>
      </c>
      <c r="H891" s="6" t="s">
        <v>81</v>
      </c>
      <c r="I891" s="6" t="s">
        <v>81</v>
      </c>
      <c r="J891" s="6" t="s">
        <v>58</v>
      </c>
      <c r="K891" s="6" t="n">
        <v>41154</v>
      </c>
      <c r="L891" s="6" t="n">
        <v>45497</v>
      </c>
      <c r="M891" s="6" t="s">
        <v>146</v>
      </c>
      <c r="N891" s="6" t="n">
        <v>50</v>
      </c>
      <c r="O891" s="6" t="s">
        <v>58</v>
      </c>
      <c r="P891" s="6" t="n">
        <v>3</v>
      </c>
      <c r="Q891" s="6" t="n">
        <v>-2.6</v>
      </c>
      <c r="R891" s="20" t="n">
        <f aca="false">(L891-K891)/K891</f>
        <v>0.105530446615153</v>
      </c>
    </row>
    <row r="892" customFormat="false" ht="15" hidden="false" customHeight="false" outlineLevel="0" collapsed="false">
      <c r="A892" s="6" t="s">
        <v>1054</v>
      </c>
      <c r="B892" s="6" t="n">
        <v>33</v>
      </c>
      <c r="C892" s="6" t="s">
        <v>139</v>
      </c>
      <c r="D892" s="6" t="s">
        <v>135</v>
      </c>
      <c r="E892" s="6" t="s">
        <v>91</v>
      </c>
      <c r="F892" s="6" t="s">
        <v>206</v>
      </c>
      <c r="G892" s="6" t="n">
        <v>10</v>
      </c>
      <c r="H892" s="6" t="s">
        <v>80</v>
      </c>
      <c r="I892" s="6" t="s">
        <v>82</v>
      </c>
      <c r="J892" s="6" t="s">
        <v>60</v>
      </c>
      <c r="K892" s="6" t="n">
        <v>76900</v>
      </c>
      <c r="L892" s="6" t="n">
        <v>74361</v>
      </c>
      <c r="M892" s="6" t="s">
        <v>142</v>
      </c>
      <c r="N892" s="6" t="n">
        <v>50</v>
      </c>
      <c r="O892" s="6" t="s">
        <v>60</v>
      </c>
      <c r="P892" s="6" t="n">
        <v>7</v>
      </c>
      <c r="Q892" s="6" t="n">
        <v>-9.69</v>
      </c>
      <c r="R892" s="20" t="n">
        <f aca="false">(L892-K892)/K892</f>
        <v>-0.0330169050715215</v>
      </c>
    </row>
    <row r="893" customFormat="false" ht="15" hidden="false" customHeight="false" outlineLevel="0" collapsed="false">
      <c r="A893" s="6" t="s">
        <v>1055</v>
      </c>
      <c r="B893" s="6" t="n">
        <v>47</v>
      </c>
      <c r="C893" s="6" t="s">
        <v>134</v>
      </c>
      <c r="D893" s="6" t="s">
        <v>135</v>
      </c>
      <c r="E893" s="6" t="s">
        <v>87</v>
      </c>
      <c r="F893" s="6" t="s">
        <v>149</v>
      </c>
      <c r="G893" s="6" t="n">
        <v>21</v>
      </c>
      <c r="H893" s="6" t="s">
        <v>81</v>
      </c>
      <c r="I893" s="6" t="s">
        <v>80</v>
      </c>
      <c r="J893" s="6" t="s">
        <v>58</v>
      </c>
      <c r="K893" s="6" t="n">
        <v>55938</v>
      </c>
      <c r="L893" s="6" t="n">
        <v>56104</v>
      </c>
      <c r="M893" s="6" t="s">
        <v>142</v>
      </c>
      <c r="N893" s="6" t="n">
        <v>46</v>
      </c>
      <c r="O893" s="6" t="s">
        <v>58</v>
      </c>
      <c r="P893" s="6" t="n">
        <v>4</v>
      </c>
      <c r="Q893" s="6" t="n">
        <v>31.12</v>
      </c>
      <c r="R893" s="20" t="n">
        <f aca="false">(L893-K893)/K893</f>
        <v>0.00296757123958669</v>
      </c>
    </row>
    <row r="894" customFormat="false" ht="15" hidden="false" customHeight="false" outlineLevel="0" collapsed="false">
      <c r="A894" s="6" t="s">
        <v>1056</v>
      </c>
      <c r="B894" s="6" t="n">
        <v>32</v>
      </c>
      <c r="C894" s="6" t="s">
        <v>134</v>
      </c>
      <c r="D894" s="6" t="s">
        <v>144</v>
      </c>
      <c r="E894" s="6" t="s">
        <v>92</v>
      </c>
      <c r="F894" s="6" t="s">
        <v>222</v>
      </c>
      <c r="G894" s="6" t="n">
        <v>7</v>
      </c>
      <c r="H894" s="6" t="s">
        <v>81</v>
      </c>
      <c r="I894" s="6" t="s">
        <v>82</v>
      </c>
      <c r="J894" s="6" t="s">
        <v>58</v>
      </c>
      <c r="K894" s="6" t="n">
        <v>34763</v>
      </c>
      <c r="L894" s="6" t="n">
        <v>36843</v>
      </c>
      <c r="M894" s="6" t="s">
        <v>142</v>
      </c>
      <c r="N894" s="6" t="n">
        <v>46</v>
      </c>
      <c r="O894" s="6" t="s">
        <v>58</v>
      </c>
      <c r="P894" s="6" t="n">
        <v>4</v>
      </c>
      <c r="Q894" s="6" t="n">
        <v>31.64</v>
      </c>
      <c r="R894" s="20" t="n">
        <f aca="false">(L894-K894)/K894</f>
        <v>0.0598337312660012</v>
      </c>
    </row>
    <row r="895" customFormat="false" ht="15" hidden="false" customHeight="false" outlineLevel="0" collapsed="false">
      <c r="A895" s="6" t="s">
        <v>1057</v>
      </c>
      <c r="B895" s="6" t="n">
        <v>58</v>
      </c>
      <c r="C895" s="6" t="s">
        <v>139</v>
      </c>
      <c r="D895" s="6" t="s">
        <v>144</v>
      </c>
      <c r="E895" s="6" t="s">
        <v>87</v>
      </c>
      <c r="F895" s="6" t="s">
        <v>149</v>
      </c>
      <c r="G895" s="6" t="n">
        <v>35</v>
      </c>
      <c r="H895" s="6" t="s">
        <v>80</v>
      </c>
      <c r="I895" s="6" t="s">
        <v>82</v>
      </c>
      <c r="J895" s="6" t="s">
        <v>60</v>
      </c>
      <c r="K895" s="6" t="n">
        <v>82311</v>
      </c>
      <c r="L895" s="6" t="n">
        <v>82465</v>
      </c>
      <c r="M895" s="6" t="s">
        <v>142</v>
      </c>
      <c r="N895" s="6" t="n">
        <v>43</v>
      </c>
      <c r="O895" s="6" t="s">
        <v>58</v>
      </c>
      <c r="P895" s="6" t="n">
        <v>9</v>
      </c>
      <c r="Q895" s="6" t="n">
        <v>-17.89</v>
      </c>
      <c r="R895" s="20" t="n">
        <f aca="false">(L895-K895)/K895</f>
        <v>0.00187095284955838</v>
      </c>
    </row>
    <row r="896" customFormat="false" ht="15" hidden="false" customHeight="false" outlineLevel="0" collapsed="false">
      <c r="A896" s="6" t="s">
        <v>1058</v>
      </c>
      <c r="B896" s="6" t="n">
        <v>58</v>
      </c>
      <c r="C896" s="6" t="s">
        <v>139</v>
      </c>
      <c r="D896" s="6" t="s">
        <v>135</v>
      </c>
      <c r="E896" s="6" t="s">
        <v>92</v>
      </c>
      <c r="F896" s="6" t="s">
        <v>192</v>
      </c>
      <c r="G896" s="6" t="n">
        <v>32</v>
      </c>
      <c r="H896" s="6" t="s">
        <v>81</v>
      </c>
      <c r="I896" s="6" t="s">
        <v>82</v>
      </c>
      <c r="J896" s="6" t="s">
        <v>60</v>
      </c>
      <c r="K896" s="6" t="n">
        <v>35636</v>
      </c>
      <c r="L896" s="6" t="n">
        <v>34124</v>
      </c>
      <c r="M896" s="6" t="s">
        <v>142</v>
      </c>
      <c r="N896" s="6" t="n">
        <v>43</v>
      </c>
      <c r="O896" s="6" t="s">
        <v>58</v>
      </c>
      <c r="P896" s="6" t="n">
        <v>7</v>
      </c>
      <c r="Q896" s="6" t="n">
        <v>23.15</v>
      </c>
      <c r="R896" s="20" t="n">
        <f aca="false">(L896-K896)/K896</f>
        <v>-0.0424290043775957</v>
      </c>
    </row>
    <row r="897" customFormat="false" ht="15" hidden="false" customHeight="false" outlineLevel="0" collapsed="false">
      <c r="A897" s="6" t="s">
        <v>1059</v>
      </c>
      <c r="B897" s="6" t="n">
        <v>36</v>
      </c>
      <c r="C897" s="6" t="s">
        <v>159</v>
      </c>
      <c r="D897" s="6" t="s">
        <v>148</v>
      </c>
      <c r="E897" s="6" t="s">
        <v>91</v>
      </c>
      <c r="F897" s="6" t="s">
        <v>208</v>
      </c>
      <c r="G897" s="6" t="n">
        <v>13</v>
      </c>
      <c r="H897" s="6" t="s">
        <v>81</v>
      </c>
      <c r="I897" s="6" t="s">
        <v>81</v>
      </c>
      <c r="J897" s="6" t="s">
        <v>58</v>
      </c>
      <c r="K897" s="6" t="n">
        <v>47143</v>
      </c>
      <c r="L897" s="6" t="n">
        <v>55282</v>
      </c>
      <c r="M897" s="6" t="s">
        <v>146</v>
      </c>
      <c r="N897" s="6" t="n">
        <v>37</v>
      </c>
      <c r="O897" s="6" t="s">
        <v>60</v>
      </c>
      <c r="P897" s="6" t="n">
        <v>9</v>
      </c>
      <c r="Q897" s="6" t="n">
        <v>25.62</v>
      </c>
      <c r="R897" s="20" t="n">
        <f aca="false">(L897-K897)/K897</f>
        <v>0.172644931378996</v>
      </c>
    </row>
    <row r="898" customFormat="false" ht="15" hidden="false" customHeight="false" outlineLevel="0" collapsed="false">
      <c r="A898" s="6" t="s">
        <v>1060</v>
      </c>
      <c r="B898" s="6" t="n">
        <v>36</v>
      </c>
      <c r="C898" s="6" t="s">
        <v>159</v>
      </c>
      <c r="D898" s="6" t="s">
        <v>140</v>
      </c>
      <c r="E898" s="6" t="s">
        <v>91</v>
      </c>
      <c r="F898" s="6" t="s">
        <v>141</v>
      </c>
      <c r="G898" s="6" t="n">
        <v>11</v>
      </c>
      <c r="H898" s="6" t="s">
        <v>81</v>
      </c>
      <c r="I898" s="6" t="s">
        <v>80</v>
      </c>
      <c r="J898" s="6" t="s">
        <v>60</v>
      </c>
      <c r="K898" s="6" t="n">
        <v>81028</v>
      </c>
      <c r="L898" s="6" t="n">
        <v>81992</v>
      </c>
      <c r="M898" s="6" t="s">
        <v>142</v>
      </c>
      <c r="N898" s="6" t="n">
        <v>46</v>
      </c>
      <c r="O898" s="6" t="s">
        <v>60</v>
      </c>
      <c r="P898" s="6" t="n">
        <v>4</v>
      </c>
      <c r="Q898" s="6" t="n">
        <v>-7.46</v>
      </c>
      <c r="R898" s="20" t="n">
        <f aca="false">(L898-K898)/K898</f>
        <v>0.0118971219825246</v>
      </c>
    </row>
    <row r="899" customFormat="false" ht="15" hidden="false" customHeight="false" outlineLevel="0" collapsed="false">
      <c r="A899" s="6" t="s">
        <v>1061</v>
      </c>
      <c r="B899" s="6" t="n">
        <v>58</v>
      </c>
      <c r="C899" s="6" t="s">
        <v>134</v>
      </c>
      <c r="D899" s="6" t="s">
        <v>135</v>
      </c>
      <c r="E899" s="6" t="s">
        <v>91</v>
      </c>
      <c r="F899" s="6" t="s">
        <v>206</v>
      </c>
      <c r="G899" s="6" t="n">
        <v>32</v>
      </c>
      <c r="H899" s="6" t="s">
        <v>80</v>
      </c>
      <c r="I899" s="6" t="s">
        <v>82</v>
      </c>
      <c r="J899" s="6" t="s">
        <v>58</v>
      </c>
      <c r="K899" s="6" t="n">
        <v>117892</v>
      </c>
      <c r="L899" s="6" t="n">
        <v>120283</v>
      </c>
      <c r="M899" s="6" t="s">
        <v>142</v>
      </c>
      <c r="N899" s="6" t="n">
        <v>41</v>
      </c>
      <c r="O899" s="6" t="s">
        <v>60</v>
      </c>
      <c r="P899" s="6" t="n">
        <v>7</v>
      </c>
      <c r="Q899" s="6" t="n">
        <v>-11.12</v>
      </c>
      <c r="R899" s="20" t="n">
        <f aca="false">(L899-K899)/K899</f>
        <v>0.0202812743867268</v>
      </c>
    </row>
    <row r="900" customFormat="false" ht="15" hidden="false" customHeight="false" outlineLevel="0" collapsed="false">
      <c r="A900" s="6" t="s">
        <v>1062</v>
      </c>
      <c r="B900" s="6" t="n">
        <v>44</v>
      </c>
      <c r="C900" s="6" t="s">
        <v>134</v>
      </c>
      <c r="D900" s="6" t="s">
        <v>148</v>
      </c>
      <c r="E900" s="6" t="s">
        <v>90</v>
      </c>
      <c r="F900" s="6" t="s">
        <v>145</v>
      </c>
      <c r="G900" s="6" t="n">
        <v>20</v>
      </c>
      <c r="H900" s="6" t="s">
        <v>82</v>
      </c>
      <c r="I900" s="6" t="s">
        <v>82</v>
      </c>
      <c r="J900" s="6" t="s">
        <v>60</v>
      </c>
      <c r="K900" s="6" t="n">
        <v>86463</v>
      </c>
      <c r="L900" s="6" t="n">
        <v>86905</v>
      </c>
      <c r="M900" s="6" t="s">
        <v>137</v>
      </c>
      <c r="N900" s="6" t="n">
        <v>42</v>
      </c>
      <c r="O900" s="6" t="s">
        <v>60</v>
      </c>
      <c r="P900" s="6" t="n">
        <v>9</v>
      </c>
      <c r="Q900" s="6" t="n">
        <v>39.15</v>
      </c>
      <c r="R900" s="20" t="n">
        <f aca="false">(L900-K900)/K900</f>
        <v>0.00511201323109307</v>
      </c>
    </row>
    <row r="901" customFormat="false" ht="15" hidden="false" customHeight="false" outlineLevel="0" collapsed="false">
      <c r="A901" s="6" t="s">
        <v>1063</v>
      </c>
      <c r="B901" s="6" t="n">
        <v>46</v>
      </c>
      <c r="C901" s="6" t="s">
        <v>159</v>
      </c>
      <c r="D901" s="6" t="s">
        <v>135</v>
      </c>
      <c r="E901" s="6" t="s">
        <v>92</v>
      </c>
      <c r="F901" s="6" t="s">
        <v>192</v>
      </c>
      <c r="G901" s="6" t="n">
        <v>21</v>
      </c>
      <c r="H901" s="6" t="s">
        <v>80</v>
      </c>
      <c r="I901" s="6" t="s">
        <v>80</v>
      </c>
      <c r="J901" s="6" t="s">
        <v>58</v>
      </c>
      <c r="K901" s="6" t="n">
        <v>50836</v>
      </c>
      <c r="L901" s="6" t="n">
        <v>50595</v>
      </c>
      <c r="M901" s="6" t="s">
        <v>142</v>
      </c>
      <c r="N901" s="6" t="n">
        <v>43</v>
      </c>
      <c r="O901" s="6" t="s">
        <v>58</v>
      </c>
      <c r="P901" s="6" t="n">
        <v>6</v>
      </c>
      <c r="Q901" s="6" t="n">
        <v>-17.76</v>
      </c>
      <c r="R901" s="20" t="n">
        <f aca="false">(L901-K901)/K901</f>
        <v>-0.0047407349122669</v>
      </c>
    </row>
    <row r="902" customFormat="false" ht="15" hidden="false" customHeight="false" outlineLevel="0" collapsed="false">
      <c r="A902" s="6" t="s">
        <v>1064</v>
      </c>
      <c r="B902" s="6" t="n">
        <v>26</v>
      </c>
      <c r="C902" s="6" t="s">
        <v>134</v>
      </c>
      <c r="D902" s="6" t="s">
        <v>140</v>
      </c>
      <c r="E902" s="6" t="s">
        <v>88</v>
      </c>
      <c r="F902" s="6" t="s">
        <v>179</v>
      </c>
      <c r="G902" s="6" t="n">
        <v>1</v>
      </c>
      <c r="H902" s="6" t="s">
        <v>81</v>
      </c>
      <c r="I902" s="6" t="s">
        <v>81</v>
      </c>
      <c r="J902" s="6" t="s">
        <v>60</v>
      </c>
      <c r="K902" s="6" t="n">
        <v>41957</v>
      </c>
      <c r="L902" s="6" t="n">
        <v>45580</v>
      </c>
      <c r="M902" s="6" t="s">
        <v>146</v>
      </c>
      <c r="N902" s="6" t="n">
        <v>36</v>
      </c>
      <c r="O902" s="6" t="s">
        <v>60</v>
      </c>
      <c r="P902" s="6" t="n">
        <v>8</v>
      </c>
      <c r="Q902" s="6" t="n">
        <v>-12.76</v>
      </c>
      <c r="R902" s="20" t="n">
        <f aca="false">(L902-K902)/K902</f>
        <v>0.086350311032724</v>
      </c>
    </row>
    <row r="903" customFormat="false" ht="15" hidden="false" customHeight="false" outlineLevel="0" collapsed="false">
      <c r="A903" s="6" t="s">
        <v>1065</v>
      </c>
      <c r="B903" s="6" t="n">
        <v>55</v>
      </c>
      <c r="C903" s="6" t="s">
        <v>159</v>
      </c>
      <c r="D903" s="6" t="s">
        <v>135</v>
      </c>
      <c r="E903" s="6" t="s">
        <v>87</v>
      </c>
      <c r="F903" s="6" t="s">
        <v>149</v>
      </c>
      <c r="G903" s="6" t="n">
        <v>29</v>
      </c>
      <c r="H903" s="6" t="s">
        <v>82</v>
      </c>
      <c r="I903" s="6" t="s">
        <v>82</v>
      </c>
      <c r="J903" s="6" t="s">
        <v>58</v>
      </c>
      <c r="K903" s="6" t="n">
        <v>114585</v>
      </c>
      <c r="L903" s="6" t="n">
        <v>125226</v>
      </c>
      <c r="M903" s="6" t="s">
        <v>137</v>
      </c>
      <c r="N903" s="6" t="n">
        <v>45</v>
      </c>
      <c r="O903" s="6" t="s">
        <v>58</v>
      </c>
      <c r="P903" s="6" t="n">
        <v>4</v>
      </c>
      <c r="Q903" s="6" t="n">
        <v>28.78</v>
      </c>
      <c r="R903" s="20" t="n">
        <f aca="false">(L903-K903)/K903</f>
        <v>0.0928655583191517</v>
      </c>
    </row>
    <row r="904" customFormat="false" ht="15" hidden="false" customHeight="false" outlineLevel="0" collapsed="false">
      <c r="A904" s="6" t="s">
        <v>1066</v>
      </c>
      <c r="B904" s="6" t="n">
        <v>59</v>
      </c>
      <c r="C904" s="6" t="s">
        <v>134</v>
      </c>
      <c r="D904" s="6" t="s">
        <v>148</v>
      </c>
      <c r="E904" s="6" t="s">
        <v>93</v>
      </c>
      <c r="F904" s="6" t="s">
        <v>197</v>
      </c>
      <c r="G904" s="6" t="n">
        <v>34</v>
      </c>
      <c r="H904" s="6" t="s">
        <v>81</v>
      </c>
      <c r="I904" s="6" t="s">
        <v>81</v>
      </c>
      <c r="J904" s="6" t="s">
        <v>60</v>
      </c>
      <c r="K904" s="6" t="n">
        <v>112464</v>
      </c>
      <c r="L904" s="6" t="n">
        <v>108476</v>
      </c>
      <c r="M904" s="6" t="s">
        <v>146</v>
      </c>
      <c r="N904" s="6" t="n">
        <v>39</v>
      </c>
      <c r="O904" s="6" t="s">
        <v>58</v>
      </c>
      <c r="P904" s="6" t="n">
        <v>5</v>
      </c>
      <c r="Q904" s="6" t="n">
        <v>17.65</v>
      </c>
      <c r="R904" s="20" t="n">
        <f aca="false">(L904-K904)/K904</f>
        <v>-0.0354602361644615</v>
      </c>
    </row>
    <row r="905" customFormat="false" ht="15" hidden="false" customHeight="false" outlineLevel="0" collapsed="false">
      <c r="A905" s="6" t="s">
        <v>1067</v>
      </c>
      <c r="B905" s="6" t="n">
        <v>31</v>
      </c>
      <c r="C905" s="6" t="s">
        <v>134</v>
      </c>
      <c r="D905" s="6" t="s">
        <v>140</v>
      </c>
      <c r="E905" s="6" t="s">
        <v>89</v>
      </c>
      <c r="F905" s="6" t="s">
        <v>151</v>
      </c>
      <c r="G905" s="6" t="n">
        <v>7</v>
      </c>
      <c r="H905" s="6" t="s">
        <v>82</v>
      </c>
      <c r="I905" s="6" t="s">
        <v>82</v>
      </c>
      <c r="J905" s="6" t="s">
        <v>60</v>
      </c>
      <c r="K905" s="6" t="n">
        <v>118741</v>
      </c>
      <c r="L905" s="6" t="n">
        <v>117100</v>
      </c>
      <c r="M905" s="6" t="s">
        <v>146</v>
      </c>
      <c r="N905" s="6" t="n">
        <v>53</v>
      </c>
      <c r="O905" s="6" t="s">
        <v>60</v>
      </c>
      <c r="P905" s="6" t="n">
        <v>4</v>
      </c>
      <c r="Q905" s="6" t="n">
        <v>3.95</v>
      </c>
      <c r="R905" s="20" t="n">
        <f aca="false">(L905-K905)/K905</f>
        <v>-0.0138199947785516</v>
      </c>
    </row>
    <row r="906" customFormat="false" ht="15" hidden="false" customHeight="false" outlineLevel="0" collapsed="false">
      <c r="A906" s="6" t="s">
        <v>1068</v>
      </c>
      <c r="B906" s="6" t="n">
        <v>33</v>
      </c>
      <c r="C906" s="6" t="s">
        <v>159</v>
      </c>
      <c r="D906" s="6" t="s">
        <v>135</v>
      </c>
      <c r="E906" s="6" t="s">
        <v>93</v>
      </c>
      <c r="F906" s="6" t="s">
        <v>181</v>
      </c>
      <c r="G906" s="6" t="n">
        <v>8</v>
      </c>
      <c r="H906" s="6" t="s">
        <v>81</v>
      </c>
      <c r="I906" s="6" t="s">
        <v>82</v>
      </c>
      <c r="J906" s="6" t="s">
        <v>60</v>
      </c>
      <c r="K906" s="6" t="n">
        <v>45198</v>
      </c>
      <c r="L906" s="6" t="n">
        <v>49393</v>
      </c>
      <c r="M906" s="6" t="s">
        <v>142</v>
      </c>
      <c r="N906" s="6" t="n">
        <v>46</v>
      </c>
      <c r="O906" s="6" t="s">
        <v>58</v>
      </c>
      <c r="P906" s="6" t="n">
        <v>4</v>
      </c>
      <c r="Q906" s="6" t="n">
        <v>23.06</v>
      </c>
      <c r="R906" s="20" t="n">
        <f aca="false">(L906-K906)/K906</f>
        <v>0.0928138413204124</v>
      </c>
    </row>
    <row r="907" customFormat="false" ht="15" hidden="false" customHeight="false" outlineLevel="0" collapsed="false">
      <c r="A907" s="6" t="s">
        <v>1069</v>
      </c>
      <c r="B907" s="6" t="n">
        <v>57</v>
      </c>
      <c r="C907" s="6" t="s">
        <v>134</v>
      </c>
      <c r="D907" s="6" t="s">
        <v>140</v>
      </c>
      <c r="E907" s="6" t="s">
        <v>92</v>
      </c>
      <c r="F907" s="6" t="s">
        <v>192</v>
      </c>
      <c r="G907" s="6" t="n">
        <v>31</v>
      </c>
      <c r="H907" s="6" t="s">
        <v>82</v>
      </c>
      <c r="I907" s="6" t="s">
        <v>82</v>
      </c>
      <c r="J907" s="6" t="s">
        <v>58</v>
      </c>
      <c r="K907" s="6" t="n">
        <v>72292</v>
      </c>
      <c r="L907" s="6" t="n">
        <v>65669</v>
      </c>
      <c r="M907" s="6" t="s">
        <v>137</v>
      </c>
      <c r="N907" s="6" t="n">
        <v>36</v>
      </c>
      <c r="O907" s="6" t="s">
        <v>58</v>
      </c>
      <c r="P907" s="6" t="n">
        <v>3</v>
      </c>
      <c r="Q907" s="6" t="n">
        <v>36.86</v>
      </c>
      <c r="R907" s="20" t="n">
        <f aca="false">(L907-K907)/K907</f>
        <v>-0.0916145631605157</v>
      </c>
    </row>
    <row r="908" customFormat="false" ht="15" hidden="false" customHeight="false" outlineLevel="0" collapsed="false">
      <c r="A908" s="6" t="s">
        <v>1070</v>
      </c>
      <c r="B908" s="6" t="n">
        <v>35</v>
      </c>
      <c r="C908" s="6" t="s">
        <v>134</v>
      </c>
      <c r="D908" s="6" t="s">
        <v>140</v>
      </c>
      <c r="E908" s="6" t="s">
        <v>90</v>
      </c>
      <c r="F908" s="6" t="s">
        <v>202</v>
      </c>
      <c r="G908" s="6" t="n">
        <v>10</v>
      </c>
      <c r="H908" s="6" t="s">
        <v>82</v>
      </c>
      <c r="I908" s="6" t="s">
        <v>82</v>
      </c>
      <c r="J908" s="6" t="s">
        <v>58</v>
      </c>
      <c r="K908" s="6" t="n">
        <v>86574</v>
      </c>
      <c r="L908" s="6" t="n">
        <v>92352</v>
      </c>
      <c r="M908" s="6" t="s">
        <v>146</v>
      </c>
      <c r="N908" s="6" t="n">
        <v>44</v>
      </c>
      <c r="O908" s="6" t="s">
        <v>60</v>
      </c>
      <c r="P908" s="6" t="n">
        <v>6</v>
      </c>
      <c r="Q908" s="6" t="n">
        <v>24.54</v>
      </c>
      <c r="R908" s="20" t="n">
        <f aca="false">(L908-K908)/K908</f>
        <v>0.066740591863608</v>
      </c>
    </row>
    <row r="909" customFormat="false" ht="15" hidden="false" customHeight="false" outlineLevel="0" collapsed="false">
      <c r="A909" s="6" t="s">
        <v>1071</v>
      </c>
      <c r="B909" s="6" t="n">
        <v>26</v>
      </c>
      <c r="C909" s="6" t="s">
        <v>159</v>
      </c>
      <c r="D909" s="6" t="s">
        <v>148</v>
      </c>
      <c r="E909" s="6" t="s">
        <v>88</v>
      </c>
      <c r="F909" s="6" t="s">
        <v>179</v>
      </c>
      <c r="G909" s="6" t="n">
        <v>3</v>
      </c>
      <c r="H909" s="6" t="s">
        <v>81</v>
      </c>
      <c r="I909" s="6" t="s">
        <v>81</v>
      </c>
      <c r="J909" s="6" t="s">
        <v>60</v>
      </c>
      <c r="K909" s="6" t="n">
        <v>49177</v>
      </c>
      <c r="L909" s="6" t="n">
        <v>49708</v>
      </c>
      <c r="M909" s="6" t="s">
        <v>146</v>
      </c>
      <c r="N909" s="6" t="n">
        <v>51</v>
      </c>
      <c r="O909" s="6" t="s">
        <v>60</v>
      </c>
      <c r="P909" s="6" t="n">
        <v>5</v>
      </c>
      <c r="Q909" s="6" t="n">
        <v>19.82</v>
      </c>
      <c r="R909" s="20" t="n">
        <f aca="false">(L909-K909)/K909</f>
        <v>0.0107977306464404</v>
      </c>
    </row>
    <row r="910" customFormat="false" ht="15" hidden="false" customHeight="false" outlineLevel="0" collapsed="false">
      <c r="A910" s="6" t="s">
        <v>1072</v>
      </c>
      <c r="B910" s="6" t="n">
        <v>48</v>
      </c>
      <c r="C910" s="6" t="s">
        <v>159</v>
      </c>
      <c r="D910" s="6" t="s">
        <v>148</v>
      </c>
      <c r="E910" s="6" t="s">
        <v>90</v>
      </c>
      <c r="F910" s="6" t="s">
        <v>202</v>
      </c>
      <c r="G910" s="6" t="n">
        <v>24</v>
      </c>
      <c r="H910" s="6" t="s">
        <v>80</v>
      </c>
      <c r="I910" s="6" t="s">
        <v>82</v>
      </c>
      <c r="J910" s="6" t="s">
        <v>60</v>
      </c>
      <c r="K910" s="6" t="n">
        <v>58333</v>
      </c>
      <c r="L910" s="6" t="n">
        <v>63154</v>
      </c>
      <c r="M910" s="6" t="s">
        <v>142</v>
      </c>
      <c r="N910" s="6" t="n">
        <v>51</v>
      </c>
      <c r="O910" s="6" t="s">
        <v>58</v>
      </c>
      <c r="P910" s="6" t="n">
        <v>8</v>
      </c>
      <c r="Q910" s="6" t="n">
        <v>-10.9</v>
      </c>
      <c r="R910" s="20" t="n">
        <f aca="false">(L910-K910)/K910</f>
        <v>0.0826461865496374</v>
      </c>
    </row>
    <row r="911" customFormat="false" ht="15" hidden="false" customHeight="false" outlineLevel="0" collapsed="false">
      <c r="A911" s="6" t="s">
        <v>1073</v>
      </c>
      <c r="B911" s="6" t="n">
        <v>59</v>
      </c>
      <c r="C911" s="6" t="s">
        <v>159</v>
      </c>
      <c r="D911" s="6" t="s">
        <v>135</v>
      </c>
      <c r="E911" s="6" t="s">
        <v>90</v>
      </c>
      <c r="F911" s="6" t="s">
        <v>145</v>
      </c>
      <c r="G911" s="6" t="n">
        <v>34</v>
      </c>
      <c r="H911" s="6" t="s">
        <v>80</v>
      </c>
      <c r="I911" s="6" t="s">
        <v>81</v>
      </c>
      <c r="J911" s="6" t="s">
        <v>60</v>
      </c>
      <c r="K911" s="6" t="n">
        <v>104160</v>
      </c>
      <c r="L911" s="6" t="n">
        <v>103362</v>
      </c>
      <c r="M911" s="6" t="s">
        <v>146</v>
      </c>
      <c r="N911" s="6" t="n">
        <v>36</v>
      </c>
      <c r="O911" s="6" t="s">
        <v>58</v>
      </c>
      <c r="P911" s="6" t="n">
        <v>3</v>
      </c>
      <c r="Q911" s="6" t="n">
        <v>15.12</v>
      </c>
      <c r="R911" s="20" t="n">
        <f aca="false">(L911-K911)/K911</f>
        <v>-0.00766129032258065</v>
      </c>
    </row>
    <row r="912" customFormat="false" ht="15" hidden="false" customHeight="false" outlineLevel="0" collapsed="false">
      <c r="A912" s="6" t="s">
        <v>1074</v>
      </c>
      <c r="B912" s="6" t="n">
        <v>45</v>
      </c>
      <c r="C912" s="6" t="s">
        <v>159</v>
      </c>
      <c r="D912" s="6" t="s">
        <v>144</v>
      </c>
      <c r="E912" s="6" t="s">
        <v>92</v>
      </c>
      <c r="F912" s="6" t="s">
        <v>222</v>
      </c>
      <c r="G912" s="6" t="n">
        <v>21</v>
      </c>
      <c r="H912" s="6" t="s">
        <v>82</v>
      </c>
      <c r="I912" s="6" t="s">
        <v>80</v>
      </c>
      <c r="J912" s="6" t="s">
        <v>60</v>
      </c>
      <c r="K912" s="6" t="n">
        <v>107527</v>
      </c>
      <c r="L912" s="6" t="n">
        <v>116142</v>
      </c>
      <c r="M912" s="6" t="s">
        <v>142</v>
      </c>
      <c r="N912" s="6" t="n">
        <v>49</v>
      </c>
      <c r="O912" s="6" t="s">
        <v>60</v>
      </c>
      <c r="P912" s="6" t="n">
        <v>7</v>
      </c>
      <c r="Q912" s="6" t="n">
        <v>1.58</v>
      </c>
      <c r="R912" s="20" t="n">
        <f aca="false">(L912-K912)/K912</f>
        <v>0.080119411868647</v>
      </c>
    </row>
    <row r="913" customFormat="false" ht="15" hidden="false" customHeight="false" outlineLevel="0" collapsed="false">
      <c r="A913" s="6" t="s">
        <v>1075</v>
      </c>
      <c r="B913" s="6" t="n">
        <v>36</v>
      </c>
      <c r="C913" s="6" t="s">
        <v>159</v>
      </c>
      <c r="D913" s="6" t="s">
        <v>135</v>
      </c>
      <c r="E913" s="6" t="s">
        <v>93</v>
      </c>
      <c r="F913" s="6" t="s">
        <v>164</v>
      </c>
      <c r="G913" s="6" t="n">
        <v>12</v>
      </c>
      <c r="H913" s="6" t="s">
        <v>81</v>
      </c>
      <c r="I913" s="6" t="s">
        <v>82</v>
      </c>
      <c r="J913" s="6" t="s">
        <v>58</v>
      </c>
      <c r="K913" s="6" t="n">
        <v>70387</v>
      </c>
      <c r="L913" s="6" t="n">
        <v>83173</v>
      </c>
      <c r="M913" s="6" t="s">
        <v>142</v>
      </c>
      <c r="N913" s="6" t="n">
        <v>38</v>
      </c>
      <c r="O913" s="6" t="s">
        <v>58</v>
      </c>
      <c r="P913" s="6" t="n">
        <v>5</v>
      </c>
      <c r="Q913" s="6" t="n">
        <v>-2.3</v>
      </c>
      <c r="R913" s="20" t="n">
        <f aca="false">(L913-K913)/K913</f>
        <v>0.181652862034182</v>
      </c>
    </row>
    <row r="914" customFormat="false" ht="15" hidden="false" customHeight="false" outlineLevel="0" collapsed="false">
      <c r="A914" s="6" t="s">
        <v>1076</v>
      </c>
      <c r="B914" s="6" t="n">
        <v>43</v>
      </c>
      <c r="C914" s="6" t="s">
        <v>139</v>
      </c>
      <c r="D914" s="6" t="s">
        <v>140</v>
      </c>
      <c r="E914" s="6" t="s">
        <v>87</v>
      </c>
      <c r="F914" s="6" t="s">
        <v>160</v>
      </c>
      <c r="G914" s="6" t="n">
        <v>21</v>
      </c>
      <c r="H914" s="6" t="s">
        <v>81</v>
      </c>
      <c r="I914" s="6" t="s">
        <v>82</v>
      </c>
      <c r="J914" s="6" t="s">
        <v>60</v>
      </c>
      <c r="K914" s="6" t="n">
        <v>36997</v>
      </c>
      <c r="L914" s="6" t="n">
        <v>42882</v>
      </c>
      <c r="M914" s="6" t="s">
        <v>142</v>
      </c>
      <c r="N914" s="6" t="n">
        <v>51</v>
      </c>
      <c r="O914" s="6" t="s">
        <v>58</v>
      </c>
      <c r="P914" s="6" t="n">
        <v>6</v>
      </c>
      <c r="Q914" s="6" t="n">
        <v>39.81</v>
      </c>
      <c r="R914" s="20" t="n">
        <f aca="false">(L914-K914)/K914</f>
        <v>0.159066951374436</v>
      </c>
    </row>
    <row r="915" customFormat="false" ht="15" hidden="false" customHeight="false" outlineLevel="0" collapsed="false">
      <c r="A915" s="6" t="s">
        <v>1077</v>
      </c>
      <c r="B915" s="6" t="n">
        <v>42</v>
      </c>
      <c r="C915" s="6" t="s">
        <v>159</v>
      </c>
      <c r="D915" s="6" t="s">
        <v>140</v>
      </c>
      <c r="E915" s="6" t="s">
        <v>88</v>
      </c>
      <c r="F915" s="6" t="s">
        <v>234</v>
      </c>
      <c r="G915" s="6" t="n">
        <v>17</v>
      </c>
      <c r="H915" s="6" t="s">
        <v>81</v>
      </c>
      <c r="I915" s="6" t="s">
        <v>82</v>
      </c>
      <c r="J915" s="6" t="s">
        <v>58</v>
      </c>
      <c r="K915" s="6" t="n">
        <v>42126</v>
      </c>
      <c r="L915" s="6" t="n">
        <v>48959</v>
      </c>
      <c r="M915" s="6" t="s">
        <v>142</v>
      </c>
      <c r="N915" s="6" t="n">
        <v>54</v>
      </c>
      <c r="O915" s="6" t="s">
        <v>60</v>
      </c>
      <c r="P915" s="6" t="n">
        <v>9</v>
      </c>
      <c r="Q915" s="6" t="n">
        <v>-6.76</v>
      </c>
      <c r="R915" s="20" t="n">
        <f aca="false">(L915-K915)/K915</f>
        <v>0.162203864596686</v>
      </c>
    </row>
    <row r="916" customFormat="false" ht="15" hidden="false" customHeight="false" outlineLevel="0" collapsed="false">
      <c r="A916" s="6" t="s">
        <v>1078</v>
      </c>
      <c r="B916" s="6" t="n">
        <v>44</v>
      </c>
      <c r="C916" s="6" t="s">
        <v>134</v>
      </c>
      <c r="D916" s="6" t="s">
        <v>135</v>
      </c>
      <c r="E916" s="6" t="s">
        <v>90</v>
      </c>
      <c r="F916" s="6" t="s">
        <v>202</v>
      </c>
      <c r="G916" s="6" t="n">
        <v>19</v>
      </c>
      <c r="H916" s="6" t="s">
        <v>80</v>
      </c>
      <c r="I916" s="6" t="s">
        <v>82</v>
      </c>
      <c r="J916" s="6" t="s">
        <v>58</v>
      </c>
      <c r="K916" s="6" t="n">
        <v>77631</v>
      </c>
      <c r="L916" s="6" t="n">
        <v>79718</v>
      </c>
      <c r="M916" s="6" t="s">
        <v>142</v>
      </c>
      <c r="N916" s="6" t="n">
        <v>52</v>
      </c>
      <c r="O916" s="6" t="s">
        <v>58</v>
      </c>
      <c r="P916" s="6" t="n">
        <v>7</v>
      </c>
      <c r="Q916" s="6" t="n">
        <v>-2.55</v>
      </c>
      <c r="R916" s="20" t="n">
        <f aca="false">(L916-K916)/K916</f>
        <v>0.0268835903183007</v>
      </c>
    </row>
    <row r="917" customFormat="false" ht="15" hidden="false" customHeight="false" outlineLevel="0" collapsed="false">
      <c r="A917" s="6" t="s">
        <v>1079</v>
      </c>
      <c r="B917" s="6" t="n">
        <v>34</v>
      </c>
      <c r="C917" s="6" t="s">
        <v>159</v>
      </c>
      <c r="D917" s="6" t="s">
        <v>144</v>
      </c>
      <c r="E917" s="6" t="s">
        <v>88</v>
      </c>
      <c r="F917" s="6" t="s">
        <v>234</v>
      </c>
      <c r="G917" s="6" t="n">
        <v>10</v>
      </c>
      <c r="H917" s="6" t="s">
        <v>80</v>
      </c>
      <c r="I917" s="6" t="s">
        <v>82</v>
      </c>
      <c r="J917" s="6" t="s">
        <v>60</v>
      </c>
      <c r="K917" s="6" t="n">
        <v>38605</v>
      </c>
      <c r="L917" s="6" t="n">
        <v>40236</v>
      </c>
      <c r="M917" s="6" t="s">
        <v>142</v>
      </c>
      <c r="N917" s="6" t="n">
        <v>38</v>
      </c>
      <c r="O917" s="6" t="s">
        <v>60</v>
      </c>
      <c r="P917" s="6" t="n">
        <v>6</v>
      </c>
      <c r="Q917" s="6" t="n">
        <v>-9.46</v>
      </c>
      <c r="R917" s="20" t="n">
        <f aca="false">(L917-K917)/K917</f>
        <v>0.042248413417951</v>
      </c>
    </row>
    <row r="918" customFormat="false" ht="15" hidden="false" customHeight="false" outlineLevel="0" collapsed="false">
      <c r="A918" s="6" t="s">
        <v>1080</v>
      </c>
      <c r="B918" s="6" t="n">
        <v>41</v>
      </c>
      <c r="C918" s="6" t="s">
        <v>134</v>
      </c>
      <c r="D918" s="6" t="s">
        <v>135</v>
      </c>
      <c r="E918" s="6" t="s">
        <v>90</v>
      </c>
      <c r="F918" s="6" t="s">
        <v>202</v>
      </c>
      <c r="G918" s="6" t="n">
        <v>16</v>
      </c>
      <c r="H918" s="6" t="s">
        <v>81</v>
      </c>
      <c r="I918" s="6" t="s">
        <v>80</v>
      </c>
      <c r="J918" s="6" t="s">
        <v>60</v>
      </c>
      <c r="K918" s="6" t="n">
        <v>63132</v>
      </c>
      <c r="L918" s="6" t="n">
        <v>60633</v>
      </c>
      <c r="M918" s="6" t="s">
        <v>142</v>
      </c>
      <c r="N918" s="6" t="n">
        <v>38</v>
      </c>
      <c r="O918" s="6" t="s">
        <v>58</v>
      </c>
      <c r="P918" s="6" t="n">
        <v>5</v>
      </c>
      <c r="Q918" s="6" t="n">
        <v>-19.43</v>
      </c>
      <c r="R918" s="20" t="n">
        <f aca="false">(L918-K918)/K918</f>
        <v>-0.0395837293290249</v>
      </c>
    </row>
    <row r="919" customFormat="false" ht="15" hidden="false" customHeight="false" outlineLevel="0" collapsed="false">
      <c r="A919" s="6" t="s">
        <v>1081</v>
      </c>
      <c r="B919" s="6" t="n">
        <v>55</v>
      </c>
      <c r="C919" s="6" t="s">
        <v>139</v>
      </c>
      <c r="D919" s="6" t="s">
        <v>140</v>
      </c>
      <c r="E919" s="6" t="s">
        <v>88</v>
      </c>
      <c r="F919" s="6" t="s">
        <v>234</v>
      </c>
      <c r="G919" s="6" t="n">
        <v>32</v>
      </c>
      <c r="H919" s="6" t="s">
        <v>81</v>
      </c>
      <c r="I919" s="6" t="s">
        <v>81</v>
      </c>
      <c r="J919" s="6" t="s">
        <v>58</v>
      </c>
      <c r="K919" s="6" t="n">
        <v>69236</v>
      </c>
      <c r="L919" s="6" t="n">
        <v>62460</v>
      </c>
      <c r="M919" s="6" t="s">
        <v>146</v>
      </c>
      <c r="N919" s="6" t="n">
        <v>43</v>
      </c>
      <c r="O919" s="6" t="s">
        <v>58</v>
      </c>
      <c r="P919" s="6" t="n">
        <v>7</v>
      </c>
      <c r="Q919" s="6" t="n">
        <v>7.4</v>
      </c>
      <c r="R919" s="20" t="n">
        <f aca="false">(L919-K919)/K919</f>
        <v>-0.0978681610722745</v>
      </c>
    </row>
    <row r="920" customFormat="false" ht="15" hidden="false" customHeight="false" outlineLevel="0" collapsed="false">
      <c r="A920" s="6" t="s">
        <v>1082</v>
      </c>
      <c r="B920" s="6" t="n">
        <v>26</v>
      </c>
      <c r="C920" s="6" t="s">
        <v>134</v>
      </c>
      <c r="D920" s="6" t="s">
        <v>148</v>
      </c>
      <c r="E920" s="6" t="s">
        <v>91</v>
      </c>
      <c r="F920" s="6" t="s">
        <v>206</v>
      </c>
      <c r="G920" s="6" t="n">
        <v>3</v>
      </c>
      <c r="H920" s="6" t="s">
        <v>82</v>
      </c>
      <c r="I920" s="6" t="s">
        <v>80</v>
      </c>
      <c r="J920" s="6" t="s">
        <v>60</v>
      </c>
      <c r="K920" s="6" t="n">
        <v>109369</v>
      </c>
      <c r="L920" s="6" t="n">
        <v>134064</v>
      </c>
      <c r="M920" s="6" t="s">
        <v>142</v>
      </c>
      <c r="N920" s="6" t="n">
        <v>53</v>
      </c>
      <c r="O920" s="6" t="s">
        <v>58</v>
      </c>
      <c r="P920" s="6" t="n">
        <v>7</v>
      </c>
      <c r="Q920" s="6" t="n">
        <v>39.02</v>
      </c>
      <c r="R920" s="20" t="n">
        <f aca="false">(L920-K920)/K920</f>
        <v>0.225795243624793</v>
      </c>
    </row>
    <row r="921" customFormat="false" ht="15" hidden="false" customHeight="false" outlineLevel="0" collapsed="false">
      <c r="A921" s="6" t="s">
        <v>1083</v>
      </c>
      <c r="B921" s="6" t="n">
        <v>29</v>
      </c>
      <c r="C921" s="6" t="s">
        <v>139</v>
      </c>
      <c r="D921" s="6" t="s">
        <v>135</v>
      </c>
      <c r="E921" s="6" t="s">
        <v>93</v>
      </c>
      <c r="F921" s="6" t="s">
        <v>197</v>
      </c>
      <c r="G921" s="6" t="n">
        <v>7</v>
      </c>
      <c r="H921" s="6" t="s">
        <v>80</v>
      </c>
      <c r="I921" s="6" t="s">
        <v>82</v>
      </c>
      <c r="J921" s="6" t="s">
        <v>58</v>
      </c>
      <c r="K921" s="6" t="n">
        <v>112800</v>
      </c>
      <c r="L921" s="6" t="n">
        <v>111928</v>
      </c>
      <c r="M921" s="6" t="s">
        <v>142</v>
      </c>
      <c r="N921" s="6" t="n">
        <v>51</v>
      </c>
      <c r="O921" s="6" t="s">
        <v>58</v>
      </c>
      <c r="P921" s="6" t="n">
        <v>3</v>
      </c>
      <c r="Q921" s="6" t="n">
        <v>-8.94</v>
      </c>
      <c r="R921" s="20" t="n">
        <f aca="false">(L921-K921)/K921</f>
        <v>-0.00773049645390071</v>
      </c>
    </row>
    <row r="922" customFormat="false" ht="15" hidden="false" customHeight="false" outlineLevel="0" collapsed="false">
      <c r="A922" s="6" t="s">
        <v>1084</v>
      </c>
      <c r="B922" s="6" t="n">
        <v>38</v>
      </c>
      <c r="C922" s="6" t="s">
        <v>159</v>
      </c>
      <c r="D922" s="6" t="s">
        <v>148</v>
      </c>
      <c r="E922" s="6" t="s">
        <v>91</v>
      </c>
      <c r="F922" s="6" t="s">
        <v>141</v>
      </c>
      <c r="G922" s="6" t="n">
        <v>12</v>
      </c>
      <c r="H922" s="6" t="s">
        <v>82</v>
      </c>
      <c r="I922" s="6" t="s">
        <v>81</v>
      </c>
      <c r="J922" s="6" t="s">
        <v>60</v>
      </c>
      <c r="K922" s="6" t="n">
        <v>65897</v>
      </c>
      <c r="L922" s="6" t="n">
        <v>58032</v>
      </c>
      <c r="M922" s="6" t="s">
        <v>146</v>
      </c>
      <c r="N922" s="6" t="n">
        <v>42</v>
      </c>
      <c r="O922" s="6" t="s">
        <v>58</v>
      </c>
      <c r="P922" s="6" t="n">
        <v>8</v>
      </c>
      <c r="Q922" s="6" t="n">
        <v>8.06</v>
      </c>
      <c r="R922" s="20" t="n">
        <f aca="false">(L922-K922)/K922</f>
        <v>-0.119352929571908</v>
      </c>
    </row>
    <row r="923" customFormat="false" ht="15" hidden="false" customHeight="false" outlineLevel="0" collapsed="false">
      <c r="A923" s="6" t="s">
        <v>1085</v>
      </c>
      <c r="B923" s="6" t="n">
        <v>40</v>
      </c>
      <c r="C923" s="6" t="s">
        <v>139</v>
      </c>
      <c r="D923" s="6" t="s">
        <v>144</v>
      </c>
      <c r="E923" s="6" t="s">
        <v>87</v>
      </c>
      <c r="F923" s="6" t="s">
        <v>160</v>
      </c>
      <c r="G923" s="6" t="n">
        <v>15</v>
      </c>
      <c r="H923" s="6" t="s">
        <v>82</v>
      </c>
      <c r="I923" s="6" t="s">
        <v>80</v>
      </c>
      <c r="J923" s="6" t="s">
        <v>58</v>
      </c>
      <c r="K923" s="6" t="n">
        <v>94817</v>
      </c>
      <c r="L923" s="6" t="n">
        <v>76451</v>
      </c>
      <c r="M923" s="6" t="s">
        <v>142</v>
      </c>
      <c r="N923" s="6" t="n">
        <v>35</v>
      </c>
      <c r="O923" s="6" t="s">
        <v>60</v>
      </c>
      <c r="P923" s="6" t="n">
        <v>8</v>
      </c>
      <c r="Q923" s="6" t="n">
        <v>25.71</v>
      </c>
      <c r="R923" s="20" t="n">
        <f aca="false">(L923-K923)/K923</f>
        <v>-0.193699442083171</v>
      </c>
    </row>
    <row r="924" customFormat="false" ht="15" hidden="false" customHeight="false" outlineLevel="0" collapsed="false">
      <c r="A924" s="6" t="s">
        <v>1086</v>
      </c>
      <c r="B924" s="6" t="n">
        <v>50</v>
      </c>
      <c r="C924" s="6" t="s">
        <v>159</v>
      </c>
      <c r="D924" s="6" t="s">
        <v>148</v>
      </c>
      <c r="E924" s="6" t="s">
        <v>90</v>
      </c>
      <c r="F924" s="6" t="s">
        <v>236</v>
      </c>
      <c r="G924" s="6" t="n">
        <v>26</v>
      </c>
      <c r="H924" s="6" t="s">
        <v>80</v>
      </c>
      <c r="I924" s="6" t="s">
        <v>81</v>
      </c>
      <c r="J924" s="6" t="s">
        <v>58</v>
      </c>
      <c r="K924" s="6" t="n">
        <v>115936</v>
      </c>
      <c r="L924" s="6" t="n">
        <v>127298</v>
      </c>
      <c r="M924" s="6" t="s">
        <v>146</v>
      </c>
      <c r="N924" s="6" t="n">
        <v>40</v>
      </c>
      <c r="O924" s="6" t="s">
        <v>58</v>
      </c>
      <c r="P924" s="6" t="n">
        <v>3</v>
      </c>
      <c r="Q924" s="6" t="n">
        <v>-4.95</v>
      </c>
      <c r="R924" s="20" t="n">
        <f aca="false">(L924-K924)/K924</f>
        <v>0.0980023461219984</v>
      </c>
    </row>
    <row r="925" customFormat="false" ht="15" hidden="false" customHeight="false" outlineLevel="0" collapsed="false">
      <c r="A925" s="6" t="s">
        <v>1087</v>
      </c>
      <c r="B925" s="6" t="n">
        <v>22</v>
      </c>
      <c r="C925" s="6" t="s">
        <v>139</v>
      </c>
      <c r="D925" s="6" t="s">
        <v>148</v>
      </c>
      <c r="E925" s="6" t="s">
        <v>92</v>
      </c>
      <c r="F925" s="6" t="s">
        <v>192</v>
      </c>
      <c r="G925" s="6" t="n">
        <v>0</v>
      </c>
      <c r="H925" s="6" t="s">
        <v>81</v>
      </c>
      <c r="I925" s="6" t="s">
        <v>80</v>
      </c>
      <c r="J925" s="6" t="s">
        <v>60</v>
      </c>
      <c r="K925" s="6" t="n">
        <v>73226</v>
      </c>
      <c r="L925" s="6" t="n">
        <v>79415</v>
      </c>
      <c r="M925" s="6" t="s">
        <v>142</v>
      </c>
      <c r="N925" s="6" t="n">
        <v>48</v>
      </c>
      <c r="O925" s="6" t="s">
        <v>58</v>
      </c>
      <c r="P925" s="6" t="n">
        <v>9</v>
      </c>
      <c r="Q925" s="6" t="n">
        <v>35.61</v>
      </c>
      <c r="R925" s="20" t="n">
        <f aca="false">(L925-K925)/K925</f>
        <v>0.0845191598612515</v>
      </c>
    </row>
    <row r="926" customFormat="false" ht="15" hidden="false" customHeight="false" outlineLevel="0" collapsed="false">
      <c r="A926" s="6" t="s">
        <v>1088</v>
      </c>
      <c r="B926" s="6" t="n">
        <v>41</v>
      </c>
      <c r="C926" s="6" t="s">
        <v>159</v>
      </c>
      <c r="D926" s="6" t="s">
        <v>135</v>
      </c>
      <c r="E926" s="6" t="s">
        <v>90</v>
      </c>
      <c r="F926" s="6" t="s">
        <v>236</v>
      </c>
      <c r="G926" s="6" t="n">
        <v>19</v>
      </c>
      <c r="H926" s="6" t="s">
        <v>82</v>
      </c>
      <c r="I926" s="6" t="s">
        <v>81</v>
      </c>
      <c r="J926" s="6" t="s">
        <v>60</v>
      </c>
      <c r="K926" s="6" t="n">
        <v>71115</v>
      </c>
      <c r="L926" s="6" t="n">
        <v>68102</v>
      </c>
      <c r="M926" s="6" t="s">
        <v>146</v>
      </c>
      <c r="N926" s="6" t="n">
        <v>49</v>
      </c>
      <c r="O926" s="6" t="s">
        <v>60</v>
      </c>
      <c r="P926" s="6" t="n">
        <v>8</v>
      </c>
      <c r="Q926" s="6" t="n">
        <v>8.33</v>
      </c>
      <c r="R926" s="20" t="n">
        <f aca="false">(L926-K926)/K926</f>
        <v>-0.0423679955002461</v>
      </c>
    </row>
    <row r="927" customFormat="false" ht="15" hidden="false" customHeight="false" outlineLevel="0" collapsed="false">
      <c r="A927" s="6" t="s">
        <v>1089</v>
      </c>
      <c r="B927" s="6" t="n">
        <v>50</v>
      </c>
      <c r="C927" s="6" t="s">
        <v>134</v>
      </c>
      <c r="D927" s="6" t="s">
        <v>148</v>
      </c>
      <c r="E927" s="6" t="s">
        <v>93</v>
      </c>
      <c r="F927" s="6" t="s">
        <v>181</v>
      </c>
      <c r="G927" s="6" t="n">
        <v>26</v>
      </c>
      <c r="H927" s="6" t="s">
        <v>82</v>
      </c>
      <c r="I927" s="6" t="s">
        <v>82</v>
      </c>
      <c r="J927" s="6" t="s">
        <v>60</v>
      </c>
      <c r="K927" s="6" t="n">
        <v>31407</v>
      </c>
      <c r="L927" s="6" t="n">
        <v>38486</v>
      </c>
      <c r="M927" s="6" t="s">
        <v>137</v>
      </c>
      <c r="N927" s="6" t="n">
        <v>44</v>
      </c>
      <c r="O927" s="6" t="s">
        <v>58</v>
      </c>
      <c r="P927" s="6" t="n">
        <v>7</v>
      </c>
      <c r="Q927" s="6" t="n">
        <v>15.26</v>
      </c>
      <c r="R927" s="20" t="n">
        <f aca="false">(L927-K927)/K927</f>
        <v>0.225395612443086</v>
      </c>
    </row>
    <row r="928" customFormat="false" ht="15" hidden="false" customHeight="false" outlineLevel="0" collapsed="false">
      <c r="A928" s="6" t="s">
        <v>1090</v>
      </c>
      <c r="B928" s="6" t="n">
        <v>56</v>
      </c>
      <c r="C928" s="6" t="s">
        <v>139</v>
      </c>
      <c r="D928" s="6" t="s">
        <v>144</v>
      </c>
      <c r="E928" s="6" t="s">
        <v>91</v>
      </c>
      <c r="F928" s="6" t="s">
        <v>141</v>
      </c>
      <c r="G928" s="6" t="n">
        <v>34</v>
      </c>
      <c r="H928" s="6" t="s">
        <v>80</v>
      </c>
      <c r="I928" s="6" t="s">
        <v>80</v>
      </c>
      <c r="J928" s="6" t="s">
        <v>60</v>
      </c>
      <c r="K928" s="6" t="n">
        <v>79703</v>
      </c>
      <c r="L928" s="6" t="n">
        <v>77565</v>
      </c>
      <c r="M928" s="6" t="s">
        <v>142</v>
      </c>
      <c r="N928" s="6" t="n">
        <v>40</v>
      </c>
      <c r="O928" s="6" t="s">
        <v>58</v>
      </c>
      <c r="P928" s="6" t="n">
        <v>7</v>
      </c>
      <c r="Q928" s="6" t="n">
        <v>6.37</v>
      </c>
      <c r="R928" s="20" t="n">
        <f aca="false">(L928-K928)/K928</f>
        <v>-0.0268245862765517</v>
      </c>
    </row>
    <row r="929" customFormat="false" ht="15" hidden="false" customHeight="false" outlineLevel="0" collapsed="false">
      <c r="A929" s="6" t="s">
        <v>1091</v>
      </c>
      <c r="B929" s="6" t="n">
        <v>41</v>
      </c>
      <c r="C929" s="6" t="s">
        <v>134</v>
      </c>
      <c r="D929" s="6" t="s">
        <v>140</v>
      </c>
      <c r="E929" s="6" t="s">
        <v>91</v>
      </c>
      <c r="F929" s="6" t="s">
        <v>206</v>
      </c>
      <c r="G929" s="6" t="n">
        <v>16</v>
      </c>
      <c r="H929" s="6" t="s">
        <v>81</v>
      </c>
      <c r="I929" s="6" t="s">
        <v>82</v>
      </c>
      <c r="J929" s="6" t="s">
        <v>60</v>
      </c>
      <c r="K929" s="6" t="n">
        <v>57307</v>
      </c>
      <c r="L929" s="6" t="n">
        <v>53071</v>
      </c>
      <c r="M929" s="6" t="s">
        <v>142</v>
      </c>
      <c r="N929" s="6" t="n">
        <v>50</v>
      </c>
      <c r="O929" s="6" t="s">
        <v>60</v>
      </c>
      <c r="P929" s="6" t="n">
        <v>9</v>
      </c>
      <c r="Q929" s="6" t="n">
        <v>-1.81</v>
      </c>
      <c r="R929" s="20" t="n">
        <f aca="false">(L929-K929)/K929</f>
        <v>-0.0739176714886489</v>
      </c>
    </row>
    <row r="930" customFormat="false" ht="15" hidden="false" customHeight="false" outlineLevel="0" collapsed="false">
      <c r="A930" s="6" t="s">
        <v>1092</v>
      </c>
      <c r="B930" s="6" t="n">
        <v>27</v>
      </c>
      <c r="C930" s="6" t="s">
        <v>139</v>
      </c>
      <c r="D930" s="6" t="s">
        <v>144</v>
      </c>
      <c r="E930" s="6" t="s">
        <v>90</v>
      </c>
      <c r="F930" s="6" t="s">
        <v>236</v>
      </c>
      <c r="G930" s="6" t="n">
        <v>3</v>
      </c>
      <c r="H930" s="6" t="s">
        <v>81</v>
      </c>
      <c r="I930" s="6" t="s">
        <v>80</v>
      </c>
      <c r="J930" s="6" t="s">
        <v>58</v>
      </c>
      <c r="K930" s="6" t="n">
        <v>87716</v>
      </c>
      <c r="L930" s="6" t="n">
        <v>93966</v>
      </c>
      <c r="M930" s="6" t="s">
        <v>142</v>
      </c>
      <c r="N930" s="6" t="n">
        <v>51</v>
      </c>
      <c r="O930" s="6" t="s">
        <v>58</v>
      </c>
      <c r="P930" s="6" t="n">
        <v>7</v>
      </c>
      <c r="Q930" s="6" t="n">
        <v>34.58</v>
      </c>
      <c r="R930" s="20" t="n">
        <f aca="false">(L930-K930)/K930</f>
        <v>0.0712526791007342</v>
      </c>
    </row>
    <row r="931" customFormat="false" ht="15" hidden="false" customHeight="false" outlineLevel="0" collapsed="false">
      <c r="A931" s="6" t="s">
        <v>1093</v>
      </c>
      <c r="B931" s="6" t="n">
        <v>23</v>
      </c>
      <c r="C931" s="6" t="s">
        <v>139</v>
      </c>
      <c r="D931" s="6" t="s">
        <v>148</v>
      </c>
      <c r="E931" s="6" t="s">
        <v>87</v>
      </c>
      <c r="F931" s="6" t="s">
        <v>160</v>
      </c>
      <c r="G931" s="6" t="n">
        <v>0</v>
      </c>
      <c r="H931" s="6" t="s">
        <v>80</v>
      </c>
      <c r="I931" s="6" t="s">
        <v>82</v>
      </c>
      <c r="J931" s="6" t="s">
        <v>60</v>
      </c>
      <c r="K931" s="6" t="n">
        <v>52738</v>
      </c>
      <c r="L931" s="6" t="n">
        <v>55478</v>
      </c>
      <c r="M931" s="6" t="s">
        <v>142</v>
      </c>
      <c r="N931" s="6" t="n">
        <v>44</v>
      </c>
      <c r="O931" s="6" t="s">
        <v>58</v>
      </c>
      <c r="P931" s="6" t="n">
        <v>4</v>
      </c>
      <c r="Q931" s="6" t="n">
        <v>14.21</v>
      </c>
      <c r="R931" s="20" t="n">
        <f aca="false">(L931-K931)/K931</f>
        <v>0.0519549470969699</v>
      </c>
    </row>
    <row r="932" customFormat="false" ht="15" hidden="false" customHeight="false" outlineLevel="0" collapsed="false">
      <c r="A932" s="6" t="s">
        <v>1094</v>
      </c>
      <c r="B932" s="6" t="n">
        <v>41</v>
      </c>
      <c r="C932" s="6" t="s">
        <v>139</v>
      </c>
      <c r="D932" s="6" t="s">
        <v>135</v>
      </c>
      <c r="E932" s="6" t="s">
        <v>93</v>
      </c>
      <c r="F932" s="6" t="s">
        <v>197</v>
      </c>
      <c r="G932" s="6" t="n">
        <v>19</v>
      </c>
      <c r="H932" s="6" t="s">
        <v>81</v>
      </c>
      <c r="I932" s="6" t="s">
        <v>80</v>
      </c>
      <c r="J932" s="6" t="s">
        <v>58</v>
      </c>
      <c r="K932" s="6" t="n">
        <v>55616</v>
      </c>
      <c r="L932" s="6" t="n">
        <v>50455</v>
      </c>
      <c r="M932" s="6" t="s">
        <v>142</v>
      </c>
      <c r="N932" s="6" t="n">
        <v>38</v>
      </c>
      <c r="O932" s="6" t="s">
        <v>60</v>
      </c>
      <c r="P932" s="6" t="n">
        <v>5</v>
      </c>
      <c r="Q932" s="6" t="n">
        <v>12.05</v>
      </c>
      <c r="R932" s="20" t="n">
        <f aca="false">(L932-K932)/K932</f>
        <v>-0.0927970368239356</v>
      </c>
    </row>
    <row r="933" customFormat="false" ht="15" hidden="false" customHeight="false" outlineLevel="0" collapsed="false">
      <c r="A933" s="6" t="s">
        <v>1095</v>
      </c>
      <c r="B933" s="6" t="n">
        <v>38</v>
      </c>
      <c r="C933" s="6" t="s">
        <v>134</v>
      </c>
      <c r="D933" s="6" t="s">
        <v>144</v>
      </c>
      <c r="E933" s="6" t="s">
        <v>93</v>
      </c>
      <c r="F933" s="6" t="s">
        <v>181</v>
      </c>
      <c r="G933" s="6" t="n">
        <v>12</v>
      </c>
      <c r="H933" s="6" t="s">
        <v>80</v>
      </c>
      <c r="I933" s="6" t="s">
        <v>82</v>
      </c>
      <c r="J933" s="6" t="s">
        <v>58</v>
      </c>
      <c r="K933" s="6" t="n">
        <v>117505</v>
      </c>
      <c r="L933" s="6" t="n">
        <v>116697</v>
      </c>
      <c r="M933" s="6" t="s">
        <v>142</v>
      </c>
      <c r="N933" s="6" t="n">
        <v>51</v>
      </c>
      <c r="O933" s="6" t="s">
        <v>60</v>
      </c>
      <c r="P933" s="6" t="n">
        <v>9</v>
      </c>
      <c r="Q933" s="6" t="n">
        <v>12.29</v>
      </c>
      <c r="R933" s="20" t="n">
        <f aca="false">(L933-K933)/K933</f>
        <v>-0.00687630313603677</v>
      </c>
    </row>
    <row r="934" customFormat="false" ht="15" hidden="false" customHeight="false" outlineLevel="0" collapsed="false">
      <c r="A934" s="6" t="s">
        <v>1096</v>
      </c>
      <c r="B934" s="6" t="n">
        <v>57</v>
      </c>
      <c r="C934" s="6" t="s">
        <v>134</v>
      </c>
      <c r="D934" s="6" t="s">
        <v>144</v>
      </c>
      <c r="E934" s="6" t="s">
        <v>88</v>
      </c>
      <c r="F934" s="6" t="s">
        <v>179</v>
      </c>
      <c r="G934" s="6" t="n">
        <v>31</v>
      </c>
      <c r="H934" s="6" t="s">
        <v>82</v>
      </c>
      <c r="I934" s="6" t="s">
        <v>82</v>
      </c>
      <c r="J934" s="6" t="s">
        <v>58</v>
      </c>
      <c r="K934" s="6" t="n">
        <v>82611</v>
      </c>
      <c r="L934" s="6" t="n">
        <v>114537</v>
      </c>
      <c r="M934" s="6" t="s">
        <v>137</v>
      </c>
      <c r="N934" s="6" t="n">
        <v>46</v>
      </c>
      <c r="O934" s="6" t="s">
        <v>60</v>
      </c>
      <c r="P934" s="6" t="n">
        <v>6</v>
      </c>
      <c r="Q934" s="6" t="n">
        <v>31.2</v>
      </c>
      <c r="R934" s="20" t="n">
        <f aca="false">(L934-K934)/K934</f>
        <v>0.386461851327305</v>
      </c>
    </row>
    <row r="935" customFormat="false" ht="15" hidden="false" customHeight="false" outlineLevel="0" collapsed="false">
      <c r="A935" s="6" t="s">
        <v>1097</v>
      </c>
      <c r="B935" s="6" t="n">
        <v>45</v>
      </c>
      <c r="C935" s="6" t="s">
        <v>159</v>
      </c>
      <c r="D935" s="6" t="s">
        <v>148</v>
      </c>
      <c r="E935" s="6" t="s">
        <v>88</v>
      </c>
      <c r="F935" s="6" t="s">
        <v>157</v>
      </c>
      <c r="G935" s="6" t="n">
        <v>19</v>
      </c>
      <c r="H935" s="6" t="s">
        <v>80</v>
      </c>
      <c r="I935" s="6" t="s">
        <v>81</v>
      </c>
      <c r="J935" s="6" t="s">
        <v>60</v>
      </c>
      <c r="K935" s="6" t="n">
        <v>81012</v>
      </c>
      <c r="L935" s="6" t="n">
        <v>83221</v>
      </c>
      <c r="M935" s="6" t="s">
        <v>146</v>
      </c>
      <c r="N935" s="6" t="n">
        <v>46</v>
      </c>
      <c r="O935" s="6" t="s">
        <v>58</v>
      </c>
      <c r="P935" s="6" t="n">
        <v>4</v>
      </c>
      <c r="Q935" s="6" t="n">
        <v>39.42</v>
      </c>
      <c r="R935" s="20" t="n">
        <f aca="false">(L935-K935)/K935</f>
        <v>0.0272675652989681</v>
      </c>
    </row>
    <row r="936" customFormat="false" ht="15" hidden="false" customHeight="false" outlineLevel="0" collapsed="false">
      <c r="A936" s="6" t="s">
        <v>1098</v>
      </c>
      <c r="B936" s="6" t="n">
        <v>38</v>
      </c>
      <c r="C936" s="6" t="s">
        <v>139</v>
      </c>
      <c r="D936" s="6" t="s">
        <v>140</v>
      </c>
      <c r="E936" s="6" t="s">
        <v>90</v>
      </c>
      <c r="F936" s="6" t="s">
        <v>236</v>
      </c>
      <c r="G936" s="6" t="n">
        <v>14</v>
      </c>
      <c r="H936" s="6" t="s">
        <v>82</v>
      </c>
      <c r="I936" s="6" t="s">
        <v>81</v>
      </c>
      <c r="J936" s="6" t="s">
        <v>60</v>
      </c>
      <c r="K936" s="6" t="n">
        <v>117318</v>
      </c>
      <c r="L936" s="6" t="n">
        <v>120920</v>
      </c>
      <c r="M936" s="6" t="s">
        <v>146</v>
      </c>
      <c r="N936" s="6" t="n">
        <v>43</v>
      </c>
      <c r="O936" s="6" t="s">
        <v>60</v>
      </c>
      <c r="P936" s="6" t="n">
        <v>9</v>
      </c>
      <c r="Q936" s="6" t="n">
        <v>0.82</v>
      </c>
      <c r="R936" s="20" t="n">
        <f aca="false">(L936-K936)/K936</f>
        <v>0.0307028759440154</v>
      </c>
    </row>
    <row r="937" customFormat="false" ht="15" hidden="false" customHeight="false" outlineLevel="0" collapsed="false">
      <c r="A937" s="6" t="s">
        <v>1099</v>
      </c>
      <c r="B937" s="6" t="n">
        <v>49</v>
      </c>
      <c r="C937" s="6" t="s">
        <v>139</v>
      </c>
      <c r="D937" s="6" t="s">
        <v>148</v>
      </c>
      <c r="E937" s="6" t="s">
        <v>87</v>
      </c>
      <c r="F937" s="6" t="s">
        <v>160</v>
      </c>
      <c r="G937" s="6" t="n">
        <v>24</v>
      </c>
      <c r="H937" s="6" t="s">
        <v>82</v>
      </c>
      <c r="I937" s="6" t="s">
        <v>80</v>
      </c>
      <c r="J937" s="6" t="s">
        <v>58</v>
      </c>
      <c r="K937" s="6" t="n">
        <v>64812</v>
      </c>
      <c r="L937" s="6" t="n">
        <v>71832</v>
      </c>
      <c r="M937" s="6" t="s">
        <v>142</v>
      </c>
      <c r="N937" s="6" t="n">
        <v>47</v>
      </c>
      <c r="O937" s="6" t="s">
        <v>58</v>
      </c>
      <c r="P937" s="6" t="n">
        <v>6</v>
      </c>
      <c r="Q937" s="6" t="n">
        <v>27.8</v>
      </c>
      <c r="R937" s="20" t="n">
        <f aca="false">(L937-K937)/K937</f>
        <v>0.108313275319385</v>
      </c>
    </row>
    <row r="938" customFormat="false" ht="15" hidden="false" customHeight="false" outlineLevel="0" collapsed="false">
      <c r="A938" s="6" t="s">
        <v>1100</v>
      </c>
      <c r="B938" s="6" t="n">
        <v>41</v>
      </c>
      <c r="C938" s="6" t="s">
        <v>139</v>
      </c>
      <c r="D938" s="6" t="s">
        <v>144</v>
      </c>
      <c r="E938" s="6" t="s">
        <v>90</v>
      </c>
      <c r="F938" s="6" t="s">
        <v>236</v>
      </c>
      <c r="G938" s="6" t="n">
        <v>19</v>
      </c>
      <c r="H938" s="6" t="s">
        <v>80</v>
      </c>
      <c r="I938" s="6" t="s">
        <v>82</v>
      </c>
      <c r="J938" s="6" t="s">
        <v>58</v>
      </c>
      <c r="K938" s="6" t="n">
        <v>49156</v>
      </c>
      <c r="L938" s="6" t="n">
        <v>48352</v>
      </c>
      <c r="M938" s="6" t="s">
        <v>142</v>
      </c>
      <c r="N938" s="6" t="n">
        <v>49</v>
      </c>
      <c r="O938" s="6" t="s">
        <v>60</v>
      </c>
      <c r="P938" s="6" t="n">
        <v>5</v>
      </c>
      <c r="Q938" s="6" t="n">
        <v>10.27</v>
      </c>
      <c r="R938" s="20" t="n">
        <f aca="false">(L938-K938)/K938</f>
        <v>-0.0163560908129221</v>
      </c>
    </row>
    <row r="939" customFormat="false" ht="15" hidden="false" customHeight="false" outlineLevel="0" collapsed="false">
      <c r="A939" s="6" t="s">
        <v>1101</v>
      </c>
      <c r="B939" s="6" t="n">
        <v>53</v>
      </c>
      <c r="C939" s="6" t="s">
        <v>139</v>
      </c>
      <c r="D939" s="6" t="s">
        <v>140</v>
      </c>
      <c r="E939" s="6" t="s">
        <v>92</v>
      </c>
      <c r="F939" s="6" t="s">
        <v>222</v>
      </c>
      <c r="G939" s="6" t="n">
        <v>28</v>
      </c>
      <c r="H939" s="6" t="s">
        <v>80</v>
      </c>
      <c r="I939" s="6" t="s">
        <v>80</v>
      </c>
      <c r="J939" s="6" t="s">
        <v>60</v>
      </c>
      <c r="K939" s="6" t="n">
        <v>94341</v>
      </c>
      <c r="L939" s="6" t="n">
        <v>95928</v>
      </c>
      <c r="M939" s="6" t="s">
        <v>142</v>
      </c>
      <c r="N939" s="6" t="n">
        <v>52</v>
      </c>
      <c r="O939" s="6" t="s">
        <v>60</v>
      </c>
      <c r="P939" s="6" t="n">
        <v>5</v>
      </c>
      <c r="Q939" s="6" t="n">
        <v>38.02</v>
      </c>
      <c r="R939" s="20" t="n">
        <f aca="false">(L939-K939)/K939</f>
        <v>0.0168219543994658</v>
      </c>
    </row>
    <row r="940" customFormat="false" ht="15" hidden="false" customHeight="false" outlineLevel="0" collapsed="false">
      <c r="A940" s="6" t="s">
        <v>1102</v>
      </c>
      <c r="B940" s="6" t="n">
        <v>50</v>
      </c>
      <c r="C940" s="6" t="s">
        <v>134</v>
      </c>
      <c r="D940" s="6" t="s">
        <v>148</v>
      </c>
      <c r="E940" s="6" t="s">
        <v>88</v>
      </c>
      <c r="F940" s="6" t="s">
        <v>157</v>
      </c>
      <c r="G940" s="6" t="n">
        <v>27</v>
      </c>
      <c r="H940" s="6" t="s">
        <v>80</v>
      </c>
      <c r="I940" s="6" t="s">
        <v>82</v>
      </c>
      <c r="J940" s="6" t="s">
        <v>58</v>
      </c>
      <c r="K940" s="6" t="n">
        <v>56183</v>
      </c>
      <c r="L940" s="6" t="n">
        <v>58287</v>
      </c>
      <c r="M940" s="6" t="s">
        <v>142</v>
      </c>
      <c r="N940" s="6" t="n">
        <v>41</v>
      </c>
      <c r="O940" s="6" t="s">
        <v>58</v>
      </c>
      <c r="P940" s="6" t="n">
        <v>6</v>
      </c>
      <c r="Q940" s="6" t="n">
        <v>23.08</v>
      </c>
      <c r="R940" s="20" t="n">
        <f aca="false">(L940-K940)/K940</f>
        <v>0.0374490504245056</v>
      </c>
    </row>
    <row r="941" customFormat="false" ht="15" hidden="false" customHeight="false" outlineLevel="0" collapsed="false">
      <c r="A941" s="6" t="s">
        <v>1103</v>
      </c>
      <c r="B941" s="6" t="n">
        <v>39</v>
      </c>
      <c r="C941" s="6" t="s">
        <v>139</v>
      </c>
      <c r="D941" s="6" t="s">
        <v>140</v>
      </c>
      <c r="E941" s="6" t="s">
        <v>92</v>
      </c>
      <c r="F941" s="6" t="s">
        <v>192</v>
      </c>
      <c r="G941" s="6" t="n">
        <v>14</v>
      </c>
      <c r="H941" s="6" t="s">
        <v>81</v>
      </c>
      <c r="I941" s="6" t="s">
        <v>81</v>
      </c>
      <c r="J941" s="6" t="s">
        <v>60</v>
      </c>
      <c r="K941" s="6" t="n">
        <v>92501</v>
      </c>
      <c r="L941" s="6" t="n">
        <v>90534</v>
      </c>
      <c r="M941" s="6" t="s">
        <v>146</v>
      </c>
      <c r="N941" s="6" t="n">
        <v>43</v>
      </c>
      <c r="O941" s="6" t="s">
        <v>60</v>
      </c>
      <c r="P941" s="6" t="n">
        <v>8</v>
      </c>
      <c r="Q941" s="6" t="n">
        <v>14.87</v>
      </c>
      <c r="R941" s="20" t="n">
        <f aca="false">(L941-K941)/K941</f>
        <v>-0.0212646349769192</v>
      </c>
    </row>
    <row r="942" customFormat="false" ht="15" hidden="false" customHeight="false" outlineLevel="0" collapsed="false">
      <c r="A942" s="6" t="s">
        <v>1104</v>
      </c>
      <c r="B942" s="6" t="n">
        <v>29</v>
      </c>
      <c r="C942" s="6" t="s">
        <v>139</v>
      </c>
      <c r="D942" s="6" t="s">
        <v>148</v>
      </c>
      <c r="E942" s="6" t="s">
        <v>88</v>
      </c>
      <c r="F942" s="6" t="s">
        <v>179</v>
      </c>
      <c r="G942" s="6" t="n">
        <v>5</v>
      </c>
      <c r="H942" s="6" t="s">
        <v>81</v>
      </c>
      <c r="I942" s="6" t="s">
        <v>82</v>
      </c>
      <c r="J942" s="6" t="s">
        <v>60</v>
      </c>
      <c r="K942" s="6" t="n">
        <v>65362</v>
      </c>
      <c r="L942" s="6" t="n">
        <v>69617</v>
      </c>
      <c r="M942" s="6" t="s">
        <v>142</v>
      </c>
      <c r="N942" s="6" t="n">
        <v>38</v>
      </c>
      <c r="O942" s="6" t="s">
        <v>58</v>
      </c>
      <c r="P942" s="6" t="n">
        <v>9</v>
      </c>
      <c r="Q942" s="6" t="n">
        <v>10.84</v>
      </c>
      <c r="R942" s="20" t="n">
        <f aca="false">(L942-K942)/K942</f>
        <v>0.0650989871790949</v>
      </c>
    </row>
    <row r="943" customFormat="false" ht="15" hidden="false" customHeight="false" outlineLevel="0" collapsed="false">
      <c r="A943" s="6" t="s">
        <v>1105</v>
      </c>
      <c r="B943" s="6" t="n">
        <v>41</v>
      </c>
      <c r="C943" s="6" t="s">
        <v>134</v>
      </c>
      <c r="D943" s="6" t="s">
        <v>135</v>
      </c>
      <c r="E943" s="6" t="s">
        <v>87</v>
      </c>
      <c r="F943" s="6" t="s">
        <v>160</v>
      </c>
      <c r="G943" s="6" t="n">
        <v>19</v>
      </c>
      <c r="H943" s="6" t="s">
        <v>82</v>
      </c>
      <c r="I943" s="6" t="s">
        <v>82</v>
      </c>
      <c r="J943" s="6" t="s">
        <v>58</v>
      </c>
      <c r="K943" s="6" t="n">
        <v>49867</v>
      </c>
      <c r="L943" s="6" t="n">
        <v>49497</v>
      </c>
      <c r="M943" s="6" t="s">
        <v>146</v>
      </c>
      <c r="N943" s="6" t="n">
        <v>50</v>
      </c>
      <c r="O943" s="6" t="s">
        <v>60</v>
      </c>
      <c r="P943" s="6" t="n">
        <v>6</v>
      </c>
      <c r="Q943" s="6" t="n">
        <v>11.57</v>
      </c>
      <c r="R943" s="20" t="n">
        <f aca="false">(L943-K943)/K943</f>
        <v>-0.00741973649908757</v>
      </c>
    </row>
    <row r="944" customFormat="false" ht="15" hidden="false" customHeight="false" outlineLevel="0" collapsed="false">
      <c r="A944" s="6" t="s">
        <v>1106</v>
      </c>
      <c r="B944" s="6" t="n">
        <v>59</v>
      </c>
      <c r="C944" s="6" t="s">
        <v>134</v>
      </c>
      <c r="D944" s="6" t="s">
        <v>140</v>
      </c>
      <c r="E944" s="6" t="s">
        <v>89</v>
      </c>
      <c r="F944" s="6" t="s">
        <v>153</v>
      </c>
      <c r="G944" s="6" t="n">
        <v>34</v>
      </c>
      <c r="H944" s="6" t="s">
        <v>81</v>
      </c>
      <c r="I944" s="6" t="s">
        <v>80</v>
      </c>
      <c r="J944" s="6" t="s">
        <v>58</v>
      </c>
      <c r="K944" s="6" t="n">
        <v>54014</v>
      </c>
      <c r="L944" s="6" t="n">
        <v>54872</v>
      </c>
      <c r="M944" s="6" t="s">
        <v>142</v>
      </c>
      <c r="N944" s="6" t="n">
        <v>46</v>
      </c>
      <c r="O944" s="6" t="s">
        <v>58</v>
      </c>
      <c r="P944" s="6" t="n">
        <v>4</v>
      </c>
      <c r="Q944" s="6" t="n">
        <v>1.21</v>
      </c>
      <c r="R944" s="20" t="n">
        <f aca="false">(L944-K944)/K944</f>
        <v>0.0158847706150257</v>
      </c>
    </row>
    <row r="945" customFormat="false" ht="15" hidden="false" customHeight="false" outlineLevel="0" collapsed="false">
      <c r="A945" s="6" t="s">
        <v>1107</v>
      </c>
      <c r="B945" s="6" t="n">
        <v>26</v>
      </c>
      <c r="C945" s="6" t="s">
        <v>134</v>
      </c>
      <c r="D945" s="6" t="s">
        <v>140</v>
      </c>
      <c r="E945" s="6" t="s">
        <v>87</v>
      </c>
      <c r="F945" s="6" t="s">
        <v>149</v>
      </c>
      <c r="G945" s="6" t="n">
        <v>1</v>
      </c>
      <c r="H945" s="6" t="s">
        <v>82</v>
      </c>
      <c r="I945" s="6" t="s">
        <v>80</v>
      </c>
      <c r="J945" s="6" t="s">
        <v>58</v>
      </c>
      <c r="K945" s="6" t="n">
        <v>36523</v>
      </c>
      <c r="L945" s="6" t="n">
        <v>50582</v>
      </c>
      <c r="M945" s="6" t="s">
        <v>142</v>
      </c>
      <c r="N945" s="6" t="n">
        <v>44</v>
      </c>
      <c r="O945" s="6" t="s">
        <v>60</v>
      </c>
      <c r="P945" s="6" t="n">
        <v>9</v>
      </c>
      <c r="Q945" s="6" t="n">
        <v>4.67</v>
      </c>
      <c r="R945" s="20" t="n">
        <f aca="false">(L945-K945)/K945</f>
        <v>0.384935520083235</v>
      </c>
    </row>
    <row r="946" customFormat="false" ht="15" hidden="false" customHeight="false" outlineLevel="0" collapsed="false">
      <c r="A946" s="6" t="s">
        <v>1108</v>
      </c>
      <c r="B946" s="6" t="n">
        <v>51</v>
      </c>
      <c r="C946" s="6" t="s">
        <v>159</v>
      </c>
      <c r="D946" s="6" t="s">
        <v>148</v>
      </c>
      <c r="E946" s="6" t="s">
        <v>87</v>
      </c>
      <c r="F946" s="6" t="s">
        <v>155</v>
      </c>
      <c r="G946" s="6" t="n">
        <v>26</v>
      </c>
      <c r="H946" s="6" t="s">
        <v>81</v>
      </c>
      <c r="I946" s="6" t="s">
        <v>80</v>
      </c>
      <c r="J946" s="6" t="s">
        <v>60</v>
      </c>
      <c r="K946" s="6" t="n">
        <v>44457</v>
      </c>
      <c r="L946" s="6" t="n">
        <v>50498</v>
      </c>
      <c r="M946" s="6" t="s">
        <v>142</v>
      </c>
      <c r="N946" s="6" t="n">
        <v>43</v>
      </c>
      <c r="O946" s="6" t="s">
        <v>60</v>
      </c>
      <c r="P946" s="6" t="n">
        <v>9</v>
      </c>
      <c r="Q946" s="6" t="n">
        <v>4.31</v>
      </c>
      <c r="R946" s="20" t="n">
        <f aca="false">(L946-K946)/K946</f>
        <v>0.135884112738151</v>
      </c>
    </row>
    <row r="947" customFormat="false" ht="15" hidden="false" customHeight="false" outlineLevel="0" collapsed="false">
      <c r="A947" s="6" t="s">
        <v>1109</v>
      </c>
      <c r="B947" s="6" t="n">
        <v>55</v>
      </c>
      <c r="C947" s="6" t="s">
        <v>134</v>
      </c>
      <c r="D947" s="6" t="s">
        <v>144</v>
      </c>
      <c r="E947" s="6" t="s">
        <v>91</v>
      </c>
      <c r="F947" s="6" t="s">
        <v>208</v>
      </c>
      <c r="G947" s="6" t="n">
        <v>32</v>
      </c>
      <c r="H947" s="6" t="s">
        <v>80</v>
      </c>
      <c r="I947" s="6" t="s">
        <v>82</v>
      </c>
      <c r="J947" s="6" t="s">
        <v>58</v>
      </c>
      <c r="K947" s="6" t="n">
        <v>82709</v>
      </c>
      <c r="L947" s="6" t="n">
        <v>90812</v>
      </c>
      <c r="M947" s="6" t="s">
        <v>142</v>
      </c>
      <c r="N947" s="6" t="n">
        <v>36</v>
      </c>
      <c r="O947" s="6" t="s">
        <v>60</v>
      </c>
      <c r="P947" s="6" t="n">
        <v>6</v>
      </c>
      <c r="Q947" s="6" t="n">
        <v>-3.3</v>
      </c>
      <c r="R947" s="20" t="n">
        <f aca="false">(L947-K947)/K947</f>
        <v>0.0979699911738747</v>
      </c>
    </row>
    <row r="948" customFormat="false" ht="15" hidden="false" customHeight="false" outlineLevel="0" collapsed="false">
      <c r="A948" s="6" t="s">
        <v>1110</v>
      </c>
      <c r="B948" s="6" t="n">
        <v>36</v>
      </c>
      <c r="C948" s="6" t="s">
        <v>134</v>
      </c>
      <c r="D948" s="6" t="s">
        <v>148</v>
      </c>
      <c r="E948" s="6" t="s">
        <v>92</v>
      </c>
      <c r="F948" s="6" t="s">
        <v>222</v>
      </c>
      <c r="G948" s="6" t="n">
        <v>13</v>
      </c>
      <c r="H948" s="6" t="s">
        <v>81</v>
      </c>
      <c r="I948" s="6" t="s">
        <v>82</v>
      </c>
      <c r="J948" s="6" t="s">
        <v>60</v>
      </c>
      <c r="K948" s="6" t="n">
        <v>41620</v>
      </c>
      <c r="L948" s="6" t="n">
        <v>43205</v>
      </c>
      <c r="M948" s="6" t="s">
        <v>142</v>
      </c>
      <c r="N948" s="6" t="n">
        <v>44</v>
      </c>
      <c r="O948" s="6" t="s">
        <v>58</v>
      </c>
      <c r="P948" s="6" t="n">
        <v>5</v>
      </c>
      <c r="Q948" s="6" t="n">
        <v>-6.94</v>
      </c>
      <c r="R948" s="20" t="n">
        <f aca="false">(L948-K948)/K948</f>
        <v>0.0380826525708794</v>
      </c>
    </row>
    <row r="949" customFormat="false" ht="15" hidden="false" customHeight="false" outlineLevel="0" collapsed="false">
      <c r="A949" s="6" t="s">
        <v>1111</v>
      </c>
      <c r="B949" s="6" t="n">
        <v>24</v>
      </c>
      <c r="C949" s="6" t="s">
        <v>139</v>
      </c>
      <c r="D949" s="6" t="s">
        <v>140</v>
      </c>
      <c r="E949" s="6" t="s">
        <v>87</v>
      </c>
      <c r="F949" s="6" t="s">
        <v>149</v>
      </c>
      <c r="G949" s="6" t="n">
        <v>0</v>
      </c>
      <c r="H949" s="6" t="s">
        <v>80</v>
      </c>
      <c r="I949" s="6" t="s">
        <v>82</v>
      </c>
      <c r="J949" s="6" t="s">
        <v>60</v>
      </c>
      <c r="K949" s="6" t="n">
        <v>88031</v>
      </c>
      <c r="L949" s="6" t="n">
        <v>86535</v>
      </c>
      <c r="M949" s="6" t="s">
        <v>142</v>
      </c>
      <c r="N949" s="6" t="n">
        <v>36</v>
      </c>
      <c r="O949" s="6" t="s">
        <v>58</v>
      </c>
      <c r="P949" s="6" t="n">
        <v>6</v>
      </c>
      <c r="Q949" s="6" t="n">
        <v>-4.76</v>
      </c>
      <c r="R949" s="20" t="n">
        <f aca="false">(L949-K949)/K949</f>
        <v>-0.0169940134725267</v>
      </c>
    </row>
    <row r="950" customFormat="false" ht="15" hidden="false" customHeight="false" outlineLevel="0" collapsed="false">
      <c r="A950" s="6" t="s">
        <v>1112</v>
      </c>
      <c r="B950" s="6" t="n">
        <v>31</v>
      </c>
      <c r="C950" s="6" t="s">
        <v>159</v>
      </c>
      <c r="D950" s="6" t="s">
        <v>144</v>
      </c>
      <c r="E950" s="6" t="s">
        <v>88</v>
      </c>
      <c r="F950" s="6" t="s">
        <v>157</v>
      </c>
      <c r="G950" s="6" t="n">
        <v>9</v>
      </c>
      <c r="H950" s="6" t="s">
        <v>80</v>
      </c>
      <c r="I950" s="6" t="s">
        <v>80</v>
      </c>
      <c r="J950" s="6" t="s">
        <v>60</v>
      </c>
      <c r="K950" s="6" t="n">
        <v>78773</v>
      </c>
      <c r="L950" s="6" t="n">
        <v>83818</v>
      </c>
      <c r="M950" s="6" t="s">
        <v>142</v>
      </c>
      <c r="N950" s="6" t="n">
        <v>43</v>
      </c>
      <c r="O950" s="6" t="s">
        <v>58</v>
      </c>
      <c r="P950" s="6" t="n">
        <v>5</v>
      </c>
      <c r="Q950" s="6" t="n">
        <v>23.34</v>
      </c>
      <c r="R950" s="20" t="n">
        <f aca="false">(L950-K950)/K950</f>
        <v>0.0640447869193759</v>
      </c>
    </row>
    <row r="951" customFormat="false" ht="15" hidden="false" customHeight="false" outlineLevel="0" collapsed="false">
      <c r="A951" s="6" t="s">
        <v>1113</v>
      </c>
      <c r="B951" s="6" t="n">
        <v>34</v>
      </c>
      <c r="C951" s="6" t="s">
        <v>139</v>
      </c>
      <c r="D951" s="6" t="s">
        <v>135</v>
      </c>
      <c r="E951" s="6" t="s">
        <v>89</v>
      </c>
      <c r="F951" s="6" t="s">
        <v>153</v>
      </c>
      <c r="G951" s="6" t="n">
        <v>10</v>
      </c>
      <c r="H951" s="6" t="s">
        <v>80</v>
      </c>
      <c r="I951" s="6" t="s">
        <v>81</v>
      </c>
      <c r="J951" s="6" t="s">
        <v>58</v>
      </c>
      <c r="K951" s="6" t="n">
        <v>58948</v>
      </c>
      <c r="L951" s="6" t="n">
        <v>59457</v>
      </c>
      <c r="M951" s="6" t="s">
        <v>146</v>
      </c>
      <c r="N951" s="6" t="n">
        <v>37</v>
      </c>
      <c r="O951" s="6" t="s">
        <v>60</v>
      </c>
      <c r="P951" s="6" t="n">
        <v>5</v>
      </c>
      <c r="Q951" s="6" t="n">
        <v>38.59</v>
      </c>
      <c r="R951" s="20" t="n">
        <f aca="false">(L951-K951)/K951</f>
        <v>0.00863472891361878</v>
      </c>
    </row>
    <row r="952" customFormat="false" ht="15" hidden="false" customHeight="false" outlineLevel="0" collapsed="false">
      <c r="A952" s="6" t="s">
        <v>1114</v>
      </c>
      <c r="B952" s="6" t="n">
        <v>25</v>
      </c>
      <c r="C952" s="6" t="s">
        <v>139</v>
      </c>
      <c r="D952" s="6" t="s">
        <v>144</v>
      </c>
      <c r="E952" s="6" t="s">
        <v>88</v>
      </c>
      <c r="F952" s="6" t="s">
        <v>157</v>
      </c>
      <c r="G952" s="6" t="n">
        <v>3</v>
      </c>
      <c r="H952" s="6" t="s">
        <v>81</v>
      </c>
      <c r="I952" s="6" t="s">
        <v>82</v>
      </c>
      <c r="J952" s="6" t="s">
        <v>60</v>
      </c>
      <c r="K952" s="6" t="n">
        <v>88535</v>
      </c>
      <c r="L952" s="6" t="n">
        <v>98714</v>
      </c>
      <c r="M952" s="6" t="s">
        <v>142</v>
      </c>
      <c r="N952" s="6" t="n">
        <v>46</v>
      </c>
      <c r="O952" s="6" t="s">
        <v>58</v>
      </c>
      <c r="P952" s="6" t="n">
        <v>3</v>
      </c>
      <c r="Q952" s="6" t="n">
        <v>1.52</v>
      </c>
      <c r="R952" s="20" t="n">
        <f aca="false">(L952-K952)/K952</f>
        <v>0.114971480205568</v>
      </c>
    </row>
    <row r="953" customFormat="false" ht="15" hidden="false" customHeight="false" outlineLevel="0" collapsed="false">
      <c r="A953" s="6" t="s">
        <v>1115</v>
      </c>
      <c r="B953" s="6" t="n">
        <v>34</v>
      </c>
      <c r="C953" s="6" t="s">
        <v>134</v>
      </c>
      <c r="D953" s="6" t="s">
        <v>135</v>
      </c>
      <c r="E953" s="6" t="s">
        <v>87</v>
      </c>
      <c r="F953" s="6" t="s">
        <v>155</v>
      </c>
      <c r="G953" s="6" t="n">
        <v>9</v>
      </c>
      <c r="H953" s="6" t="s">
        <v>82</v>
      </c>
      <c r="I953" s="6" t="s">
        <v>82</v>
      </c>
      <c r="J953" s="6" t="s">
        <v>60</v>
      </c>
      <c r="K953" s="6" t="n">
        <v>96381</v>
      </c>
      <c r="L953" s="6" t="n">
        <v>77833</v>
      </c>
      <c r="M953" s="6" t="s">
        <v>137</v>
      </c>
      <c r="N953" s="6" t="n">
        <v>38</v>
      </c>
      <c r="O953" s="6" t="s">
        <v>58</v>
      </c>
      <c r="P953" s="6" t="n">
        <v>3</v>
      </c>
      <c r="Q953" s="6" t="n">
        <v>18.67</v>
      </c>
      <c r="R953" s="20" t="n">
        <f aca="false">(L953-K953)/K953</f>
        <v>-0.192444568950312</v>
      </c>
    </row>
    <row r="954" customFormat="false" ht="15" hidden="false" customHeight="false" outlineLevel="0" collapsed="false">
      <c r="A954" s="6" t="s">
        <v>1116</v>
      </c>
      <c r="B954" s="6" t="n">
        <v>56</v>
      </c>
      <c r="C954" s="6" t="s">
        <v>139</v>
      </c>
      <c r="D954" s="6" t="s">
        <v>140</v>
      </c>
      <c r="E954" s="6" t="s">
        <v>87</v>
      </c>
      <c r="F954" s="6" t="s">
        <v>149</v>
      </c>
      <c r="G954" s="6" t="n">
        <v>34</v>
      </c>
      <c r="H954" s="6" t="s">
        <v>82</v>
      </c>
      <c r="I954" s="6" t="s">
        <v>81</v>
      </c>
      <c r="J954" s="6" t="s">
        <v>58</v>
      </c>
      <c r="K954" s="6" t="n">
        <v>33832</v>
      </c>
      <c r="L954" s="6" t="n">
        <v>42852</v>
      </c>
      <c r="M954" s="6" t="s">
        <v>146</v>
      </c>
      <c r="N954" s="6" t="n">
        <v>45</v>
      </c>
      <c r="O954" s="6" t="s">
        <v>60</v>
      </c>
      <c r="P954" s="6" t="n">
        <v>5</v>
      </c>
      <c r="Q954" s="6" t="n">
        <v>-6.45</v>
      </c>
      <c r="R954" s="20" t="n">
        <f aca="false">(L954-K954)/K954</f>
        <v>0.266611492078506</v>
      </c>
    </row>
    <row r="955" customFormat="false" ht="15" hidden="false" customHeight="false" outlineLevel="0" collapsed="false">
      <c r="A955" s="6" t="s">
        <v>1117</v>
      </c>
      <c r="B955" s="6" t="n">
        <v>47</v>
      </c>
      <c r="C955" s="6" t="s">
        <v>134</v>
      </c>
      <c r="D955" s="6" t="s">
        <v>140</v>
      </c>
      <c r="E955" s="6" t="s">
        <v>88</v>
      </c>
      <c r="F955" s="6" t="s">
        <v>157</v>
      </c>
      <c r="G955" s="6" t="n">
        <v>23</v>
      </c>
      <c r="H955" s="6" t="s">
        <v>82</v>
      </c>
      <c r="I955" s="6" t="s">
        <v>80</v>
      </c>
      <c r="J955" s="6" t="s">
        <v>58</v>
      </c>
      <c r="K955" s="6" t="n">
        <v>81638</v>
      </c>
      <c r="L955" s="6" t="n">
        <v>107543</v>
      </c>
      <c r="M955" s="6" t="s">
        <v>142</v>
      </c>
      <c r="N955" s="6" t="n">
        <v>46</v>
      </c>
      <c r="O955" s="6" t="s">
        <v>60</v>
      </c>
      <c r="P955" s="6" t="n">
        <v>7</v>
      </c>
      <c r="Q955" s="6" t="n">
        <v>28.97</v>
      </c>
      <c r="R955" s="20" t="n">
        <f aca="false">(L955-K955)/K955</f>
        <v>0.317315465836988</v>
      </c>
    </row>
    <row r="956" customFormat="false" ht="15" hidden="false" customHeight="false" outlineLevel="0" collapsed="false">
      <c r="A956" s="6" t="s">
        <v>1118</v>
      </c>
      <c r="B956" s="6" t="n">
        <v>41</v>
      </c>
      <c r="C956" s="6" t="s">
        <v>139</v>
      </c>
      <c r="D956" s="6" t="s">
        <v>140</v>
      </c>
      <c r="E956" s="6" t="s">
        <v>89</v>
      </c>
      <c r="F956" s="6" t="s">
        <v>153</v>
      </c>
      <c r="G956" s="6" t="n">
        <v>15</v>
      </c>
      <c r="H956" s="6" t="s">
        <v>81</v>
      </c>
      <c r="I956" s="6" t="s">
        <v>82</v>
      </c>
      <c r="J956" s="6" t="s">
        <v>60</v>
      </c>
      <c r="K956" s="6" t="n">
        <v>40024</v>
      </c>
      <c r="L956" s="6" t="n">
        <v>37275</v>
      </c>
      <c r="M956" s="6" t="s">
        <v>142</v>
      </c>
      <c r="N956" s="6" t="n">
        <v>47</v>
      </c>
      <c r="O956" s="6" t="s">
        <v>58</v>
      </c>
      <c r="P956" s="6" t="n">
        <v>4</v>
      </c>
      <c r="Q956" s="6" t="n">
        <v>14.14</v>
      </c>
      <c r="R956" s="20" t="n">
        <f aca="false">(L956-K956)/K956</f>
        <v>-0.0686837897261643</v>
      </c>
    </row>
    <row r="957" customFormat="false" ht="15" hidden="false" customHeight="false" outlineLevel="0" collapsed="false">
      <c r="A957" s="6" t="s">
        <v>1119</v>
      </c>
      <c r="B957" s="6" t="n">
        <v>54</v>
      </c>
      <c r="C957" s="6" t="s">
        <v>159</v>
      </c>
      <c r="D957" s="6" t="s">
        <v>148</v>
      </c>
      <c r="E957" s="6" t="s">
        <v>89</v>
      </c>
      <c r="F957" s="6" t="s">
        <v>151</v>
      </c>
      <c r="G957" s="6" t="n">
        <v>32</v>
      </c>
      <c r="H957" s="6" t="s">
        <v>82</v>
      </c>
      <c r="I957" s="6" t="s">
        <v>81</v>
      </c>
      <c r="J957" s="6" t="s">
        <v>60</v>
      </c>
      <c r="K957" s="6" t="n">
        <v>33407</v>
      </c>
      <c r="L957" s="6" t="n">
        <v>38136</v>
      </c>
      <c r="M957" s="6" t="s">
        <v>146</v>
      </c>
      <c r="N957" s="6" t="n">
        <v>39</v>
      </c>
      <c r="O957" s="6" t="s">
        <v>58</v>
      </c>
      <c r="P957" s="6" t="n">
        <v>4</v>
      </c>
      <c r="Q957" s="6" t="n">
        <v>-19.88</v>
      </c>
      <c r="R957" s="20" t="n">
        <f aca="false">(L957-K957)/K957</f>
        <v>0.141557158679319</v>
      </c>
    </row>
    <row r="958" customFormat="false" ht="15" hidden="false" customHeight="false" outlineLevel="0" collapsed="false">
      <c r="A958" s="6" t="s">
        <v>1120</v>
      </c>
      <c r="B958" s="6" t="n">
        <v>32</v>
      </c>
      <c r="C958" s="6" t="s">
        <v>159</v>
      </c>
      <c r="D958" s="6" t="s">
        <v>140</v>
      </c>
      <c r="E958" s="6" t="s">
        <v>92</v>
      </c>
      <c r="F958" s="6" t="s">
        <v>136</v>
      </c>
      <c r="G958" s="6" t="n">
        <v>6</v>
      </c>
      <c r="H958" s="6" t="s">
        <v>80</v>
      </c>
      <c r="I958" s="6" t="s">
        <v>80</v>
      </c>
      <c r="J958" s="6" t="s">
        <v>60</v>
      </c>
      <c r="K958" s="6" t="n">
        <v>56505</v>
      </c>
      <c r="L958" s="6" t="n">
        <v>59034</v>
      </c>
      <c r="M958" s="6" t="s">
        <v>142</v>
      </c>
      <c r="N958" s="6" t="n">
        <v>42</v>
      </c>
      <c r="O958" s="6" t="s">
        <v>60</v>
      </c>
      <c r="P958" s="6" t="n">
        <v>9</v>
      </c>
      <c r="Q958" s="6" t="n">
        <v>11.12</v>
      </c>
      <c r="R958" s="20" t="n">
        <f aca="false">(L958-K958)/K958</f>
        <v>0.0447571011414919</v>
      </c>
    </row>
    <row r="959" customFormat="false" ht="15" hidden="false" customHeight="false" outlineLevel="0" collapsed="false">
      <c r="A959" s="6" t="s">
        <v>1121</v>
      </c>
      <c r="B959" s="6" t="n">
        <v>32</v>
      </c>
      <c r="C959" s="6" t="s">
        <v>134</v>
      </c>
      <c r="D959" s="6" t="s">
        <v>144</v>
      </c>
      <c r="E959" s="6" t="s">
        <v>87</v>
      </c>
      <c r="F959" s="6" t="s">
        <v>155</v>
      </c>
      <c r="G959" s="6" t="n">
        <v>6</v>
      </c>
      <c r="H959" s="6" t="s">
        <v>81</v>
      </c>
      <c r="I959" s="6" t="s">
        <v>82</v>
      </c>
      <c r="J959" s="6" t="s">
        <v>60</v>
      </c>
      <c r="K959" s="6" t="n">
        <v>33880</v>
      </c>
      <c r="L959" s="6" t="n">
        <v>31758</v>
      </c>
      <c r="M959" s="6" t="s">
        <v>142</v>
      </c>
      <c r="N959" s="6" t="n">
        <v>36</v>
      </c>
      <c r="O959" s="6" t="s">
        <v>58</v>
      </c>
      <c r="P959" s="6" t="n">
        <v>4</v>
      </c>
      <c r="Q959" s="6" t="n">
        <v>19.15</v>
      </c>
      <c r="R959" s="20" t="n">
        <f aca="false">(L959-K959)/K959</f>
        <v>-0.0626328217237308</v>
      </c>
    </row>
    <row r="960" customFormat="false" ht="15" hidden="false" customHeight="false" outlineLevel="0" collapsed="false">
      <c r="A960" s="6" t="s">
        <v>1122</v>
      </c>
      <c r="B960" s="6" t="n">
        <v>37</v>
      </c>
      <c r="C960" s="6" t="s">
        <v>159</v>
      </c>
      <c r="D960" s="6" t="s">
        <v>144</v>
      </c>
      <c r="E960" s="6" t="s">
        <v>88</v>
      </c>
      <c r="F960" s="6" t="s">
        <v>157</v>
      </c>
      <c r="G960" s="6" t="n">
        <v>15</v>
      </c>
      <c r="H960" s="6" t="s">
        <v>80</v>
      </c>
      <c r="I960" s="6" t="s">
        <v>81</v>
      </c>
      <c r="J960" s="6" t="s">
        <v>60</v>
      </c>
      <c r="K960" s="6" t="n">
        <v>90102</v>
      </c>
      <c r="L960" s="6" t="n">
        <v>89623</v>
      </c>
      <c r="M960" s="6" t="s">
        <v>146</v>
      </c>
      <c r="N960" s="6" t="n">
        <v>40</v>
      </c>
      <c r="O960" s="6" t="s">
        <v>60</v>
      </c>
      <c r="P960" s="6" t="n">
        <v>7</v>
      </c>
      <c r="Q960" s="6" t="n">
        <v>7.3</v>
      </c>
      <c r="R960" s="20" t="n">
        <f aca="false">(L960-K960)/K960</f>
        <v>-0.00531619719873033</v>
      </c>
    </row>
    <row r="961" customFormat="false" ht="15" hidden="false" customHeight="false" outlineLevel="0" collapsed="false">
      <c r="A961" s="6" t="s">
        <v>1123</v>
      </c>
      <c r="B961" s="6" t="n">
        <v>44</v>
      </c>
      <c r="C961" s="6" t="s">
        <v>139</v>
      </c>
      <c r="D961" s="6" t="s">
        <v>135</v>
      </c>
      <c r="E961" s="6" t="s">
        <v>88</v>
      </c>
      <c r="F961" s="6" t="s">
        <v>179</v>
      </c>
      <c r="G961" s="6" t="n">
        <v>20</v>
      </c>
      <c r="H961" s="6" t="s">
        <v>82</v>
      </c>
      <c r="I961" s="6" t="s">
        <v>80</v>
      </c>
      <c r="J961" s="6" t="s">
        <v>58</v>
      </c>
      <c r="K961" s="6" t="n">
        <v>83997</v>
      </c>
      <c r="L961" s="6" t="n">
        <v>106300</v>
      </c>
      <c r="M961" s="6" t="s">
        <v>142</v>
      </c>
      <c r="N961" s="6" t="n">
        <v>54</v>
      </c>
      <c r="O961" s="6" t="s">
        <v>58</v>
      </c>
      <c r="P961" s="6" t="n">
        <v>3</v>
      </c>
      <c r="Q961" s="6" t="n">
        <v>28.48</v>
      </c>
      <c r="R961" s="20" t="n">
        <f aca="false">(L961-K961)/K961</f>
        <v>0.265521387668607</v>
      </c>
    </row>
    <row r="962" customFormat="false" ht="15" hidden="false" customHeight="false" outlineLevel="0" collapsed="false">
      <c r="A962" s="6" t="s">
        <v>1124</v>
      </c>
      <c r="B962" s="6" t="n">
        <v>36</v>
      </c>
      <c r="C962" s="6" t="s">
        <v>139</v>
      </c>
      <c r="D962" s="6" t="s">
        <v>148</v>
      </c>
      <c r="E962" s="6" t="s">
        <v>92</v>
      </c>
      <c r="F962" s="6" t="s">
        <v>222</v>
      </c>
      <c r="G962" s="6" t="n">
        <v>11</v>
      </c>
      <c r="H962" s="6" t="s">
        <v>82</v>
      </c>
      <c r="I962" s="6" t="s">
        <v>81</v>
      </c>
      <c r="J962" s="6" t="s">
        <v>60</v>
      </c>
      <c r="K962" s="6" t="n">
        <v>50316</v>
      </c>
      <c r="L962" s="6" t="n">
        <v>55333</v>
      </c>
      <c r="M962" s="6" t="s">
        <v>146</v>
      </c>
      <c r="N962" s="6" t="n">
        <v>35</v>
      </c>
      <c r="O962" s="6" t="s">
        <v>60</v>
      </c>
      <c r="P962" s="6" t="n">
        <v>8</v>
      </c>
      <c r="Q962" s="6" t="n">
        <v>25.89</v>
      </c>
      <c r="R962" s="20" t="n">
        <f aca="false">(L962-K962)/K962</f>
        <v>0.0997098338500676</v>
      </c>
    </row>
    <row r="963" customFormat="false" ht="15" hidden="false" customHeight="false" outlineLevel="0" collapsed="false">
      <c r="A963" s="6" t="s">
        <v>1125</v>
      </c>
      <c r="B963" s="6" t="n">
        <v>26</v>
      </c>
      <c r="C963" s="6" t="s">
        <v>159</v>
      </c>
      <c r="D963" s="6" t="s">
        <v>140</v>
      </c>
      <c r="E963" s="6" t="s">
        <v>91</v>
      </c>
      <c r="F963" s="6" t="s">
        <v>208</v>
      </c>
      <c r="G963" s="6" t="n">
        <v>3</v>
      </c>
      <c r="H963" s="6" t="s">
        <v>82</v>
      </c>
      <c r="I963" s="6" t="s">
        <v>80</v>
      </c>
      <c r="J963" s="6" t="s">
        <v>60</v>
      </c>
      <c r="K963" s="6" t="n">
        <v>100821</v>
      </c>
      <c r="L963" s="6" t="n">
        <v>85814</v>
      </c>
      <c r="M963" s="6" t="s">
        <v>142</v>
      </c>
      <c r="N963" s="6" t="n">
        <v>53</v>
      </c>
      <c r="O963" s="6" t="s">
        <v>58</v>
      </c>
      <c r="P963" s="6" t="n">
        <v>9</v>
      </c>
      <c r="Q963" s="6" t="n">
        <v>31.97</v>
      </c>
      <c r="R963" s="20" t="n">
        <f aca="false">(L963-K963)/K963</f>
        <v>-0.148847958262664</v>
      </c>
    </row>
    <row r="964" customFormat="false" ht="15" hidden="false" customHeight="false" outlineLevel="0" collapsed="false">
      <c r="A964" s="6" t="s">
        <v>1126</v>
      </c>
      <c r="B964" s="6" t="n">
        <v>31</v>
      </c>
      <c r="C964" s="6" t="s">
        <v>159</v>
      </c>
      <c r="D964" s="6" t="s">
        <v>135</v>
      </c>
      <c r="E964" s="6" t="s">
        <v>87</v>
      </c>
      <c r="F964" s="6" t="s">
        <v>155</v>
      </c>
      <c r="G964" s="6" t="n">
        <v>8</v>
      </c>
      <c r="H964" s="6" t="s">
        <v>82</v>
      </c>
      <c r="I964" s="6" t="s">
        <v>82</v>
      </c>
      <c r="J964" s="6" t="s">
        <v>58</v>
      </c>
      <c r="K964" s="6" t="n">
        <v>45994</v>
      </c>
      <c r="L964" s="6" t="n">
        <v>55882</v>
      </c>
      <c r="M964" s="6" t="s">
        <v>137</v>
      </c>
      <c r="N964" s="6" t="n">
        <v>35</v>
      </c>
      <c r="O964" s="6" t="s">
        <v>60</v>
      </c>
      <c r="P964" s="6" t="n">
        <v>8</v>
      </c>
      <c r="Q964" s="6" t="n">
        <v>27.7</v>
      </c>
      <c r="R964" s="20" t="n">
        <f aca="false">(L964-K964)/K964</f>
        <v>0.214984563203896</v>
      </c>
    </row>
    <row r="965" customFormat="false" ht="15" hidden="false" customHeight="false" outlineLevel="0" collapsed="false">
      <c r="A965" s="6" t="s">
        <v>1127</v>
      </c>
      <c r="B965" s="6" t="n">
        <v>59</v>
      </c>
      <c r="C965" s="6" t="s">
        <v>139</v>
      </c>
      <c r="D965" s="6" t="s">
        <v>148</v>
      </c>
      <c r="E965" s="6" t="s">
        <v>93</v>
      </c>
      <c r="F965" s="6" t="s">
        <v>197</v>
      </c>
      <c r="G965" s="6" t="n">
        <v>35</v>
      </c>
      <c r="H965" s="6" t="s">
        <v>82</v>
      </c>
      <c r="I965" s="6" t="s">
        <v>80</v>
      </c>
      <c r="J965" s="6" t="s">
        <v>60</v>
      </c>
      <c r="K965" s="6" t="n">
        <v>103313</v>
      </c>
      <c r="L965" s="6" t="n">
        <v>137021</v>
      </c>
      <c r="M965" s="6" t="s">
        <v>142</v>
      </c>
      <c r="N965" s="6" t="n">
        <v>43</v>
      </c>
      <c r="O965" s="6" t="s">
        <v>58</v>
      </c>
      <c r="P965" s="6" t="n">
        <v>5</v>
      </c>
      <c r="Q965" s="6" t="n">
        <v>11.69</v>
      </c>
      <c r="R965" s="20" t="n">
        <f aca="false">(L965-K965)/K965</f>
        <v>0.326270653257577</v>
      </c>
    </row>
    <row r="966" customFormat="false" ht="15" hidden="false" customHeight="false" outlineLevel="0" collapsed="false">
      <c r="A966" s="6" t="s">
        <v>1128</v>
      </c>
      <c r="B966" s="6" t="n">
        <v>26</v>
      </c>
      <c r="C966" s="6" t="s">
        <v>139</v>
      </c>
      <c r="D966" s="6" t="s">
        <v>135</v>
      </c>
      <c r="E966" s="6" t="s">
        <v>89</v>
      </c>
      <c r="F966" s="6" t="s">
        <v>151</v>
      </c>
      <c r="G966" s="6" t="n">
        <v>1</v>
      </c>
      <c r="H966" s="6" t="s">
        <v>81</v>
      </c>
      <c r="I966" s="6" t="s">
        <v>82</v>
      </c>
      <c r="J966" s="6" t="s">
        <v>60</v>
      </c>
      <c r="K966" s="6" t="n">
        <v>110052</v>
      </c>
      <c r="L966" s="6" t="n">
        <v>103308</v>
      </c>
      <c r="M966" s="6" t="s">
        <v>142</v>
      </c>
      <c r="N966" s="6" t="n">
        <v>47</v>
      </c>
      <c r="O966" s="6" t="s">
        <v>60</v>
      </c>
      <c r="P966" s="6" t="n">
        <v>5</v>
      </c>
      <c r="Q966" s="6" t="n">
        <v>24.54</v>
      </c>
      <c r="R966" s="20" t="n">
        <f aca="false">(L966-K966)/K966</f>
        <v>-0.0612801221240868</v>
      </c>
    </row>
    <row r="967" customFormat="false" ht="15" hidden="false" customHeight="false" outlineLevel="0" collapsed="false">
      <c r="A967" s="6" t="s">
        <v>1129</v>
      </c>
      <c r="B967" s="6" t="n">
        <v>47</v>
      </c>
      <c r="C967" s="6" t="s">
        <v>134</v>
      </c>
      <c r="D967" s="6" t="s">
        <v>140</v>
      </c>
      <c r="E967" s="6" t="s">
        <v>93</v>
      </c>
      <c r="F967" s="6" t="s">
        <v>164</v>
      </c>
      <c r="G967" s="6" t="n">
        <v>24</v>
      </c>
      <c r="H967" s="6" t="s">
        <v>81</v>
      </c>
      <c r="I967" s="6" t="s">
        <v>80</v>
      </c>
      <c r="J967" s="6" t="s">
        <v>60</v>
      </c>
      <c r="K967" s="6" t="n">
        <v>63332</v>
      </c>
      <c r="L967" s="6" t="n">
        <v>59535</v>
      </c>
      <c r="M967" s="6" t="s">
        <v>142</v>
      </c>
      <c r="N967" s="6" t="n">
        <v>36</v>
      </c>
      <c r="O967" s="6" t="s">
        <v>58</v>
      </c>
      <c r="P967" s="6" t="n">
        <v>7</v>
      </c>
      <c r="Q967" s="6" t="n">
        <v>3.2</v>
      </c>
      <c r="R967" s="20" t="n">
        <f aca="false">(L967-K967)/K967</f>
        <v>-0.0599538937661846</v>
      </c>
    </row>
    <row r="968" customFormat="false" ht="15" hidden="false" customHeight="false" outlineLevel="0" collapsed="false">
      <c r="A968" s="6" t="s">
        <v>1130</v>
      </c>
      <c r="B968" s="6" t="n">
        <v>36</v>
      </c>
      <c r="C968" s="6" t="s">
        <v>139</v>
      </c>
      <c r="D968" s="6" t="s">
        <v>144</v>
      </c>
      <c r="E968" s="6" t="s">
        <v>92</v>
      </c>
      <c r="F968" s="6" t="s">
        <v>192</v>
      </c>
      <c r="G968" s="6" t="n">
        <v>13</v>
      </c>
      <c r="H968" s="6" t="s">
        <v>81</v>
      </c>
      <c r="I968" s="6" t="s">
        <v>81</v>
      </c>
      <c r="J968" s="6" t="s">
        <v>58</v>
      </c>
      <c r="K968" s="6" t="n">
        <v>77663</v>
      </c>
      <c r="L968" s="6" t="n">
        <v>72517</v>
      </c>
      <c r="M968" s="6" t="s">
        <v>146</v>
      </c>
      <c r="N968" s="6" t="n">
        <v>53</v>
      </c>
      <c r="O968" s="6" t="s">
        <v>58</v>
      </c>
      <c r="P968" s="6" t="n">
        <v>9</v>
      </c>
      <c r="Q968" s="6" t="n">
        <v>24.16</v>
      </c>
      <c r="R968" s="20" t="n">
        <f aca="false">(L968-K968)/K968</f>
        <v>-0.0662606389142835</v>
      </c>
    </row>
    <row r="969" customFormat="false" ht="15" hidden="false" customHeight="false" outlineLevel="0" collapsed="false">
      <c r="A969" s="6" t="s">
        <v>1131</v>
      </c>
      <c r="B969" s="6" t="n">
        <v>25</v>
      </c>
      <c r="C969" s="6" t="s">
        <v>139</v>
      </c>
      <c r="D969" s="6" t="s">
        <v>140</v>
      </c>
      <c r="E969" s="6" t="s">
        <v>91</v>
      </c>
      <c r="F969" s="6" t="s">
        <v>141</v>
      </c>
      <c r="G969" s="6" t="n">
        <v>1</v>
      </c>
      <c r="H969" s="6" t="s">
        <v>80</v>
      </c>
      <c r="I969" s="6" t="s">
        <v>82</v>
      </c>
      <c r="J969" s="6" t="s">
        <v>58</v>
      </c>
      <c r="K969" s="6" t="n">
        <v>43303</v>
      </c>
      <c r="L969" s="6" t="n">
        <v>42950</v>
      </c>
      <c r="M969" s="6" t="s">
        <v>142</v>
      </c>
      <c r="N969" s="6" t="n">
        <v>35</v>
      </c>
      <c r="O969" s="6" t="s">
        <v>60</v>
      </c>
      <c r="P969" s="6" t="n">
        <v>8</v>
      </c>
      <c r="Q969" s="6" t="n">
        <v>35.84</v>
      </c>
      <c r="R969" s="20" t="n">
        <f aca="false">(L969-K969)/K969</f>
        <v>-0.00815186014825763</v>
      </c>
    </row>
    <row r="970" customFormat="false" ht="15" hidden="false" customHeight="false" outlineLevel="0" collapsed="false">
      <c r="A970" s="6" t="s">
        <v>1132</v>
      </c>
      <c r="B970" s="6" t="n">
        <v>32</v>
      </c>
      <c r="C970" s="6" t="s">
        <v>139</v>
      </c>
      <c r="D970" s="6" t="s">
        <v>135</v>
      </c>
      <c r="E970" s="6" t="s">
        <v>91</v>
      </c>
      <c r="F970" s="6" t="s">
        <v>206</v>
      </c>
      <c r="G970" s="6" t="n">
        <v>8</v>
      </c>
      <c r="H970" s="6" t="s">
        <v>80</v>
      </c>
      <c r="I970" s="6" t="s">
        <v>80</v>
      </c>
      <c r="J970" s="6" t="s">
        <v>58</v>
      </c>
      <c r="K970" s="6" t="n">
        <v>106768</v>
      </c>
      <c r="L970" s="6" t="n">
        <v>114824</v>
      </c>
      <c r="M970" s="6" t="s">
        <v>142</v>
      </c>
      <c r="N970" s="6" t="n">
        <v>48</v>
      </c>
      <c r="O970" s="6" t="s">
        <v>58</v>
      </c>
      <c r="P970" s="6" t="n">
        <v>4</v>
      </c>
      <c r="Q970" s="6" t="n">
        <v>38.47</v>
      </c>
      <c r="R970" s="20" t="n">
        <f aca="false">(L970-K970)/K970</f>
        <v>0.0754533193466207</v>
      </c>
    </row>
    <row r="971" customFormat="false" ht="15" hidden="false" customHeight="false" outlineLevel="0" collapsed="false">
      <c r="A971" s="6" t="s">
        <v>1133</v>
      </c>
      <c r="B971" s="6" t="n">
        <v>48</v>
      </c>
      <c r="C971" s="6" t="s">
        <v>134</v>
      </c>
      <c r="D971" s="6" t="s">
        <v>135</v>
      </c>
      <c r="E971" s="6" t="s">
        <v>90</v>
      </c>
      <c r="F971" s="6" t="s">
        <v>145</v>
      </c>
      <c r="G971" s="6" t="n">
        <v>23</v>
      </c>
      <c r="H971" s="6" t="s">
        <v>80</v>
      </c>
      <c r="I971" s="6" t="s">
        <v>82</v>
      </c>
      <c r="J971" s="6" t="s">
        <v>60</v>
      </c>
      <c r="K971" s="6" t="n">
        <v>34042</v>
      </c>
      <c r="L971" s="6" t="n">
        <v>35817</v>
      </c>
      <c r="M971" s="6" t="s">
        <v>142</v>
      </c>
      <c r="N971" s="6" t="n">
        <v>37</v>
      </c>
      <c r="O971" s="6" t="s">
        <v>58</v>
      </c>
      <c r="P971" s="6" t="n">
        <v>5</v>
      </c>
      <c r="Q971" s="6" t="n">
        <v>32.76</v>
      </c>
      <c r="R971" s="20" t="n">
        <f aca="false">(L971-K971)/K971</f>
        <v>0.0521414722989249</v>
      </c>
    </row>
    <row r="972" customFormat="false" ht="15" hidden="false" customHeight="false" outlineLevel="0" collapsed="false">
      <c r="A972" s="6" t="s">
        <v>1134</v>
      </c>
      <c r="B972" s="6" t="n">
        <v>52</v>
      </c>
      <c r="C972" s="6" t="s">
        <v>159</v>
      </c>
      <c r="D972" s="6" t="s">
        <v>148</v>
      </c>
      <c r="E972" s="6" t="s">
        <v>92</v>
      </c>
      <c r="F972" s="6" t="s">
        <v>136</v>
      </c>
      <c r="G972" s="6" t="n">
        <v>27</v>
      </c>
      <c r="H972" s="6" t="s">
        <v>81</v>
      </c>
      <c r="I972" s="6" t="s">
        <v>81</v>
      </c>
      <c r="J972" s="6" t="s">
        <v>60</v>
      </c>
      <c r="K972" s="6" t="n">
        <v>91720</v>
      </c>
      <c r="L972" s="6" t="n">
        <v>103234</v>
      </c>
      <c r="M972" s="6" t="s">
        <v>146</v>
      </c>
      <c r="N972" s="6" t="n">
        <v>53</v>
      </c>
      <c r="O972" s="6" t="s">
        <v>58</v>
      </c>
      <c r="P972" s="6" t="n">
        <v>4</v>
      </c>
      <c r="Q972" s="6" t="n">
        <v>15.3</v>
      </c>
      <c r="R972" s="20" t="n">
        <f aca="false">(L972-K972)/K972</f>
        <v>0.125534234627126</v>
      </c>
    </row>
    <row r="973" customFormat="false" ht="15" hidden="false" customHeight="false" outlineLevel="0" collapsed="false">
      <c r="A973" s="6" t="s">
        <v>1135</v>
      </c>
      <c r="B973" s="6" t="n">
        <v>39</v>
      </c>
      <c r="C973" s="6" t="s">
        <v>159</v>
      </c>
      <c r="D973" s="6" t="s">
        <v>140</v>
      </c>
      <c r="E973" s="6" t="s">
        <v>89</v>
      </c>
      <c r="F973" s="6" t="s">
        <v>162</v>
      </c>
      <c r="G973" s="6" t="n">
        <v>14</v>
      </c>
      <c r="H973" s="6" t="s">
        <v>80</v>
      </c>
      <c r="I973" s="6" t="s">
        <v>82</v>
      </c>
      <c r="J973" s="6" t="s">
        <v>58</v>
      </c>
      <c r="K973" s="6" t="n">
        <v>90924</v>
      </c>
      <c r="L973" s="6" t="n">
        <v>92642</v>
      </c>
      <c r="M973" s="6" t="s">
        <v>142</v>
      </c>
      <c r="N973" s="6" t="n">
        <v>36</v>
      </c>
      <c r="O973" s="6" t="s">
        <v>58</v>
      </c>
      <c r="P973" s="6" t="n">
        <v>4</v>
      </c>
      <c r="Q973" s="6" t="n">
        <v>-16.69</v>
      </c>
      <c r="R973" s="20" t="n">
        <f aca="false">(L973-K973)/K973</f>
        <v>0.0188949012361973</v>
      </c>
    </row>
    <row r="974" customFormat="false" ht="15" hidden="false" customHeight="false" outlineLevel="0" collapsed="false">
      <c r="A974" s="6" t="s">
        <v>1136</v>
      </c>
      <c r="B974" s="6" t="n">
        <v>59</v>
      </c>
      <c r="C974" s="6" t="s">
        <v>139</v>
      </c>
      <c r="D974" s="6" t="s">
        <v>140</v>
      </c>
      <c r="E974" s="6" t="s">
        <v>93</v>
      </c>
      <c r="F974" s="6" t="s">
        <v>181</v>
      </c>
      <c r="G974" s="6" t="n">
        <v>33</v>
      </c>
      <c r="H974" s="6" t="s">
        <v>82</v>
      </c>
      <c r="I974" s="6" t="s">
        <v>80</v>
      </c>
      <c r="J974" s="6" t="s">
        <v>58</v>
      </c>
      <c r="K974" s="6" t="n">
        <v>78542</v>
      </c>
      <c r="L974" s="6" t="n">
        <v>93044</v>
      </c>
      <c r="M974" s="6" t="s">
        <v>142</v>
      </c>
      <c r="N974" s="6" t="n">
        <v>51</v>
      </c>
      <c r="O974" s="6" t="s">
        <v>60</v>
      </c>
      <c r="P974" s="6" t="n">
        <v>9</v>
      </c>
      <c r="Q974" s="6" t="n">
        <v>-1.3</v>
      </c>
      <c r="R974" s="20" t="n">
        <f aca="false">(L974-K974)/K974</f>
        <v>0.184640065188052</v>
      </c>
    </row>
    <row r="975" customFormat="false" ht="15" hidden="false" customHeight="false" outlineLevel="0" collapsed="false">
      <c r="A975" s="6" t="s">
        <v>1137</v>
      </c>
      <c r="B975" s="6" t="n">
        <v>27</v>
      </c>
      <c r="C975" s="6" t="s">
        <v>134</v>
      </c>
      <c r="D975" s="6" t="s">
        <v>140</v>
      </c>
      <c r="E975" s="6" t="s">
        <v>91</v>
      </c>
      <c r="F975" s="6" t="s">
        <v>206</v>
      </c>
      <c r="G975" s="6" t="n">
        <v>5</v>
      </c>
      <c r="H975" s="6" t="s">
        <v>81</v>
      </c>
      <c r="I975" s="6" t="s">
        <v>82</v>
      </c>
      <c r="J975" s="6" t="s">
        <v>58</v>
      </c>
      <c r="K975" s="6" t="n">
        <v>58036</v>
      </c>
      <c r="L975" s="6" t="n">
        <v>58418</v>
      </c>
      <c r="M975" s="6" t="s">
        <v>142</v>
      </c>
      <c r="N975" s="6" t="n">
        <v>47</v>
      </c>
      <c r="O975" s="6" t="s">
        <v>60</v>
      </c>
      <c r="P975" s="6" t="n">
        <v>4</v>
      </c>
      <c r="Q975" s="6" t="n">
        <v>20.95</v>
      </c>
      <c r="R975" s="20" t="n">
        <f aca="false">(L975-K975)/K975</f>
        <v>0.00658212144186367</v>
      </c>
    </row>
    <row r="976" customFormat="false" ht="15" hidden="false" customHeight="false" outlineLevel="0" collapsed="false">
      <c r="A976" s="6" t="s">
        <v>1138</v>
      </c>
      <c r="B976" s="6" t="n">
        <v>59</v>
      </c>
      <c r="C976" s="6" t="s">
        <v>159</v>
      </c>
      <c r="D976" s="6" t="s">
        <v>144</v>
      </c>
      <c r="E976" s="6" t="s">
        <v>92</v>
      </c>
      <c r="F976" s="6" t="s">
        <v>222</v>
      </c>
      <c r="G976" s="6" t="n">
        <v>34</v>
      </c>
      <c r="H976" s="6" t="s">
        <v>82</v>
      </c>
      <c r="I976" s="6" t="s">
        <v>81</v>
      </c>
      <c r="J976" s="6" t="s">
        <v>60</v>
      </c>
      <c r="K976" s="6" t="n">
        <v>45620</v>
      </c>
      <c r="L976" s="6" t="n">
        <v>39924</v>
      </c>
      <c r="M976" s="6" t="s">
        <v>146</v>
      </c>
      <c r="N976" s="6" t="n">
        <v>35</v>
      </c>
      <c r="O976" s="6" t="s">
        <v>60</v>
      </c>
      <c r="P976" s="6" t="n">
        <v>7</v>
      </c>
      <c r="Q976" s="6" t="n">
        <v>19.33</v>
      </c>
      <c r="R976" s="20" t="n">
        <f aca="false">(L976-K976)/K976</f>
        <v>-0.124857518632179</v>
      </c>
    </row>
    <row r="977" customFormat="false" ht="15" hidden="false" customHeight="false" outlineLevel="0" collapsed="false">
      <c r="A977" s="6" t="s">
        <v>1139</v>
      </c>
      <c r="B977" s="6" t="n">
        <v>24</v>
      </c>
      <c r="C977" s="6" t="s">
        <v>139</v>
      </c>
      <c r="D977" s="6" t="s">
        <v>140</v>
      </c>
      <c r="E977" s="6" t="s">
        <v>89</v>
      </c>
      <c r="F977" s="6" t="s">
        <v>153</v>
      </c>
      <c r="G977" s="6" t="n">
        <v>0</v>
      </c>
      <c r="H977" s="6" t="s">
        <v>80</v>
      </c>
      <c r="I977" s="6" t="s">
        <v>82</v>
      </c>
      <c r="J977" s="6" t="s">
        <v>58</v>
      </c>
      <c r="K977" s="6" t="n">
        <v>60766</v>
      </c>
      <c r="L977" s="6" t="n">
        <v>65847</v>
      </c>
      <c r="M977" s="6" t="s">
        <v>142</v>
      </c>
      <c r="N977" s="6" t="n">
        <v>45</v>
      </c>
      <c r="O977" s="6" t="s">
        <v>58</v>
      </c>
      <c r="P977" s="6" t="n">
        <v>7</v>
      </c>
      <c r="Q977" s="6" t="n">
        <v>6.94</v>
      </c>
      <c r="R977" s="20" t="n">
        <f aca="false">(L977-K977)/K977</f>
        <v>0.0836158378040352</v>
      </c>
    </row>
    <row r="978" customFormat="false" ht="15" hidden="false" customHeight="false" outlineLevel="0" collapsed="false">
      <c r="A978" s="6" t="s">
        <v>1140</v>
      </c>
      <c r="B978" s="6" t="n">
        <v>23</v>
      </c>
      <c r="C978" s="6" t="s">
        <v>134</v>
      </c>
      <c r="D978" s="6" t="s">
        <v>135</v>
      </c>
      <c r="E978" s="6" t="s">
        <v>90</v>
      </c>
      <c r="F978" s="6" t="s">
        <v>202</v>
      </c>
      <c r="G978" s="6" t="n">
        <v>0</v>
      </c>
      <c r="H978" s="6" t="s">
        <v>82</v>
      </c>
      <c r="I978" s="6" t="s">
        <v>82</v>
      </c>
      <c r="J978" s="6" t="s">
        <v>58</v>
      </c>
      <c r="K978" s="6" t="n">
        <v>33749</v>
      </c>
      <c r="L978" s="6" t="n">
        <v>37144</v>
      </c>
      <c r="M978" s="6" t="s">
        <v>146</v>
      </c>
      <c r="N978" s="6" t="n">
        <v>40</v>
      </c>
      <c r="O978" s="6" t="s">
        <v>60</v>
      </c>
      <c r="P978" s="6" t="n">
        <v>8</v>
      </c>
      <c r="Q978" s="6" t="n">
        <v>14.37</v>
      </c>
      <c r="R978" s="20" t="n">
        <f aca="false">(L978-K978)/K978</f>
        <v>0.100595573202169</v>
      </c>
    </row>
    <row r="979" customFormat="false" ht="15" hidden="false" customHeight="false" outlineLevel="0" collapsed="false">
      <c r="A979" s="6" t="s">
        <v>1141</v>
      </c>
      <c r="B979" s="6" t="n">
        <v>46</v>
      </c>
      <c r="C979" s="6" t="s">
        <v>134</v>
      </c>
      <c r="D979" s="6" t="s">
        <v>148</v>
      </c>
      <c r="E979" s="6" t="s">
        <v>89</v>
      </c>
      <c r="F979" s="6" t="s">
        <v>151</v>
      </c>
      <c r="G979" s="6" t="n">
        <v>22</v>
      </c>
      <c r="H979" s="6" t="s">
        <v>82</v>
      </c>
      <c r="I979" s="6" t="s">
        <v>82</v>
      </c>
      <c r="J979" s="6" t="s">
        <v>58</v>
      </c>
      <c r="K979" s="6" t="n">
        <v>34551</v>
      </c>
      <c r="L979" s="6" t="n">
        <v>32682</v>
      </c>
      <c r="M979" s="6" t="s">
        <v>146</v>
      </c>
      <c r="N979" s="6" t="n">
        <v>40</v>
      </c>
      <c r="O979" s="6" t="s">
        <v>58</v>
      </c>
      <c r="P979" s="6" t="n">
        <v>7</v>
      </c>
      <c r="Q979" s="6" t="n">
        <v>13.03</v>
      </c>
      <c r="R979" s="20" t="n">
        <f aca="false">(L979-K979)/K979</f>
        <v>-0.0540939480767561</v>
      </c>
    </row>
    <row r="980" customFormat="false" ht="15" hidden="false" customHeight="false" outlineLevel="0" collapsed="false">
      <c r="A980" s="6" t="s">
        <v>1142</v>
      </c>
      <c r="B980" s="6" t="n">
        <v>29</v>
      </c>
      <c r="C980" s="6" t="s">
        <v>139</v>
      </c>
      <c r="D980" s="6" t="s">
        <v>135</v>
      </c>
      <c r="E980" s="6" t="s">
        <v>93</v>
      </c>
      <c r="F980" s="6" t="s">
        <v>197</v>
      </c>
      <c r="G980" s="6" t="n">
        <v>5</v>
      </c>
      <c r="H980" s="6" t="s">
        <v>80</v>
      </c>
      <c r="I980" s="6" t="s">
        <v>81</v>
      </c>
      <c r="J980" s="6" t="s">
        <v>60</v>
      </c>
      <c r="K980" s="6" t="n">
        <v>59685</v>
      </c>
      <c r="L980" s="6" t="n">
        <v>64046</v>
      </c>
      <c r="M980" s="6" t="s">
        <v>146</v>
      </c>
      <c r="N980" s="6" t="n">
        <v>54</v>
      </c>
      <c r="O980" s="6" t="s">
        <v>60</v>
      </c>
      <c r="P980" s="6" t="n">
        <v>4</v>
      </c>
      <c r="Q980" s="6" t="n">
        <v>25.6</v>
      </c>
      <c r="R980" s="20" t="n">
        <f aca="false">(L980-K980)/K980</f>
        <v>0.0730669347407221</v>
      </c>
    </row>
    <row r="981" customFormat="false" ht="15" hidden="false" customHeight="false" outlineLevel="0" collapsed="false">
      <c r="A981" s="6" t="s">
        <v>1143</v>
      </c>
      <c r="B981" s="6" t="n">
        <v>52</v>
      </c>
      <c r="C981" s="6" t="s">
        <v>134</v>
      </c>
      <c r="D981" s="6" t="s">
        <v>144</v>
      </c>
      <c r="E981" s="6" t="s">
        <v>93</v>
      </c>
      <c r="F981" s="6" t="s">
        <v>164</v>
      </c>
      <c r="G981" s="6" t="n">
        <v>29</v>
      </c>
      <c r="H981" s="6" t="s">
        <v>82</v>
      </c>
      <c r="I981" s="6" t="s">
        <v>82</v>
      </c>
      <c r="J981" s="6" t="s">
        <v>60</v>
      </c>
      <c r="K981" s="6" t="n">
        <v>109096</v>
      </c>
      <c r="L981" s="6" t="n">
        <v>121776</v>
      </c>
      <c r="M981" s="6" t="s">
        <v>137</v>
      </c>
      <c r="N981" s="6" t="n">
        <v>44</v>
      </c>
      <c r="O981" s="6" t="s">
        <v>58</v>
      </c>
      <c r="P981" s="6" t="n">
        <v>7</v>
      </c>
      <c r="Q981" s="6" t="n">
        <v>14.95</v>
      </c>
      <c r="R981" s="20" t="n">
        <f aca="false">(L981-K981)/K981</f>
        <v>0.11622790936423</v>
      </c>
    </row>
    <row r="982" customFormat="false" ht="15" hidden="false" customHeight="false" outlineLevel="0" collapsed="false">
      <c r="A982" s="6" t="s">
        <v>1144</v>
      </c>
      <c r="B982" s="6" t="n">
        <v>37</v>
      </c>
      <c r="C982" s="6" t="s">
        <v>159</v>
      </c>
      <c r="D982" s="6" t="s">
        <v>135</v>
      </c>
      <c r="E982" s="6" t="s">
        <v>93</v>
      </c>
      <c r="F982" s="6" t="s">
        <v>181</v>
      </c>
      <c r="G982" s="6" t="n">
        <v>12</v>
      </c>
      <c r="H982" s="6" t="s">
        <v>82</v>
      </c>
      <c r="I982" s="6" t="s">
        <v>81</v>
      </c>
      <c r="J982" s="6" t="s">
        <v>58</v>
      </c>
      <c r="K982" s="6" t="n">
        <v>119452</v>
      </c>
      <c r="L982" s="6" t="n">
        <v>108766</v>
      </c>
      <c r="M982" s="6" t="s">
        <v>146</v>
      </c>
      <c r="N982" s="6" t="n">
        <v>43</v>
      </c>
      <c r="O982" s="6" t="s">
        <v>60</v>
      </c>
      <c r="P982" s="6" t="n">
        <v>7</v>
      </c>
      <c r="Q982" s="6" t="n">
        <v>-16.58</v>
      </c>
      <c r="R982" s="20" t="n">
        <f aca="false">(L982-K982)/K982</f>
        <v>-0.0894585272745538</v>
      </c>
    </row>
    <row r="983" customFormat="false" ht="15" hidden="false" customHeight="false" outlineLevel="0" collapsed="false">
      <c r="A983" s="6" t="s">
        <v>1145</v>
      </c>
      <c r="B983" s="6" t="n">
        <v>37</v>
      </c>
      <c r="C983" s="6" t="s">
        <v>139</v>
      </c>
      <c r="D983" s="6" t="s">
        <v>140</v>
      </c>
      <c r="E983" s="6" t="s">
        <v>88</v>
      </c>
      <c r="F983" s="6" t="s">
        <v>234</v>
      </c>
      <c r="G983" s="6" t="n">
        <v>12</v>
      </c>
      <c r="H983" s="6" t="s">
        <v>82</v>
      </c>
      <c r="I983" s="6" t="s">
        <v>82</v>
      </c>
      <c r="J983" s="6" t="s">
        <v>60</v>
      </c>
      <c r="K983" s="6" t="n">
        <v>100309</v>
      </c>
      <c r="L983" s="6" t="n">
        <v>92456</v>
      </c>
      <c r="M983" s="6" t="s">
        <v>146</v>
      </c>
      <c r="N983" s="6" t="n">
        <v>43</v>
      </c>
      <c r="O983" s="6" t="s">
        <v>60</v>
      </c>
      <c r="P983" s="6" t="n">
        <v>3</v>
      </c>
      <c r="Q983" s="6" t="n">
        <v>39.9</v>
      </c>
      <c r="R983" s="20" t="n">
        <f aca="false">(L983-K983)/K983</f>
        <v>-0.0782880898025102</v>
      </c>
    </row>
    <row r="984" customFormat="false" ht="15" hidden="false" customHeight="false" outlineLevel="0" collapsed="false">
      <c r="A984" s="6" t="s">
        <v>1146</v>
      </c>
      <c r="B984" s="6" t="n">
        <v>48</v>
      </c>
      <c r="C984" s="6" t="s">
        <v>159</v>
      </c>
      <c r="D984" s="6" t="s">
        <v>140</v>
      </c>
      <c r="E984" s="6" t="s">
        <v>88</v>
      </c>
      <c r="F984" s="6" t="s">
        <v>234</v>
      </c>
      <c r="G984" s="6" t="n">
        <v>22</v>
      </c>
      <c r="H984" s="6" t="s">
        <v>82</v>
      </c>
      <c r="I984" s="6" t="s">
        <v>80</v>
      </c>
      <c r="J984" s="6" t="s">
        <v>60</v>
      </c>
      <c r="K984" s="6" t="n">
        <v>47948</v>
      </c>
      <c r="L984" s="6" t="n">
        <v>59510</v>
      </c>
      <c r="M984" s="6" t="s">
        <v>142</v>
      </c>
      <c r="N984" s="6" t="n">
        <v>42</v>
      </c>
      <c r="O984" s="6" t="s">
        <v>58</v>
      </c>
      <c r="P984" s="6" t="n">
        <v>9</v>
      </c>
      <c r="Q984" s="6" t="n">
        <v>17.54</v>
      </c>
      <c r="R984" s="20" t="n">
        <f aca="false">(L984-K984)/K984</f>
        <v>0.241136230916827</v>
      </c>
    </row>
    <row r="985" customFormat="false" ht="15" hidden="false" customHeight="false" outlineLevel="0" collapsed="false">
      <c r="A985" s="6" t="s">
        <v>1147</v>
      </c>
      <c r="B985" s="6" t="n">
        <v>50</v>
      </c>
      <c r="C985" s="6" t="s">
        <v>134</v>
      </c>
      <c r="D985" s="6" t="s">
        <v>144</v>
      </c>
      <c r="E985" s="6" t="s">
        <v>87</v>
      </c>
      <c r="F985" s="6" t="s">
        <v>160</v>
      </c>
      <c r="G985" s="6" t="n">
        <v>24</v>
      </c>
      <c r="H985" s="6" t="s">
        <v>80</v>
      </c>
      <c r="I985" s="6" t="s">
        <v>80</v>
      </c>
      <c r="J985" s="6" t="s">
        <v>60</v>
      </c>
      <c r="K985" s="6" t="n">
        <v>102233</v>
      </c>
      <c r="L985" s="6" t="n">
        <v>100278</v>
      </c>
      <c r="M985" s="6" t="s">
        <v>142</v>
      </c>
      <c r="N985" s="6" t="n">
        <v>48</v>
      </c>
      <c r="O985" s="6" t="s">
        <v>60</v>
      </c>
      <c r="P985" s="6" t="n">
        <v>4</v>
      </c>
      <c r="Q985" s="6" t="n">
        <v>1.15</v>
      </c>
      <c r="R985" s="20" t="n">
        <f aca="false">(L985-K985)/K985</f>
        <v>-0.0191229837723631</v>
      </c>
    </row>
    <row r="986" customFormat="false" ht="15" hidden="false" customHeight="false" outlineLevel="0" collapsed="false">
      <c r="A986" s="6" t="s">
        <v>1148</v>
      </c>
      <c r="B986" s="6" t="n">
        <v>46</v>
      </c>
      <c r="C986" s="6" t="s">
        <v>134</v>
      </c>
      <c r="D986" s="6" t="s">
        <v>148</v>
      </c>
      <c r="E986" s="6" t="s">
        <v>89</v>
      </c>
      <c r="F986" s="6" t="s">
        <v>153</v>
      </c>
      <c r="G986" s="6" t="n">
        <v>24</v>
      </c>
      <c r="H986" s="6" t="s">
        <v>80</v>
      </c>
      <c r="I986" s="6" t="s">
        <v>81</v>
      </c>
      <c r="J986" s="6" t="s">
        <v>60</v>
      </c>
      <c r="K986" s="6" t="n">
        <v>109732</v>
      </c>
      <c r="L986" s="6" t="n">
        <v>114446</v>
      </c>
      <c r="M986" s="6" t="s">
        <v>146</v>
      </c>
      <c r="N986" s="6" t="n">
        <v>44</v>
      </c>
      <c r="O986" s="6" t="s">
        <v>60</v>
      </c>
      <c r="P986" s="6" t="n">
        <v>6</v>
      </c>
      <c r="Q986" s="6" t="n">
        <v>-15.36</v>
      </c>
      <c r="R986" s="20" t="n">
        <f aca="false">(L986-K986)/K986</f>
        <v>0.0429592097109321</v>
      </c>
    </row>
    <row r="987" customFormat="false" ht="15" hidden="false" customHeight="false" outlineLevel="0" collapsed="false">
      <c r="A987" s="6" t="s">
        <v>1149</v>
      </c>
      <c r="B987" s="6" t="n">
        <v>46</v>
      </c>
      <c r="C987" s="6" t="s">
        <v>139</v>
      </c>
      <c r="D987" s="6" t="s">
        <v>144</v>
      </c>
      <c r="E987" s="6" t="s">
        <v>87</v>
      </c>
      <c r="F987" s="6" t="s">
        <v>149</v>
      </c>
      <c r="G987" s="6" t="n">
        <v>20</v>
      </c>
      <c r="H987" s="6" t="s">
        <v>82</v>
      </c>
      <c r="I987" s="6" t="s">
        <v>81</v>
      </c>
      <c r="J987" s="6" t="s">
        <v>58</v>
      </c>
      <c r="K987" s="6" t="n">
        <v>95602</v>
      </c>
      <c r="L987" s="6" t="n">
        <v>111027</v>
      </c>
      <c r="M987" s="6" t="s">
        <v>146</v>
      </c>
      <c r="N987" s="6" t="n">
        <v>36</v>
      </c>
      <c r="O987" s="6" t="s">
        <v>58</v>
      </c>
      <c r="P987" s="6" t="n">
        <v>4</v>
      </c>
      <c r="Q987" s="6" t="n">
        <v>-0.66</v>
      </c>
      <c r="R987" s="20" t="n">
        <f aca="false">(L987-K987)/K987</f>
        <v>0.161345996945671</v>
      </c>
    </row>
    <row r="988" customFormat="false" ht="15" hidden="false" customHeight="false" outlineLevel="0" collapsed="false">
      <c r="A988" s="6" t="s">
        <v>1150</v>
      </c>
      <c r="B988" s="6" t="n">
        <v>39</v>
      </c>
      <c r="C988" s="6" t="s">
        <v>134</v>
      </c>
      <c r="D988" s="6" t="s">
        <v>140</v>
      </c>
      <c r="E988" s="6" t="s">
        <v>90</v>
      </c>
      <c r="F988" s="6" t="s">
        <v>202</v>
      </c>
      <c r="G988" s="6" t="n">
        <v>16</v>
      </c>
      <c r="H988" s="6" t="s">
        <v>80</v>
      </c>
      <c r="I988" s="6" t="s">
        <v>82</v>
      </c>
      <c r="J988" s="6" t="s">
        <v>60</v>
      </c>
      <c r="K988" s="6" t="n">
        <v>32251</v>
      </c>
      <c r="L988" s="6" t="n">
        <v>33893</v>
      </c>
      <c r="M988" s="6" t="s">
        <v>142</v>
      </c>
      <c r="N988" s="6" t="n">
        <v>50</v>
      </c>
      <c r="O988" s="6" t="s">
        <v>60</v>
      </c>
      <c r="P988" s="6" t="n">
        <v>6</v>
      </c>
      <c r="Q988" s="6" t="n">
        <v>9.83</v>
      </c>
      <c r="R988" s="20" t="n">
        <f aca="false">(L988-K988)/K988</f>
        <v>0.0509131499798456</v>
      </c>
    </row>
    <row r="989" customFormat="false" ht="15" hidden="false" customHeight="false" outlineLevel="0" collapsed="false">
      <c r="A989" s="6" t="s">
        <v>1151</v>
      </c>
      <c r="B989" s="6" t="n">
        <v>22</v>
      </c>
      <c r="C989" s="6" t="s">
        <v>159</v>
      </c>
      <c r="D989" s="6" t="s">
        <v>140</v>
      </c>
      <c r="E989" s="6" t="s">
        <v>92</v>
      </c>
      <c r="F989" s="6" t="s">
        <v>192</v>
      </c>
      <c r="G989" s="6" t="n">
        <v>0</v>
      </c>
      <c r="H989" s="6" t="s">
        <v>80</v>
      </c>
      <c r="I989" s="6" t="s">
        <v>82</v>
      </c>
      <c r="J989" s="6" t="s">
        <v>58</v>
      </c>
      <c r="K989" s="6" t="n">
        <v>90624</v>
      </c>
      <c r="L989" s="6" t="n">
        <v>91965</v>
      </c>
      <c r="M989" s="6" t="s">
        <v>142</v>
      </c>
      <c r="N989" s="6" t="n">
        <v>47</v>
      </c>
      <c r="O989" s="6" t="s">
        <v>60</v>
      </c>
      <c r="P989" s="6" t="n">
        <v>8</v>
      </c>
      <c r="Q989" s="6" t="n">
        <v>-18.02</v>
      </c>
      <c r="R989" s="20" t="n">
        <f aca="false">(L989-K989)/K989</f>
        <v>0.014797404661017</v>
      </c>
    </row>
    <row r="990" customFormat="false" ht="15" hidden="false" customHeight="false" outlineLevel="0" collapsed="false">
      <c r="A990" s="6" t="s">
        <v>1152</v>
      </c>
      <c r="B990" s="6" t="n">
        <v>24</v>
      </c>
      <c r="C990" s="6" t="s">
        <v>134</v>
      </c>
      <c r="D990" s="6" t="s">
        <v>144</v>
      </c>
      <c r="E990" s="6" t="s">
        <v>92</v>
      </c>
      <c r="F990" s="6" t="s">
        <v>136</v>
      </c>
      <c r="G990" s="6" t="n">
        <v>0</v>
      </c>
      <c r="H990" s="6" t="s">
        <v>82</v>
      </c>
      <c r="I990" s="6" t="s">
        <v>80</v>
      </c>
      <c r="J990" s="6" t="s">
        <v>60</v>
      </c>
      <c r="K990" s="6" t="n">
        <v>100871</v>
      </c>
      <c r="L990" s="6" t="n">
        <v>94942</v>
      </c>
      <c r="M990" s="6" t="s">
        <v>142</v>
      </c>
      <c r="N990" s="6" t="n">
        <v>47</v>
      </c>
      <c r="O990" s="6" t="s">
        <v>60</v>
      </c>
      <c r="P990" s="6" t="n">
        <v>3</v>
      </c>
      <c r="Q990" s="6" t="n">
        <v>9.66</v>
      </c>
      <c r="R990" s="20" t="n">
        <f aca="false">(L990-K990)/K990</f>
        <v>-0.0587780432433504</v>
      </c>
    </row>
    <row r="991" customFormat="false" ht="15" hidden="false" customHeight="false" outlineLevel="0" collapsed="false">
      <c r="A991" s="6" t="s">
        <v>1153</v>
      </c>
      <c r="B991" s="6" t="n">
        <v>45</v>
      </c>
      <c r="C991" s="6" t="s">
        <v>159</v>
      </c>
      <c r="D991" s="6" t="s">
        <v>144</v>
      </c>
      <c r="E991" s="6" t="s">
        <v>92</v>
      </c>
      <c r="F991" s="6" t="s">
        <v>192</v>
      </c>
      <c r="G991" s="6" t="n">
        <v>22</v>
      </c>
      <c r="H991" s="6" t="s">
        <v>82</v>
      </c>
      <c r="I991" s="6" t="s">
        <v>80</v>
      </c>
      <c r="J991" s="6" t="s">
        <v>60</v>
      </c>
      <c r="K991" s="6" t="n">
        <v>50002</v>
      </c>
      <c r="L991" s="6" t="n">
        <v>69285</v>
      </c>
      <c r="M991" s="6" t="s">
        <v>142</v>
      </c>
      <c r="N991" s="6" t="n">
        <v>42</v>
      </c>
      <c r="O991" s="6" t="s">
        <v>58</v>
      </c>
      <c r="P991" s="6" t="n">
        <v>5</v>
      </c>
      <c r="Q991" s="6" t="n">
        <v>-6.66</v>
      </c>
      <c r="R991" s="20" t="n">
        <f aca="false">(L991-K991)/K991</f>
        <v>0.385644574217031</v>
      </c>
    </row>
    <row r="992" customFormat="false" ht="15" hidden="false" customHeight="false" outlineLevel="0" collapsed="false">
      <c r="A992" s="6" t="s">
        <v>1154</v>
      </c>
      <c r="B992" s="6" t="n">
        <v>38</v>
      </c>
      <c r="C992" s="6" t="s">
        <v>134</v>
      </c>
      <c r="D992" s="6" t="s">
        <v>135</v>
      </c>
      <c r="E992" s="6" t="s">
        <v>87</v>
      </c>
      <c r="F992" s="6" t="s">
        <v>160</v>
      </c>
      <c r="G992" s="6" t="n">
        <v>14</v>
      </c>
      <c r="H992" s="6" t="s">
        <v>80</v>
      </c>
      <c r="I992" s="6" t="s">
        <v>82</v>
      </c>
      <c r="J992" s="6" t="s">
        <v>58</v>
      </c>
      <c r="K992" s="6" t="n">
        <v>96830</v>
      </c>
      <c r="L992" s="6" t="n">
        <v>101914</v>
      </c>
      <c r="M992" s="6" t="s">
        <v>142</v>
      </c>
      <c r="N992" s="6" t="n">
        <v>49</v>
      </c>
      <c r="O992" s="6" t="s">
        <v>60</v>
      </c>
      <c r="P992" s="6" t="n">
        <v>4</v>
      </c>
      <c r="Q992" s="6" t="n">
        <v>15.62</v>
      </c>
      <c r="R992" s="20" t="n">
        <f aca="false">(L992-K992)/K992</f>
        <v>0.0525043891355985</v>
      </c>
    </row>
    <row r="993" customFormat="false" ht="15" hidden="false" customHeight="false" outlineLevel="0" collapsed="false">
      <c r="A993" s="6" t="s">
        <v>1155</v>
      </c>
      <c r="B993" s="6" t="n">
        <v>25</v>
      </c>
      <c r="C993" s="6" t="s">
        <v>159</v>
      </c>
      <c r="D993" s="6" t="s">
        <v>140</v>
      </c>
      <c r="E993" s="6" t="s">
        <v>93</v>
      </c>
      <c r="F993" s="6" t="s">
        <v>197</v>
      </c>
      <c r="G993" s="6" t="n">
        <v>1</v>
      </c>
      <c r="H993" s="6" t="s">
        <v>82</v>
      </c>
      <c r="I993" s="6" t="s">
        <v>82</v>
      </c>
      <c r="J993" s="6" t="s">
        <v>58</v>
      </c>
      <c r="K993" s="6" t="n">
        <v>52340</v>
      </c>
      <c r="L993" s="6" t="n">
        <v>54605</v>
      </c>
      <c r="M993" s="6" t="s">
        <v>137</v>
      </c>
      <c r="N993" s="6" t="n">
        <v>52</v>
      </c>
      <c r="O993" s="6" t="s">
        <v>60</v>
      </c>
      <c r="P993" s="6" t="n">
        <v>4</v>
      </c>
      <c r="Q993" s="6" t="n">
        <v>39.05</v>
      </c>
      <c r="R993" s="20" t="n">
        <f aca="false">(L993-K993)/K993</f>
        <v>0.0432747420710738</v>
      </c>
    </row>
    <row r="994" customFormat="false" ht="15" hidden="false" customHeight="false" outlineLevel="0" collapsed="false">
      <c r="A994" s="6" t="s">
        <v>1156</v>
      </c>
      <c r="B994" s="6" t="n">
        <v>44</v>
      </c>
      <c r="C994" s="6" t="s">
        <v>159</v>
      </c>
      <c r="D994" s="6" t="s">
        <v>140</v>
      </c>
      <c r="E994" s="6" t="s">
        <v>88</v>
      </c>
      <c r="F994" s="6" t="s">
        <v>157</v>
      </c>
      <c r="G994" s="6" t="n">
        <v>20</v>
      </c>
      <c r="H994" s="6" t="s">
        <v>80</v>
      </c>
      <c r="I994" s="6" t="s">
        <v>82</v>
      </c>
      <c r="J994" s="6" t="s">
        <v>58</v>
      </c>
      <c r="K994" s="6" t="n">
        <v>76118</v>
      </c>
      <c r="L994" s="6" t="n">
        <v>82762</v>
      </c>
      <c r="M994" s="6" t="s">
        <v>142</v>
      </c>
      <c r="N994" s="6" t="n">
        <v>35</v>
      </c>
      <c r="O994" s="6" t="s">
        <v>60</v>
      </c>
      <c r="P994" s="6" t="n">
        <v>7</v>
      </c>
      <c r="Q994" s="6" t="n">
        <v>-4.06</v>
      </c>
      <c r="R994" s="20" t="n">
        <f aca="false">(L994-K994)/K994</f>
        <v>0.0872855303607557</v>
      </c>
    </row>
    <row r="995" customFormat="false" ht="15" hidden="false" customHeight="false" outlineLevel="0" collapsed="false">
      <c r="A995" s="6" t="s">
        <v>1157</v>
      </c>
      <c r="B995" s="6" t="n">
        <v>36</v>
      </c>
      <c r="C995" s="6" t="s">
        <v>139</v>
      </c>
      <c r="D995" s="6" t="s">
        <v>148</v>
      </c>
      <c r="E995" s="6" t="s">
        <v>87</v>
      </c>
      <c r="F995" s="6" t="s">
        <v>155</v>
      </c>
      <c r="G995" s="6" t="n">
        <v>13</v>
      </c>
      <c r="H995" s="6" t="s">
        <v>81</v>
      </c>
      <c r="I995" s="6" t="s">
        <v>82</v>
      </c>
      <c r="J995" s="6" t="s">
        <v>60</v>
      </c>
      <c r="K995" s="6" t="n">
        <v>43288</v>
      </c>
      <c r="L995" s="6" t="n">
        <v>46928</v>
      </c>
      <c r="M995" s="6" t="s">
        <v>142</v>
      </c>
      <c r="N995" s="6" t="n">
        <v>54</v>
      </c>
      <c r="O995" s="6" t="s">
        <v>58</v>
      </c>
      <c r="P995" s="6" t="n">
        <v>4</v>
      </c>
      <c r="Q995" s="6" t="n">
        <v>-6.61</v>
      </c>
      <c r="R995" s="20" t="n">
        <f aca="false">(L995-K995)/K995</f>
        <v>0.0840879689521345</v>
      </c>
    </row>
    <row r="996" customFormat="false" ht="15" hidden="false" customHeight="false" outlineLevel="0" collapsed="false">
      <c r="A996" s="6" t="s">
        <v>1158</v>
      </c>
      <c r="B996" s="6" t="n">
        <v>57</v>
      </c>
      <c r="C996" s="6" t="s">
        <v>159</v>
      </c>
      <c r="D996" s="6" t="s">
        <v>135</v>
      </c>
      <c r="E996" s="6" t="s">
        <v>91</v>
      </c>
      <c r="F996" s="6" t="s">
        <v>141</v>
      </c>
      <c r="G996" s="6" t="n">
        <v>32</v>
      </c>
      <c r="H996" s="6" t="s">
        <v>81</v>
      </c>
      <c r="I996" s="6" t="s">
        <v>80</v>
      </c>
      <c r="J996" s="6" t="s">
        <v>60</v>
      </c>
      <c r="K996" s="6" t="n">
        <v>80508</v>
      </c>
      <c r="L996" s="6" t="n">
        <v>79741</v>
      </c>
      <c r="M996" s="6" t="s">
        <v>142</v>
      </c>
      <c r="N996" s="6" t="n">
        <v>50</v>
      </c>
      <c r="O996" s="6" t="s">
        <v>60</v>
      </c>
      <c r="P996" s="6" t="n">
        <v>8</v>
      </c>
      <c r="Q996" s="6" t="n">
        <v>-8.7</v>
      </c>
      <c r="R996" s="20" t="n">
        <f aca="false">(L996-K996)/K996</f>
        <v>-0.00952700352759974</v>
      </c>
    </row>
    <row r="997" customFormat="false" ht="15" hidden="false" customHeight="false" outlineLevel="0" collapsed="false">
      <c r="A997" s="6" t="s">
        <v>1159</v>
      </c>
      <c r="B997" s="6" t="n">
        <v>57</v>
      </c>
      <c r="C997" s="6" t="s">
        <v>134</v>
      </c>
      <c r="D997" s="6" t="s">
        <v>140</v>
      </c>
      <c r="E997" s="6" t="s">
        <v>87</v>
      </c>
      <c r="F997" s="6" t="s">
        <v>149</v>
      </c>
      <c r="G997" s="6" t="n">
        <v>35</v>
      </c>
      <c r="H997" s="6" t="s">
        <v>81</v>
      </c>
      <c r="I997" s="6" t="s">
        <v>82</v>
      </c>
      <c r="J997" s="6" t="s">
        <v>60</v>
      </c>
      <c r="K997" s="6" t="n">
        <v>97288</v>
      </c>
      <c r="L997" s="6" t="n">
        <v>102583</v>
      </c>
      <c r="M997" s="6" t="s">
        <v>142</v>
      </c>
      <c r="N997" s="6" t="n">
        <v>39</v>
      </c>
      <c r="O997" s="6" t="s">
        <v>58</v>
      </c>
      <c r="P997" s="6" t="n">
        <v>5</v>
      </c>
      <c r="Q997" s="6" t="n">
        <v>10.8</v>
      </c>
      <c r="R997" s="20" t="n">
        <f aca="false">(L997-K997)/K997</f>
        <v>0.054426034043253</v>
      </c>
    </row>
    <row r="998" customFormat="false" ht="15" hidden="false" customHeight="false" outlineLevel="0" collapsed="false">
      <c r="A998" s="6" t="s">
        <v>1160</v>
      </c>
      <c r="B998" s="6" t="n">
        <v>43</v>
      </c>
      <c r="C998" s="6" t="s">
        <v>139</v>
      </c>
      <c r="D998" s="6" t="s">
        <v>144</v>
      </c>
      <c r="E998" s="6" t="s">
        <v>89</v>
      </c>
      <c r="F998" s="6" t="s">
        <v>153</v>
      </c>
      <c r="G998" s="6" t="n">
        <v>19</v>
      </c>
      <c r="H998" s="6" t="s">
        <v>81</v>
      </c>
      <c r="I998" s="6" t="s">
        <v>82</v>
      </c>
      <c r="J998" s="6" t="s">
        <v>58</v>
      </c>
      <c r="K998" s="6" t="n">
        <v>31132</v>
      </c>
      <c r="L998" s="6" t="n">
        <v>29860</v>
      </c>
      <c r="M998" s="6" t="s">
        <v>142</v>
      </c>
      <c r="N998" s="6" t="n">
        <v>38</v>
      </c>
      <c r="O998" s="6" t="s">
        <v>60</v>
      </c>
      <c r="P998" s="6" t="n">
        <v>6</v>
      </c>
      <c r="Q998" s="6" t="n">
        <v>-14.14</v>
      </c>
      <c r="R998" s="20" t="n">
        <f aca="false">(L998-K998)/K998</f>
        <v>-0.0408582808685597</v>
      </c>
    </row>
    <row r="999" customFormat="false" ht="15" hidden="false" customHeight="false" outlineLevel="0" collapsed="false">
      <c r="A999" s="6" t="s">
        <v>1161</v>
      </c>
      <c r="B999" s="6" t="n">
        <v>57</v>
      </c>
      <c r="C999" s="6" t="s">
        <v>139</v>
      </c>
      <c r="D999" s="6" t="s">
        <v>144</v>
      </c>
      <c r="E999" s="6" t="s">
        <v>91</v>
      </c>
      <c r="F999" s="6" t="s">
        <v>206</v>
      </c>
      <c r="G999" s="6" t="n">
        <v>32</v>
      </c>
      <c r="H999" s="6" t="s">
        <v>81</v>
      </c>
      <c r="I999" s="6" t="s">
        <v>80</v>
      </c>
      <c r="J999" s="6" t="s">
        <v>60</v>
      </c>
      <c r="K999" s="6" t="n">
        <v>103169</v>
      </c>
      <c r="L999" s="6" t="n">
        <v>103810</v>
      </c>
      <c r="M999" s="6" t="s">
        <v>142</v>
      </c>
      <c r="N999" s="6" t="n">
        <v>36</v>
      </c>
      <c r="O999" s="6" t="s">
        <v>58</v>
      </c>
      <c r="P999" s="6" t="n">
        <v>7</v>
      </c>
      <c r="Q999" s="6" t="n">
        <v>19.35</v>
      </c>
      <c r="R999" s="20" t="n">
        <f aca="false">(L999-K999)/K999</f>
        <v>0.00621310665025347</v>
      </c>
    </row>
    <row r="1000" customFormat="false" ht="15" hidden="false" customHeight="false" outlineLevel="0" collapsed="false">
      <c r="A1000" s="6" t="s">
        <v>1162</v>
      </c>
      <c r="B1000" s="6" t="n">
        <v>57</v>
      </c>
      <c r="C1000" s="6" t="s">
        <v>139</v>
      </c>
      <c r="D1000" s="6" t="s">
        <v>135</v>
      </c>
      <c r="E1000" s="6" t="s">
        <v>87</v>
      </c>
      <c r="F1000" s="6" t="s">
        <v>149</v>
      </c>
      <c r="G1000" s="6" t="n">
        <v>32</v>
      </c>
      <c r="H1000" s="6" t="s">
        <v>80</v>
      </c>
      <c r="I1000" s="6" t="s">
        <v>81</v>
      </c>
      <c r="J1000" s="6" t="s">
        <v>60</v>
      </c>
      <c r="K1000" s="6" t="n">
        <v>76694</v>
      </c>
      <c r="L1000" s="6" t="n">
        <v>73062</v>
      </c>
      <c r="M1000" s="6" t="s">
        <v>146</v>
      </c>
      <c r="N1000" s="6" t="n">
        <v>51</v>
      </c>
      <c r="O1000" s="6" t="s">
        <v>60</v>
      </c>
      <c r="P1000" s="6" t="n">
        <v>6</v>
      </c>
      <c r="Q1000" s="6" t="n">
        <v>-13.83</v>
      </c>
      <c r="R1000" s="20" t="n">
        <f aca="false">(L1000-K1000)/K1000</f>
        <v>-0.047357029233056</v>
      </c>
    </row>
    <row r="1001" customFormat="false" ht="15" hidden="false" customHeight="false" outlineLevel="0" collapsed="false">
      <c r="A1001" s="6" t="s">
        <v>1163</v>
      </c>
      <c r="B1001" s="6" t="n">
        <v>52</v>
      </c>
      <c r="C1001" s="6" t="s">
        <v>159</v>
      </c>
      <c r="D1001" s="6" t="s">
        <v>135</v>
      </c>
      <c r="E1001" s="6" t="s">
        <v>89</v>
      </c>
      <c r="F1001" s="6" t="s">
        <v>151</v>
      </c>
      <c r="G1001" s="6" t="n">
        <v>28</v>
      </c>
      <c r="H1001" s="6" t="s">
        <v>82</v>
      </c>
      <c r="I1001" s="6" t="s">
        <v>80</v>
      </c>
      <c r="J1001" s="6" t="s">
        <v>58</v>
      </c>
      <c r="K1001" s="6" t="n">
        <v>69390</v>
      </c>
      <c r="L1001" s="6" t="n">
        <v>96797</v>
      </c>
      <c r="M1001" s="6" t="s">
        <v>142</v>
      </c>
      <c r="N1001" s="6" t="n">
        <v>54</v>
      </c>
      <c r="O1001" s="6" t="s">
        <v>58</v>
      </c>
      <c r="P1001" s="6" t="n">
        <v>8</v>
      </c>
      <c r="Q1001" s="6" t="n">
        <v>-10.18</v>
      </c>
      <c r="R1001" s="20" t="n">
        <f aca="false">(L1001-K1001)/K1001</f>
        <v>0.394970456838161</v>
      </c>
    </row>
    <row r="1002" customFormat="false" ht="15" hidden="false" customHeight="false" outlineLevel="0" collapsed="false">
      <c r="A1002" s="6" t="s">
        <v>1164</v>
      </c>
      <c r="B1002" s="6" t="n">
        <v>35</v>
      </c>
      <c r="C1002" s="6" t="s">
        <v>139</v>
      </c>
      <c r="D1002" s="6" t="s">
        <v>140</v>
      </c>
      <c r="E1002" s="6" t="s">
        <v>91</v>
      </c>
      <c r="F1002" s="6" t="s">
        <v>208</v>
      </c>
      <c r="G1002" s="6" t="n">
        <v>11</v>
      </c>
      <c r="H1002" s="6" t="s">
        <v>82</v>
      </c>
      <c r="I1002" s="6" t="s">
        <v>82</v>
      </c>
      <c r="J1002" s="6" t="s">
        <v>60</v>
      </c>
      <c r="K1002" s="6" t="n">
        <v>87184</v>
      </c>
      <c r="L1002" s="6" t="n">
        <v>121304</v>
      </c>
      <c r="M1002" s="6" t="s">
        <v>137</v>
      </c>
      <c r="N1002" s="6" t="n">
        <v>49</v>
      </c>
      <c r="O1002" s="6" t="s">
        <v>58</v>
      </c>
      <c r="P1002" s="6" t="n">
        <v>5</v>
      </c>
      <c r="Q1002" s="6" t="n">
        <v>21.2</v>
      </c>
      <c r="R1002" s="20" t="n">
        <f aca="false">(L1002-K1002)/K1002</f>
        <v>0.391356212149018</v>
      </c>
    </row>
    <row r="1003" customFormat="false" ht="15" hidden="false" customHeight="false" outlineLevel="0" collapsed="false">
      <c r="A1003" s="6" t="s">
        <v>1165</v>
      </c>
      <c r="B1003" s="6" t="n">
        <v>41</v>
      </c>
      <c r="C1003" s="6" t="s">
        <v>139</v>
      </c>
      <c r="D1003" s="6" t="s">
        <v>144</v>
      </c>
      <c r="E1003" s="6" t="s">
        <v>91</v>
      </c>
      <c r="F1003" s="6" t="s">
        <v>141</v>
      </c>
      <c r="G1003" s="6" t="n">
        <v>18</v>
      </c>
      <c r="H1003" s="6" t="s">
        <v>81</v>
      </c>
      <c r="I1003" s="6" t="s">
        <v>82</v>
      </c>
      <c r="J1003" s="6" t="s">
        <v>58</v>
      </c>
      <c r="K1003" s="6" t="n">
        <v>47138</v>
      </c>
      <c r="L1003" s="6" t="n">
        <v>45586</v>
      </c>
      <c r="M1003" s="6" t="s">
        <v>142</v>
      </c>
      <c r="N1003" s="6" t="n">
        <v>52</v>
      </c>
      <c r="O1003" s="6" t="s">
        <v>58</v>
      </c>
      <c r="P1003" s="6" t="n">
        <v>6</v>
      </c>
      <c r="Q1003" s="6" t="n">
        <v>31.43</v>
      </c>
      <c r="R1003" s="20" t="n">
        <f aca="false">(L1003-K1003)/K1003</f>
        <v>-0.0329246043531758</v>
      </c>
    </row>
    <row r="1004" customFormat="false" ht="15" hidden="false" customHeight="false" outlineLevel="0" collapsed="false">
      <c r="A1004" s="6" t="s">
        <v>1166</v>
      </c>
      <c r="B1004" s="6" t="n">
        <v>33</v>
      </c>
      <c r="C1004" s="6" t="s">
        <v>139</v>
      </c>
      <c r="D1004" s="6" t="s">
        <v>148</v>
      </c>
      <c r="E1004" s="6" t="s">
        <v>93</v>
      </c>
      <c r="F1004" s="6" t="s">
        <v>181</v>
      </c>
      <c r="G1004" s="6" t="n">
        <v>7</v>
      </c>
      <c r="H1004" s="6" t="s">
        <v>80</v>
      </c>
      <c r="I1004" s="6" t="s">
        <v>82</v>
      </c>
      <c r="J1004" s="6" t="s">
        <v>58</v>
      </c>
      <c r="K1004" s="6" t="n">
        <v>54845</v>
      </c>
      <c r="L1004" s="6" t="n">
        <v>55704</v>
      </c>
      <c r="M1004" s="6" t="s">
        <v>142</v>
      </c>
      <c r="N1004" s="6" t="n">
        <v>51</v>
      </c>
      <c r="O1004" s="6" t="s">
        <v>58</v>
      </c>
      <c r="P1004" s="6" t="n">
        <v>4</v>
      </c>
      <c r="Q1004" s="6" t="n">
        <v>-1.38</v>
      </c>
      <c r="R1004" s="20" t="n">
        <f aca="false">(L1004-K1004)/K1004</f>
        <v>0.0156623210866989</v>
      </c>
    </row>
    <row r="1005" customFormat="false" ht="15" hidden="false" customHeight="false" outlineLevel="0" collapsed="false">
      <c r="A1005" s="6" t="s">
        <v>1167</v>
      </c>
      <c r="B1005" s="6" t="n">
        <v>53</v>
      </c>
      <c r="C1005" s="6" t="s">
        <v>159</v>
      </c>
      <c r="D1005" s="6" t="s">
        <v>144</v>
      </c>
      <c r="E1005" s="6" t="s">
        <v>88</v>
      </c>
      <c r="F1005" s="6" t="s">
        <v>157</v>
      </c>
      <c r="G1005" s="6" t="n">
        <v>30</v>
      </c>
      <c r="H1005" s="6" t="s">
        <v>81</v>
      </c>
      <c r="I1005" s="6" t="s">
        <v>81</v>
      </c>
      <c r="J1005" s="6" t="s">
        <v>58</v>
      </c>
      <c r="K1005" s="6" t="n">
        <v>57818</v>
      </c>
      <c r="L1005" s="6" t="n">
        <v>55067</v>
      </c>
      <c r="M1005" s="6" t="s">
        <v>146</v>
      </c>
      <c r="N1005" s="6" t="n">
        <v>43</v>
      </c>
      <c r="O1005" s="6" t="s">
        <v>58</v>
      </c>
      <c r="P1005" s="6" t="n">
        <v>3</v>
      </c>
      <c r="Q1005" s="6" t="n">
        <v>32.48</v>
      </c>
      <c r="R1005" s="20" t="n">
        <f aca="false">(L1005-K1005)/K1005</f>
        <v>-0.0475803383029506</v>
      </c>
    </row>
    <row r="1006" customFormat="false" ht="15" hidden="false" customHeight="false" outlineLevel="0" collapsed="false">
      <c r="A1006" s="6" t="s">
        <v>1168</v>
      </c>
      <c r="B1006" s="6" t="n">
        <v>54</v>
      </c>
      <c r="C1006" s="6" t="s">
        <v>159</v>
      </c>
      <c r="D1006" s="6" t="s">
        <v>135</v>
      </c>
      <c r="E1006" s="6" t="s">
        <v>92</v>
      </c>
      <c r="F1006" s="6" t="s">
        <v>192</v>
      </c>
      <c r="G1006" s="6" t="n">
        <v>29</v>
      </c>
      <c r="H1006" s="6" t="s">
        <v>80</v>
      </c>
      <c r="I1006" s="6" t="s">
        <v>81</v>
      </c>
      <c r="J1006" s="6" t="s">
        <v>60</v>
      </c>
      <c r="K1006" s="6" t="n">
        <v>89025</v>
      </c>
      <c r="L1006" s="6" t="n">
        <v>88152</v>
      </c>
      <c r="M1006" s="6" t="s">
        <v>146</v>
      </c>
      <c r="N1006" s="6" t="n">
        <v>52</v>
      </c>
      <c r="O1006" s="6" t="s">
        <v>60</v>
      </c>
      <c r="P1006" s="6" t="n">
        <v>8</v>
      </c>
      <c r="Q1006" s="6" t="n">
        <v>34.73</v>
      </c>
      <c r="R1006" s="20" t="n">
        <f aca="false">(L1006-K1006)/K1006</f>
        <v>-0.00980623420387532</v>
      </c>
    </row>
    <row r="1007" customFormat="false" ht="15" hidden="false" customHeight="false" outlineLevel="0" collapsed="false">
      <c r="A1007" s="6" t="s">
        <v>1169</v>
      </c>
      <c r="B1007" s="6" t="n">
        <v>46</v>
      </c>
      <c r="C1007" s="6" t="s">
        <v>134</v>
      </c>
      <c r="D1007" s="6" t="s">
        <v>144</v>
      </c>
      <c r="E1007" s="6" t="s">
        <v>91</v>
      </c>
      <c r="F1007" s="6" t="s">
        <v>208</v>
      </c>
      <c r="G1007" s="6" t="n">
        <v>23</v>
      </c>
      <c r="H1007" s="6" t="s">
        <v>82</v>
      </c>
      <c r="I1007" s="6" t="s">
        <v>81</v>
      </c>
      <c r="J1007" s="6" t="s">
        <v>60</v>
      </c>
      <c r="K1007" s="6" t="n">
        <v>93644</v>
      </c>
      <c r="L1007" s="6" t="n">
        <v>113153</v>
      </c>
      <c r="M1007" s="6" t="s">
        <v>146</v>
      </c>
      <c r="N1007" s="6" t="n">
        <v>52</v>
      </c>
      <c r="O1007" s="6" t="s">
        <v>60</v>
      </c>
      <c r="P1007" s="6" t="n">
        <v>3</v>
      </c>
      <c r="Q1007" s="6" t="n">
        <v>-2.03</v>
      </c>
      <c r="R1007" s="20" t="n">
        <f aca="false">(L1007-K1007)/K1007</f>
        <v>0.208331553543206</v>
      </c>
    </row>
    <row r="1008" customFormat="false" ht="15" hidden="false" customHeight="false" outlineLevel="0" collapsed="false">
      <c r="A1008" s="6" t="s">
        <v>1170</v>
      </c>
      <c r="B1008" s="6" t="n">
        <v>37</v>
      </c>
      <c r="C1008" s="6" t="s">
        <v>139</v>
      </c>
      <c r="D1008" s="6" t="s">
        <v>140</v>
      </c>
      <c r="E1008" s="6" t="s">
        <v>88</v>
      </c>
      <c r="F1008" s="6" t="s">
        <v>234</v>
      </c>
      <c r="G1008" s="6" t="n">
        <v>13</v>
      </c>
      <c r="H1008" s="6" t="s">
        <v>81</v>
      </c>
      <c r="I1008" s="6" t="s">
        <v>81</v>
      </c>
      <c r="J1008" s="6" t="s">
        <v>58</v>
      </c>
      <c r="K1008" s="6" t="n">
        <v>56498</v>
      </c>
      <c r="L1008" s="6" t="n">
        <v>57716</v>
      </c>
      <c r="M1008" s="6" t="s">
        <v>146</v>
      </c>
      <c r="N1008" s="6" t="n">
        <v>40</v>
      </c>
      <c r="O1008" s="6" t="s">
        <v>58</v>
      </c>
      <c r="P1008" s="6" t="n">
        <v>7</v>
      </c>
      <c r="Q1008" s="6" t="n">
        <v>15.76</v>
      </c>
      <c r="R1008" s="20" t="n">
        <f aca="false">(L1008-K1008)/K1008</f>
        <v>0.0215582852490354</v>
      </c>
    </row>
    <row r="1009" customFormat="false" ht="15" hidden="false" customHeight="false" outlineLevel="0" collapsed="false">
      <c r="A1009" s="6" t="s">
        <v>1171</v>
      </c>
      <c r="B1009" s="6" t="n">
        <v>39</v>
      </c>
      <c r="C1009" s="6" t="s">
        <v>134</v>
      </c>
      <c r="D1009" s="6" t="s">
        <v>148</v>
      </c>
      <c r="E1009" s="6" t="s">
        <v>88</v>
      </c>
      <c r="F1009" s="6" t="s">
        <v>157</v>
      </c>
      <c r="G1009" s="6" t="n">
        <v>16</v>
      </c>
      <c r="H1009" s="6" t="s">
        <v>81</v>
      </c>
      <c r="I1009" s="6" t="s">
        <v>81</v>
      </c>
      <c r="J1009" s="6" t="s">
        <v>60</v>
      </c>
      <c r="K1009" s="6" t="n">
        <v>60974</v>
      </c>
      <c r="L1009" s="6" t="n">
        <v>58120</v>
      </c>
      <c r="M1009" s="6" t="s">
        <v>146</v>
      </c>
      <c r="N1009" s="6" t="n">
        <v>40</v>
      </c>
      <c r="O1009" s="6" t="s">
        <v>60</v>
      </c>
      <c r="P1009" s="6" t="n">
        <v>7</v>
      </c>
      <c r="Q1009" s="6" t="n">
        <v>-19.58</v>
      </c>
      <c r="R1009" s="20" t="n">
        <f aca="false">(L1009-K1009)/K1009</f>
        <v>-0.0468068357004625</v>
      </c>
    </row>
    <row r="1010" customFormat="false" ht="15" hidden="false" customHeight="false" outlineLevel="0" collapsed="false">
      <c r="A1010" s="6" t="s">
        <v>1172</v>
      </c>
      <c r="B1010" s="6" t="n">
        <v>25</v>
      </c>
      <c r="C1010" s="6" t="s">
        <v>139</v>
      </c>
      <c r="D1010" s="6" t="s">
        <v>144</v>
      </c>
      <c r="E1010" s="6" t="s">
        <v>89</v>
      </c>
      <c r="F1010" s="6" t="s">
        <v>153</v>
      </c>
      <c r="G1010" s="6" t="n">
        <v>3</v>
      </c>
      <c r="H1010" s="6" t="s">
        <v>81</v>
      </c>
      <c r="I1010" s="6" t="s">
        <v>81</v>
      </c>
      <c r="J1010" s="6" t="s">
        <v>60</v>
      </c>
      <c r="K1010" s="6" t="n">
        <v>80227</v>
      </c>
      <c r="L1010" s="6" t="n">
        <v>94246</v>
      </c>
      <c r="M1010" s="6" t="s">
        <v>146</v>
      </c>
      <c r="N1010" s="6" t="n">
        <v>46</v>
      </c>
      <c r="O1010" s="6" t="s">
        <v>58</v>
      </c>
      <c r="P1010" s="6" t="n">
        <v>7</v>
      </c>
      <c r="Q1010" s="6" t="n">
        <v>10.17</v>
      </c>
      <c r="R1010" s="20" t="n">
        <f aca="false">(L1010-K1010)/K1010</f>
        <v>0.174741670509928</v>
      </c>
    </row>
    <row r="1011" customFormat="false" ht="15" hidden="false" customHeight="false" outlineLevel="0" collapsed="false">
      <c r="A1011" s="6" t="s">
        <v>1173</v>
      </c>
      <c r="B1011" s="6" t="n">
        <v>26</v>
      </c>
      <c r="C1011" s="6" t="s">
        <v>139</v>
      </c>
      <c r="D1011" s="6" t="s">
        <v>135</v>
      </c>
      <c r="E1011" s="6" t="s">
        <v>89</v>
      </c>
      <c r="F1011" s="6" t="s">
        <v>162</v>
      </c>
      <c r="G1011" s="6" t="n">
        <v>0</v>
      </c>
      <c r="H1011" s="6" t="s">
        <v>80</v>
      </c>
      <c r="I1011" s="6" t="s">
        <v>81</v>
      </c>
      <c r="J1011" s="6" t="s">
        <v>58</v>
      </c>
      <c r="K1011" s="6" t="n">
        <v>39247</v>
      </c>
      <c r="L1011" s="6" t="n">
        <v>41607</v>
      </c>
      <c r="M1011" s="6" t="s">
        <v>146</v>
      </c>
      <c r="N1011" s="6" t="n">
        <v>52</v>
      </c>
      <c r="O1011" s="6" t="s">
        <v>58</v>
      </c>
      <c r="P1011" s="6" t="n">
        <v>6</v>
      </c>
      <c r="Q1011" s="6" t="n">
        <v>11.3</v>
      </c>
      <c r="R1011" s="20" t="n">
        <f aca="false">(L1011-K1011)/K1011</f>
        <v>0.0601319846102887</v>
      </c>
    </row>
    <row r="1012" customFormat="false" ht="15" hidden="false" customHeight="false" outlineLevel="0" collapsed="false">
      <c r="A1012" s="6" t="s">
        <v>1174</v>
      </c>
      <c r="B1012" s="6" t="n">
        <v>50</v>
      </c>
      <c r="C1012" s="6" t="s">
        <v>159</v>
      </c>
      <c r="D1012" s="6" t="s">
        <v>144</v>
      </c>
      <c r="E1012" s="6" t="s">
        <v>89</v>
      </c>
      <c r="F1012" s="6" t="s">
        <v>153</v>
      </c>
      <c r="G1012" s="6" t="n">
        <v>26</v>
      </c>
      <c r="H1012" s="6" t="s">
        <v>82</v>
      </c>
      <c r="I1012" s="6" t="s">
        <v>80</v>
      </c>
      <c r="J1012" s="6" t="s">
        <v>58</v>
      </c>
      <c r="K1012" s="6" t="n">
        <v>116489</v>
      </c>
      <c r="L1012" s="6" t="n">
        <v>119632</v>
      </c>
      <c r="M1012" s="6" t="s">
        <v>142</v>
      </c>
      <c r="N1012" s="6" t="n">
        <v>36</v>
      </c>
      <c r="O1012" s="6" t="s">
        <v>58</v>
      </c>
      <c r="P1012" s="6" t="n">
        <v>8</v>
      </c>
      <c r="Q1012" s="6" t="n">
        <v>-14.7</v>
      </c>
      <c r="R1012" s="20" t="n">
        <f aca="false">(L1012-K1012)/K1012</f>
        <v>0.0269810883431054</v>
      </c>
    </row>
    <row r="1013" customFormat="false" ht="15" hidden="false" customHeight="false" outlineLevel="0" collapsed="false">
      <c r="A1013" s="6" t="s">
        <v>1175</v>
      </c>
      <c r="B1013" s="6" t="n">
        <v>24</v>
      </c>
      <c r="C1013" s="6" t="s">
        <v>159</v>
      </c>
      <c r="D1013" s="6" t="s">
        <v>140</v>
      </c>
      <c r="E1013" s="6" t="s">
        <v>93</v>
      </c>
      <c r="F1013" s="6" t="s">
        <v>197</v>
      </c>
      <c r="G1013" s="6" t="n">
        <v>0</v>
      </c>
      <c r="H1013" s="6" t="s">
        <v>80</v>
      </c>
      <c r="I1013" s="6" t="s">
        <v>81</v>
      </c>
      <c r="J1013" s="6" t="s">
        <v>58</v>
      </c>
      <c r="K1013" s="6" t="n">
        <v>74722</v>
      </c>
      <c r="L1013" s="6" t="n">
        <v>72852</v>
      </c>
      <c r="M1013" s="6" t="s">
        <v>146</v>
      </c>
      <c r="N1013" s="6" t="n">
        <v>43</v>
      </c>
      <c r="O1013" s="6" t="s">
        <v>58</v>
      </c>
      <c r="P1013" s="6" t="n">
        <v>4</v>
      </c>
      <c r="Q1013" s="6" t="n">
        <v>39.17</v>
      </c>
      <c r="R1013" s="20" t="n">
        <f aca="false">(L1013-K1013)/K1013</f>
        <v>-0.0250260967318862</v>
      </c>
    </row>
    <row r="1014" customFormat="false" ht="15" hidden="false" customHeight="false" outlineLevel="0" collapsed="false">
      <c r="A1014" s="6" t="s">
        <v>1176</v>
      </c>
      <c r="B1014" s="6" t="n">
        <v>52</v>
      </c>
      <c r="C1014" s="6" t="s">
        <v>159</v>
      </c>
      <c r="D1014" s="6" t="s">
        <v>135</v>
      </c>
      <c r="E1014" s="6" t="s">
        <v>90</v>
      </c>
      <c r="F1014" s="6" t="s">
        <v>145</v>
      </c>
      <c r="G1014" s="6" t="n">
        <v>27</v>
      </c>
      <c r="H1014" s="6" t="s">
        <v>81</v>
      </c>
      <c r="I1014" s="6" t="s">
        <v>81</v>
      </c>
      <c r="J1014" s="6" t="s">
        <v>60</v>
      </c>
      <c r="K1014" s="6" t="n">
        <v>58718</v>
      </c>
      <c r="L1014" s="6" t="n">
        <v>69206</v>
      </c>
      <c r="M1014" s="6" t="s">
        <v>146</v>
      </c>
      <c r="N1014" s="6" t="n">
        <v>48</v>
      </c>
      <c r="O1014" s="6" t="s">
        <v>60</v>
      </c>
      <c r="P1014" s="6" t="n">
        <v>7</v>
      </c>
      <c r="Q1014" s="6" t="n">
        <v>9.8</v>
      </c>
      <c r="R1014" s="20" t="n">
        <f aca="false">(L1014-K1014)/K1014</f>
        <v>0.178616437889574</v>
      </c>
    </row>
    <row r="1015" customFormat="false" ht="15" hidden="false" customHeight="false" outlineLevel="0" collapsed="false">
      <c r="A1015" s="6" t="s">
        <v>1177</v>
      </c>
      <c r="B1015" s="6" t="n">
        <v>31</v>
      </c>
      <c r="C1015" s="6" t="s">
        <v>159</v>
      </c>
      <c r="D1015" s="6" t="s">
        <v>140</v>
      </c>
      <c r="E1015" s="6" t="s">
        <v>89</v>
      </c>
      <c r="F1015" s="6" t="s">
        <v>162</v>
      </c>
      <c r="G1015" s="6" t="n">
        <v>7</v>
      </c>
      <c r="H1015" s="6" t="s">
        <v>82</v>
      </c>
      <c r="I1015" s="6" t="s">
        <v>80</v>
      </c>
      <c r="J1015" s="6" t="s">
        <v>60</v>
      </c>
      <c r="K1015" s="6" t="n">
        <v>72968</v>
      </c>
      <c r="L1015" s="6" t="n">
        <v>91334</v>
      </c>
      <c r="M1015" s="6" t="s">
        <v>142</v>
      </c>
      <c r="N1015" s="6" t="n">
        <v>40</v>
      </c>
      <c r="O1015" s="6" t="s">
        <v>60</v>
      </c>
      <c r="P1015" s="6" t="n">
        <v>8</v>
      </c>
      <c r="Q1015" s="6" t="n">
        <v>10</v>
      </c>
      <c r="R1015" s="20" t="n">
        <f aca="false">(L1015-K1015)/K1015</f>
        <v>0.251699375068523</v>
      </c>
    </row>
    <row r="1016" customFormat="false" ht="15" hidden="false" customHeight="false" outlineLevel="0" collapsed="false">
      <c r="A1016" s="6" t="s">
        <v>1178</v>
      </c>
      <c r="B1016" s="6" t="n">
        <v>24</v>
      </c>
      <c r="C1016" s="6" t="s">
        <v>139</v>
      </c>
      <c r="D1016" s="6" t="s">
        <v>135</v>
      </c>
      <c r="E1016" s="6" t="s">
        <v>91</v>
      </c>
      <c r="F1016" s="6" t="s">
        <v>141</v>
      </c>
      <c r="G1016" s="6" t="n">
        <v>0</v>
      </c>
      <c r="H1016" s="6" t="s">
        <v>80</v>
      </c>
      <c r="I1016" s="6" t="s">
        <v>82</v>
      </c>
      <c r="J1016" s="6" t="s">
        <v>60</v>
      </c>
      <c r="K1016" s="6" t="n">
        <v>72498</v>
      </c>
      <c r="L1016" s="6" t="n">
        <v>74033</v>
      </c>
      <c r="M1016" s="6" t="s">
        <v>142</v>
      </c>
      <c r="N1016" s="6" t="n">
        <v>40</v>
      </c>
      <c r="O1016" s="6" t="s">
        <v>60</v>
      </c>
      <c r="P1016" s="6" t="n">
        <v>5</v>
      </c>
      <c r="Q1016" s="6" t="n">
        <v>28.96</v>
      </c>
      <c r="R1016" s="20" t="n">
        <f aca="false">(L1016-K1016)/K1016</f>
        <v>0.0211729978758035</v>
      </c>
    </row>
    <row r="1017" customFormat="false" ht="15" hidden="false" customHeight="false" outlineLevel="0" collapsed="false">
      <c r="A1017" s="6" t="s">
        <v>1179</v>
      </c>
      <c r="B1017" s="6" t="n">
        <v>33</v>
      </c>
      <c r="C1017" s="6" t="s">
        <v>134</v>
      </c>
      <c r="D1017" s="6" t="s">
        <v>140</v>
      </c>
      <c r="E1017" s="6" t="s">
        <v>93</v>
      </c>
      <c r="F1017" s="6" t="s">
        <v>181</v>
      </c>
      <c r="G1017" s="6" t="n">
        <v>11</v>
      </c>
      <c r="H1017" s="6" t="s">
        <v>82</v>
      </c>
      <c r="I1017" s="6" t="s">
        <v>80</v>
      </c>
      <c r="J1017" s="6" t="s">
        <v>58</v>
      </c>
      <c r="K1017" s="6" t="n">
        <v>105235</v>
      </c>
      <c r="L1017" s="6" t="n">
        <v>122344</v>
      </c>
      <c r="M1017" s="6" t="s">
        <v>142</v>
      </c>
      <c r="N1017" s="6" t="n">
        <v>52</v>
      </c>
      <c r="O1017" s="6" t="s">
        <v>60</v>
      </c>
      <c r="P1017" s="6" t="n">
        <v>7</v>
      </c>
      <c r="Q1017" s="6" t="n">
        <v>17.8</v>
      </c>
      <c r="R1017" s="20" t="n">
        <f aca="false">(L1017-K1017)/K1017</f>
        <v>0.162578989879793</v>
      </c>
    </row>
    <row r="1018" customFormat="false" ht="15" hidden="false" customHeight="false" outlineLevel="0" collapsed="false">
      <c r="A1018" s="6" t="s">
        <v>1180</v>
      </c>
      <c r="B1018" s="6" t="n">
        <v>57</v>
      </c>
      <c r="C1018" s="6" t="s">
        <v>159</v>
      </c>
      <c r="D1018" s="6" t="s">
        <v>135</v>
      </c>
      <c r="E1018" s="6" t="s">
        <v>91</v>
      </c>
      <c r="F1018" s="6" t="s">
        <v>208</v>
      </c>
      <c r="G1018" s="6" t="n">
        <v>32</v>
      </c>
      <c r="H1018" s="6" t="s">
        <v>81</v>
      </c>
      <c r="I1018" s="6" t="s">
        <v>82</v>
      </c>
      <c r="J1018" s="6" t="s">
        <v>58</v>
      </c>
      <c r="K1018" s="6" t="n">
        <v>68445</v>
      </c>
      <c r="L1018" s="6" t="n">
        <v>74818</v>
      </c>
      <c r="M1018" s="6" t="s">
        <v>142</v>
      </c>
      <c r="N1018" s="6" t="n">
        <v>52</v>
      </c>
      <c r="O1018" s="6" t="s">
        <v>60</v>
      </c>
      <c r="P1018" s="6" t="n">
        <v>5</v>
      </c>
      <c r="Q1018" s="6" t="n">
        <v>-3.37</v>
      </c>
      <c r="R1018" s="20" t="n">
        <f aca="false">(L1018-K1018)/K1018</f>
        <v>0.0931112572138213</v>
      </c>
    </row>
    <row r="1019" customFormat="false" ht="15" hidden="false" customHeight="false" outlineLevel="0" collapsed="false">
      <c r="A1019" s="6" t="s">
        <v>1181</v>
      </c>
      <c r="B1019" s="6" t="n">
        <v>51</v>
      </c>
      <c r="C1019" s="6" t="s">
        <v>159</v>
      </c>
      <c r="D1019" s="6" t="s">
        <v>140</v>
      </c>
      <c r="E1019" s="6" t="s">
        <v>90</v>
      </c>
      <c r="F1019" s="6" t="s">
        <v>202</v>
      </c>
      <c r="G1019" s="6" t="n">
        <v>28</v>
      </c>
      <c r="H1019" s="6" t="s">
        <v>80</v>
      </c>
      <c r="I1019" s="6" t="s">
        <v>82</v>
      </c>
      <c r="J1019" s="6" t="s">
        <v>58</v>
      </c>
      <c r="K1019" s="6" t="n">
        <v>51304</v>
      </c>
      <c r="L1019" s="6" t="n">
        <v>56119</v>
      </c>
      <c r="M1019" s="6" t="s">
        <v>142</v>
      </c>
      <c r="N1019" s="6" t="n">
        <v>42</v>
      </c>
      <c r="O1019" s="6" t="s">
        <v>60</v>
      </c>
      <c r="P1019" s="6" t="n">
        <v>3</v>
      </c>
      <c r="Q1019" s="6" t="n">
        <v>-8.46</v>
      </c>
      <c r="R1019" s="20" t="n">
        <f aca="false">(L1019-K1019)/K1019</f>
        <v>0.0938523312022454</v>
      </c>
    </row>
    <row r="1020" customFormat="false" ht="15" hidden="false" customHeight="false" outlineLevel="0" collapsed="false">
      <c r="A1020" s="6" t="s">
        <v>1182</v>
      </c>
      <c r="B1020" s="6" t="n">
        <v>40</v>
      </c>
      <c r="C1020" s="6" t="s">
        <v>159</v>
      </c>
      <c r="D1020" s="6" t="s">
        <v>135</v>
      </c>
      <c r="E1020" s="6" t="s">
        <v>88</v>
      </c>
      <c r="F1020" s="6" t="s">
        <v>157</v>
      </c>
      <c r="G1020" s="6" t="n">
        <v>14</v>
      </c>
      <c r="H1020" s="6" t="s">
        <v>82</v>
      </c>
      <c r="I1020" s="6" t="s">
        <v>80</v>
      </c>
      <c r="J1020" s="6" t="s">
        <v>60</v>
      </c>
      <c r="K1020" s="6" t="n">
        <v>36862</v>
      </c>
      <c r="L1020" s="6" t="n">
        <v>29912</v>
      </c>
      <c r="M1020" s="6" t="s">
        <v>142</v>
      </c>
      <c r="N1020" s="6" t="n">
        <v>42</v>
      </c>
      <c r="O1020" s="6" t="s">
        <v>60</v>
      </c>
      <c r="P1020" s="6" t="n">
        <v>4</v>
      </c>
      <c r="Q1020" s="6" t="n">
        <v>21.39</v>
      </c>
      <c r="R1020" s="20" t="n">
        <f aca="false">(L1020-K1020)/K1020</f>
        <v>-0.188541044978569</v>
      </c>
    </row>
    <row r="1021" customFormat="false" ht="15" hidden="false" customHeight="false" outlineLevel="0" collapsed="false">
      <c r="A1021" s="6" t="s">
        <v>1183</v>
      </c>
      <c r="B1021" s="6" t="n">
        <v>48</v>
      </c>
      <c r="C1021" s="6" t="s">
        <v>139</v>
      </c>
      <c r="D1021" s="6" t="s">
        <v>135</v>
      </c>
      <c r="E1021" s="6" t="s">
        <v>93</v>
      </c>
      <c r="F1021" s="6" t="s">
        <v>197</v>
      </c>
      <c r="G1021" s="6" t="n">
        <v>24</v>
      </c>
      <c r="H1021" s="6" t="s">
        <v>81</v>
      </c>
      <c r="I1021" s="6" t="s">
        <v>82</v>
      </c>
      <c r="J1021" s="6" t="s">
        <v>60</v>
      </c>
      <c r="K1021" s="6" t="n">
        <v>72879</v>
      </c>
      <c r="L1021" s="6" t="n">
        <v>69955</v>
      </c>
      <c r="M1021" s="6" t="s">
        <v>142</v>
      </c>
      <c r="N1021" s="6" t="n">
        <v>43</v>
      </c>
      <c r="O1021" s="6" t="s">
        <v>60</v>
      </c>
      <c r="P1021" s="6" t="n">
        <v>3</v>
      </c>
      <c r="Q1021" s="6" t="n">
        <v>25.03</v>
      </c>
      <c r="R1021" s="20" t="n">
        <f aca="false">(L1021-K1021)/K1021</f>
        <v>-0.0401212969442501</v>
      </c>
    </row>
    <row r="1022" customFormat="false" ht="15" hidden="false" customHeight="false" outlineLevel="0" collapsed="false">
      <c r="A1022" s="6" t="s">
        <v>1184</v>
      </c>
      <c r="B1022" s="6" t="n">
        <v>40</v>
      </c>
      <c r="C1022" s="6" t="s">
        <v>134</v>
      </c>
      <c r="D1022" s="6" t="s">
        <v>135</v>
      </c>
      <c r="E1022" s="6" t="s">
        <v>90</v>
      </c>
      <c r="F1022" s="6" t="s">
        <v>202</v>
      </c>
      <c r="G1022" s="6" t="n">
        <v>14</v>
      </c>
      <c r="H1022" s="6" t="s">
        <v>81</v>
      </c>
      <c r="I1022" s="6" t="s">
        <v>81</v>
      </c>
      <c r="J1022" s="6" t="s">
        <v>58</v>
      </c>
      <c r="K1022" s="6" t="n">
        <v>77058</v>
      </c>
      <c r="L1022" s="6" t="n">
        <v>75575</v>
      </c>
      <c r="M1022" s="6" t="s">
        <v>146</v>
      </c>
      <c r="N1022" s="6" t="n">
        <v>41</v>
      </c>
      <c r="O1022" s="6" t="s">
        <v>60</v>
      </c>
      <c r="P1022" s="6" t="n">
        <v>4</v>
      </c>
      <c r="Q1022" s="6" t="n">
        <v>38.94</v>
      </c>
      <c r="R1022" s="20" t="n">
        <f aca="false">(L1022-K1022)/K1022</f>
        <v>-0.0192452438423006</v>
      </c>
    </row>
    <row r="1023" customFormat="false" ht="15" hidden="false" customHeight="false" outlineLevel="0" collapsed="false">
      <c r="A1023" s="6" t="s">
        <v>1185</v>
      </c>
      <c r="B1023" s="6" t="n">
        <v>53</v>
      </c>
      <c r="C1023" s="6" t="s">
        <v>159</v>
      </c>
      <c r="D1023" s="6" t="s">
        <v>148</v>
      </c>
      <c r="E1023" s="6" t="s">
        <v>91</v>
      </c>
      <c r="F1023" s="6" t="s">
        <v>208</v>
      </c>
      <c r="G1023" s="6" t="n">
        <v>28</v>
      </c>
      <c r="H1023" s="6" t="s">
        <v>80</v>
      </c>
      <c r="I1023" s="6" t="s">
        <v>82</v>
      </c>
      <c r="J1023" s="6" t="s">
        <v>58</v>
      </c>
      <c r="K1023" s="6" t="n">
        <v>51575</v>
      </c>
      <c r="L1023" s="6" t="n">
        <v>50827</v>
      </c>
      <c r="M1023" s="6" t="s">
        <v>142</v>
      </c>
      <c r="N1023" s="6" t="n">
        <v>39</v>
      </c>
      <c r="O1023" s="6" t="s">
        <v>58</v>
      </c>
      <c r="P1023" s="6" t="n">
        <v>3</v>
      </c>
      <c r="Q1023" s="6" t="n">
        <v>17.68</v>
      </c>
      <c r="R1023" s="20" t="n">
        <f aca="false">(L1023-K1023)/K1023</f>
        <v>-0.014503150751333</v>
      </c>
    </row>
    <row r="1024" customFormat="false" ht="15" hidden="false" customHeight="false" outlineLevel="0" collapsed="false">
      <c r="A1024" s="6" t="s">
        <v>1186</v>
      </c>
      <c r="B1024" s="6" t="n">
        <v>47</v>
      </c>
      <c r="C1024" s="6" t="s">
        <v>134</v>
      </c>
      <c r="D1024" s="6" t="s">
        <v>135</v>
      </c>
      <c r="E1024" s="6" t="s">
        <v>93</v>
      </c>
      <c r="F1024" s="6" t="s">
        <v>164</v>
      </c>
      <c r="G1024" s="6" t="n">
        <v>21</v>
      </c>
      <c r="H1024" s="6" t="s">
        <v>82</v>
      </c>
      <c r="I1024" s="6" t="s">
        <v>82</v>
      </c>
      <c r="J1024" s="6" t="s">
        <v>60</v>
      </c>
      <c r="K1024" s="6" t="n">
        <v>65790</v>
      </c>
      <c r="L1024" s="6" t="n">
        <v>86856</v>
      </c>
      <c r="M1024" s="6" t="s">
        <v>146</v>
      </c>
      <c r="N1024" s="6" t="n">
        <v>35</v>
      </c>
      <c r="O1024" s="6" t="s">
        <v>58</v>
      </c>
      <c r="P1024" s="6" t="n">
        <v>5</v>
      </c>
      <c r="Q1024" s="6" t="n">
        <v>20.16</v>
      </c>
      <c r="R1024" s="20" t="n">
        <f aca="false">(L1024-K1024)/K1024</f>
        <v>0.320200638394893</v>
      </c>
    </row>
    <row r="1025" customFormat="false" ht="15" hidden="false" customHeight="false" outlineLevel="0" collapsed="false">
      <c r="A1025" s="6" t="s">
        <v>1187</v>
      </c>
      <c r="B1025" s="6" t="n">
        <v>39</v>
      </c>
      <c r="C1025" s="6" t="s">
        <v>139</v>
      </c>
      <c r="D1025" s="6" t="s">
        <v>148</v>
      </c>
      <c r="E1025" s="6" t="s">
        <v>92</v>
      </c>
      <c r="F1025" s="6" t="s">
        <v>222</v>
      </c>
      <c r="G1025" s="6" t="n">
        <v>16</v>
      </c>
      <c r="H1025" s="6" t="s">
        <v>81</v>
      </c>
      <c r="I1025" s="6" t="s">
        <v>81</v>
      </c>
      <c r="J1025" s="6" t="s">
        <v>58</v>
      </c>
      <c r="K1025" s="6" t="n">
        <v>42404</v>
      </c>
      <c r="L1025" s="6" t="n">
        <v>46137</v>
      </c>
      <c r="M1025" s="6" t="s">
        <v>146</v>
      </c>
      <c r="N1025" s="6" t="n">
        <v>41</v>
      </c>
      <c r="O1025" s="6" t="s">
        <v>60</v>
      </c>
      <c r="P1025" s="6" t="n">
        <v>3</v>
      </c>
      <c r="Q1025" s="6" t="n">
        <v>1.52</v>
      </c>
      <c r="R1025" s="20" t="n">
        <f aca="false">(L1025-K1025)/K1025</f>
        <v>0.088034147721913</v>
      </c>
    </row>
    <row r="1026" customFormat="false" ht="15" hidden="false" customHeight="false" outlineLevel="0" collapsed="false">
      <c r="A1026" s="6" t="s">
        <v>1188</v>
      </c>
      <c r="B1026" s="6" t="n">
        <v>47</v>
      </c>
      <c r="C1026" s="6" t="s">
        <v>139</v>
      </c>
      <c r="D1026" s="6" t="s">
        <v>144</v>
      </c>
      <c r="E1026" s="6" t="s">
        <v>89</v>
      </c>
      <c r="F1026" s="6" t="s">
        <v>162</v>
      </c>
      <c r="G1026" s="6" t="n">
        <v>25</v>
      </c>
      <c r="H1026" s="6" t="s">
        <v>80</v>
      </c>
      <c r="I1026" s="6" t="s">
        <v>82</v>
      </c>
      <c r="J1026" s="6" t="s">
        <v>58</v>
      </c>
      <c r="K1026" s="6" t="n">
        <v>91313</v>
      </c>
      <c r="L1026" s="6" t="n">
        <v>99304</v>
      </c>
      <c r="M1026" s="6" t="s">
        <v>142</v>
      </c>
      <c r="N1026" s="6" t="n">
        <v>40</v>
      </c>
      <c r="O1026" s="6" t="s">
        <v>58</v>
      </c>
      <c r="P1026" s="6" t="n">
        <v>4</v>
      </c>
      <c r="Q1026" s="6" t="n">
        <v>28.05</v>
      </c>
      <c r="R1026" s="20" t="n">
        <f aca="false">(L1026-K1026)/K1026</f>
        <v>0.0875121833692902</v>
      </c>
    </row>
    <row r="1027" customFormat="false" ht="15" hidden="false" customHeight="false" outlineLevel="0" collapsed="false">
      <c r="A1027" s="6" t="s">
        <v>1189</v>
      </c>
      <c r="B1027" s="6" t="n">
        <v>45</v>
      </c>
      <c r="C1027" s="6" t="s">
        <v>139</v>
      </c>
      <c r="D1027" s="6" t="s">
        <v>144</v>
      </c>
      <c r="E1027" s="6" t="s">
        <v>88</v>
      </c>
      <c r="F1027" s="6" t="s">
        <v>234</v>
      </c>
      <c r="G1027" s="6" t="n">
        <v>22</v>
      </c>
      <c r="H1027" s="6" t="s">
        <v>80</v>
      </c>
      <c r="I1027" s="6" t="s">
        <v>81</v>
      </c>
      <c r="J1027" s="6" t="s">
        <v>58</v>
      </c>
      <c r="K1027" s="6" t="n">
        <v>35544</v>
      </c>
      <c r="L1027" s="6" t="n">
        <v>36391</v>
      </c>
      <c r="M1027" s="6" t="s">
        <v>146</v>
      </c>
      <c r="N1027" s="6" t="n">
        <v>40</v>
      </c>
      <c r="O1027" s="6" t="s">
        <v>60</v>
      </c>
      <c r="P1027" s="6" t="n">
        <v>8</v>
      </c>
      <c r="Q1027" s="6" t="n">
        <v>-8.46</v>
      </c>
      <c r="R1027" s="20" t="n">
        <f aca="false">(L1027-K1027)/K1027</f>
        <v>0.0238296196263786</v>
      </c>
    </row>
    <row r="1028" customFormat="false" ht="15" hidden="false" customHeight="false" outlineLevel="0" collapsed="false">
      <c r="A1028" s="6" t="s">
        <v>1190</v>
      </c>
      <c r="B1028" s="6" t="n">
        <v>43</v>
      </c>
      <c r="C1028" s="6" t="s">
        <v>139</v>
      </c>
      <c r="D1028" s="6" t="s">
        <v>140</v>
      </c>
      <c r="E1028" s="6" t="s">
        <v>89</v>
      </c>
      <c r="F1028" s="6" t="s">
        <v>153</v>
      </c>
      <c r="G1028" s="6" t="n">
        <v>20</v>
      </c>
      <c r="H1028" s="6" t="s">
        <v>80</v>
      </c>
      <c r="I1028" s="6" t="s">
        <v>82</v>
      </c>
      <c r="J1028" s="6" t="s">
        <v>60</v>
      </c>
      <c r="K1028" s="6" t="n">
        <v>50390</v>
      </c>
      <c r="L1028" s="6" t="n">
        <v>54936</v>
      </c>
      <c r="M1028" s="6" t="s">
        <v>142</v>
      </c>
      <c r="N1028" s="6" t="n">
        <v>53</v>
      </c>
      <c r="O1028" s="6" t="s">
        <v>58</v>
      </c>
      <c r="P1028" s="6" t="n">
        <v>9</v>
      </c>
      <c r="Q1028" s="6" t="n">
        <v>18.23</v>
      </c>
      <c r="R1028" s="20" t="n">
        <f aca="false">(L1028-K1028)/K1028</f>
        <v>0.0902163127604684</v>
      </c>
    </row>
    <row r="1029" customFormat="false" ht="15" hidden="false" customHeight="false" outlineLevel="0" collapsed="false">
      <c r="A1029" s="6" t="s">
        <v>1191</v>
      </c>
      <c r="B1029" s="6" t="n">
        <v>28</v>
      </c>
      <c r="C1029" s="6" t="s">
        <v>159</v>
      </c>
      <c r="D1029" s="6" t="s">
        <v>140</v>
      </c>
      <c r="E1029" s="6" t="s">
        <v>90</v>
      </c>
      <c r="F1029" s="6" t="s">
        <v>202</v>
      </c>
      <c r="G1029" s="6" t="n">
        <v>5</v>
      </c>
      <c r="H1029" s="6" t="s">
        <v>81</v>
      </c>
      <c r="I1029" s="6" t="s">
        <v>82</v>
      </c>
      <c r="J1029" s="6" t="s">
        <v>58</v>
      </c>
      <c r="K1029" s="6" t="n">
        <v>46984</v>
      </c>
      <c r="L1029" s="6" t="n">
        <v>51066</v>
      </c>
      <c r="M1029" s="6" t="s">
        <v>142</v>
      </c>
      <c r="N1029" s="6" t="n">
        <v>43</v>
      </c>
      <c r="O1029" s="6" t="s">
        <v>58</v>
      </c>
      <c r="P1029" s="6" t="n">
        <v>9</v>
      </c>
      <c r="Q1029" s="6" t="n">
        <v>6.81</v>
      </c>
      <c r="R1029" s="20" t="n">
        <f aca="false">(L1029-K1029)/K1029</f>
        <v>0.0868806402179465</v>
      </c>
    </row>
    <row r="1030" customFormat="false" ht="15" hidden="false" customHeight="false" outlineLevel="0" collapsed="false">
      <c r="A1030" s="6" t="s">
        <v>1192</v>
      </c>
      <c r="B1030" s="6" t="n">
        <v>23</v>
      </c>
      <c r="C1030" s="6" t="s">
        <v>159</v>
      </c>
      <c r="D1030" s="6" t="s">
        <v>140</v>
      </c>
      <c r="E1030" s="6" t="s">
        <v>91</v>
      </c>
      <c r="F1030" s="6" t="s">
        <v>141</v>
      </c>
      <c r="G1030" s="6" t="n">
        <v>1</v>
      </c>
      <c r="H1030" s="6" t="s">
        <v>81</v>
      </c>
      <c r="I1030" s="6" t="s">
        <v>81</v>
      </c>
      <c r="J1030" s="6" t="s">
        <v>60</v>
      </c>
      <c r="K1030" s="6" t="n">
        <v>75836</v>
      </c>
      <c r="L1030" s="6" t="n">
        <v>89492</v>
      </c>
      <c r="M1030" s="6" t="s">
        <v>146</v>
      </c>
      <c r="N1030" s="6" t="n">
        <v>37</v>
      </c>
      <c r="O1030" s="6" t="s">
        <v>60</v>
      </c>
      <c r="P1030" s="6" t="n">
        <v>8</v>
      </c>
      <c r="Q1030" s="6" t="n">
        <v>35.96</v>
      </c>
      <c r="R1030" s="20" t="n">
        <f aca="false">(L1030-K1030)/K1030</f>
        <v>0.18007278864919</v>
      </c>
    </row>
    <row r="1031" customFormat="false" ht="15" hidden="false" customHeight="false" outlineLevel="0" collapsed="false">
      <c r="A1031" s="6" t="s">
        <v>1193</v>
      </c>
      <c r="B1031" s="6" t="n">
        <v>24</v>
      </c>
      <c r="C1031" s="6" t="s">
        <v>139</v>
      </c>
      <c r="D1031" s="6" t="s">
        <v>135</v>
      </c>
      <c r="E1031" s="6" t="s">
        <v>91</v>
      </c>
      <c r="F1031" s="6" t="s">
        <v>141</v>
      </c>
      <c r="G1031" s="6" t="n">
        <v>1</v>
      </c>
      <c r="H1031" s="6" t="s">
        <v>81</v>
      </c>
      <c r="I1031" s="6" t="s">
        <v>81</v>
      </c>
      <c r="J1031" s="6" t="s">
        <v>58</v>
      </c>
      <c r="K1031" s="6" t="n">
        <v>106407</v>
      </c>
      <c r="L1031" s="6" t="n">
        <v>123064</v>
      </c>
      <c r="M1031" s="6" t="s">
        <v>146</v>
      </c>
      <c r="N1031" s="6" t="n">
        <v>51</v>
      </c>
      <c r="O1031" s="6" t="s">
        <v>58</v>
      </c>
      <c r="P1031" s="6" t="n">
        <v>5</v>
      </c>
      <c r="Q1031" s="6" t="n">
        <v>1.53</v>
      </c>
      <c r="R1031" s="20" t="n">
        <f aca="false">(L1031-K1031)/K1031</f>
        <v>0.156540453165675</v>
      </c>
    </row>
    <row r="1032" customFormat="false" ht="15" hidden="false" customHeight="false" outlineLevel="0" collapsed="false">
      <c r="A1032" s="6" t="s">
        <v>1194</v>
      </c>
      <c r="B1032" s="6" t="n">
        <v>24</v>
      </c>
      <c r="C1032" s="6" t="s">
        <v>134</v>
      </c>
      <c r="D1032" s="6" t="s">
        <v>144</v>
      </c>
      <c r="E1032" s="6" t="s">
        <v>92</v>
      </c>
      <c r="F1032" s="6" t="s">
        <v>136</v>
      </c>
      <c r="G1032" s="6" t="n">
        <v>1</v>
      </c>
      <c r="H1032" s="6" t="s">
        <v>80</v>
      </c>
      <c r="I1032" s="6" t="s">
        <v>82</v>
      </c>
      <c r="J1032" s="6" t="s">
        <v>58</v>
      </c>
      <c r="K1032" s="6" t="n">
        <v>100246</v>
      </c>
      <c r="L1032" s="6" t="n">
        <v>99841</v>
      </c>
      <c r="M1032" s="6" t="s">
        <v>142</v>
      </c>
      <c r="N1032" s="6" t="n">
        <v>37</v>
      </c>
      <c r="O1032" s="6" t="s">
        <v>58</v>
      </c>
      <c r="P1032" s="6" t="n">
        <v>5</v>
      </c>
      <c r="Q1032" s="6" t="n">
        <v>37.73</v>
      </c>
      <c r="R1032" s="20" t="n">
        <f aca="false">(L1032-K1032)/K1032</f>
        <v>-0.00404006144883586</v>
      </c>
    </row>
    <row r="1033" customFormat="false" ht="15" hidden="false" customHeight="false" outlineLevel="0" collapsed="false">
      <c r="A1033" s="6" t="s">
        <v>1195</v>
      </c>
      <c r="B1033" s="6" t="n">
        <v>51</v>
      </c>
      <c r="C1033" s="6" t="s">
        <v>159</v>
      </c>
      <c r="D1033" s="6" t="s">
        <v>144</v>
      </c>
      <c r="E1033" s="6" t="s">
        <v>90</v>
      </c>
      <c r="F1033" s="6" t="s">
        <v>145</v>
      </c>
      <c r="G1033" s="6" t="n">
        <v>26</v>
      </c>
      <c r="H1033" s="6" t="s">
        <v>80</v>
      </c>
      <c r="I1033" s="6" t="s">
        <v>81</v>
      </c>
      <c r="J1033" s="6" t="s">
        <v>60</v>
      </c>
      <c r="K1033" s="6" t="n">
        <v>50608</v>
      </c>
      <c r="L1033" s="6" t="n">
        <v>53189</v>
      </c>
      <c r="M1033" s="6" t="s">
        <v>146</v>
      </c>
      <c r="N1033" s="6" t="n">
        <v>52</v>
      </c>
      <c r="O1033" s="6" t="s">
        <v>60</v>
      </c>
      <c r="P1033" s="6" t="n">
        <v>6</v>
      </c>
      <c r="Q1033" s="6" t="n">
        <v>16.87</v>
      </c>
      <c r="R1033" s="20" t="n">
        <f aca="false">(L1033-K1033)/K1033</f>
        <v>0.0509998419222257</v>
      </c>
    </row>
    <row r="1034" customFormat="false" ht="15" hidden="false" customHeight="false" outlineLevel="0" collapsed="false">
      <c r="A1034" s="6" t="s">
        <v>1196</v>
      </c>
      <c r="B1034" s="6" t="n">
        <v>34</v>
      </c>
      <c r="C1034" s="6" t="s">
        <v>139</v>
      </c>
      <c r="D1034" s="6" t="s">
        <v>148</v>
      </c>
      <c r="E1034" s="6" t="s">
        <v>90</v>
      </c>
      <c r="F1034" s="6" t="s">
        <v>202</v>
      </c>
      <c r="G1034" s="6" t="n">
        <v>12</v>
      </c>
      <c r="H1034" s="6" t="s">
        <v>82</v>
      </c>
      <c r="I1034" s="6" t="s">
        <v>82</v>
      </c>
      <c r="J1034" s="6" t="s">
        <v>58</v>
      </c>
      <c r="K1034" s="6" t="n">
        <v>84401</v>
      </c>
      <c r="L1034" s="6" t="n">
        <v>68770</v>
      </c>
      <c r="M1034" s="6" t="s">
        <v>146</v>
      </c>
      <c r="N1034" s="6" t="n">
        <v>37</v>
      </c>
      <c r="O1034" s="6" t="s">
        <v>60</v>
      </c>
      <c r="P1034" s="6" t="n">
        <v>8</v>
      </c>
      <c r="Q1034" s="6" t="n">
        <v>4.41</v>
      </c>
      <c r="R1034" s="20" t="n">
        <f aca="false">(L1034-K1034)/K1034</f>
        <v>-0.185199227497305</v>
      </c>
    </row>
    <row r="1035" customFormat="false" ht="15" hidden="false" customHeight="false" outlineLevel="0" collapsed="false">
      <c r="A1035" s="6" t="s">
        <v>1197</v>
      </c>
      <c r="B1035" s="6" t="n">
        <v>57</v>
      </c>
      <c r="C1035" s="6" t="s">
        <v>134</v>
      </c>
      <c r="D1035" s="6" t="s">
        <v>144</v>
      </c>
      <c r="E1035" s="6" t="s">
        <v>92</v>
      </c>
      <c r="F1035" s="6" t="s">
        <v>192</v>
      </c>
      <c r="G1035" s="6" t="n">
        <v>33</v>
      </c>
      <c r="H1035" s="6" t="s">
        <v>80</v>
      </c>
      <c r="I1035" s="6" t="s">
        <v>81</v>
      </c>
      <c r="J1035" s="6" t="s">
        <v>58</v>
      </c>
      <c r="K1035" s="6" t="n">
        <v>39718</v>
      </c>
      <c r="L1035" s="6" t="n">
        <v>42501</v>
      </c>
      <c r="M1035" s="6" t="s">
        <v>146</v>
      </c>
      <c r="N1035" s="6" t="n">
        <v>50</v>
      </c>
      <c r="O1035" s="6" t="s">
        <v>60</v>
      </c>
      <c r="P1035" s="6" t="n">
        <v>8</v>
      </c>
      <c r="Q1035" s="6" t="n">
        <v>30.74</v>
      </c>
      <c r="R1035" s="20" t="n">
        <f aca="false">(L1035-K1035)/K1035</f>
        <v>0.0700689863537942</v>
      </c>
    </row>
    <row r="1036" customFormat="false" ht="15" hidden="false" customHeight="false" outlineLevel="0" collapsed="false">
      <c r="A1036" s="6" t="s">
        <v>1198</v>
      </c>
      <c r="B1036" s="6" t="n">
        <v>36</v>
      </c>
      <c r="C1036" s="6" t="s">
        <v>159</v>
      </c>
      <c r="D1036" s="6" t="s">
        <v>144</v>
      </c>
      <c r="E1036" s="6" t="s">
        <v>90</v>
      </c>
      <c r="F1036" s="6" t="s">
        <v>202</v>
      </c>
      <c r="G1036" s="6" t="n">
        <v>11</v>
      </c>
      <c r="H1036" s="6" t="s">
        <v>81</v>
      </c>
      <c r="I1036" s="6" t="s">
        <v>81</v>
      </c>
      <c r="J1036" s="6" t="s">
        <v>60</v>
      </c>
      <c r="K1036" s="6" t="n">
        <v>75406</v>
      </c>
      <c r="L1036" s="6" t="n">
        <v>73166</v>
      </c>
      <c r="M1036" s="6" t="s">
        <v>146</v>
      </c>
      <c r="N1036" s="6" t="n">
        <v>44</v>
      </c>
      <c r="O1036" s="6" t="s">
        <v>60</v>
      </c>
      <c r="P1036" s="6" t="n">
        <v>3</v>
      </c>
      <c r="Q1036" s="6" t="n">
        <v>-18.82</v>
      </c>
      <c r="R1036" s="20" t="n">
        <f aca="false">(L1036-K1036)/K1036</f>
        <v>-0.0297058589502162</v>
      </c>
    </row>
    <row r="1037" customFormat="false" ht="15" hidden="false" customHeight="false" outlineLevel="0" collapsed="false">
      <c r="A1037" s="6" t="s">
        <v>1199</v>
      </c>
      <c r="B1037" s="6" t="n">
        <v>53</v>
      </c>
      <c r="C1037" s="6" t="s">
        <v>139</v>
      </c>
      <c r="D1037" s="6" t="s">
        <v>148</v>
      </c>
      <c r="E1037" s="6" t="s">
        <v>91</v>
      </c>
      <c r="F1037" s="6" t="s">
        <v>141</v>
      </c>
      <c r="G1037" s="6" t="n">
        <v>29</v>
      </c>
      <c r="H1037" s="6" t="s">
        <v>80</v>
      </c>
      <c r="I1037" s="6" t="s">
        <v>80</v>
      </c>
      <c r="J1037" s="6" t="s">
        <v>60</v>
      </c>
      <c r="K1037" s="6" t="n">
        <v>55345</v>
      </c>
      <c r="L1037" s="6" t="n">
        <v>54809</v>
      </c>
      <c r="M1037" s="6" t="s">
        <v>142</v>
      </c>
      <c r="N1037" s="6" t="n">
        <v>53</v>
      </c>
      <c r="O1037" s="6" t="s">
        <v>60</v>
      </c>
      <c r="P1037" s="6" t="n">
        <v>4</v>
      </c>
      <c r="Q1037" s="6" t="n">
        <v>39.88</v>
      </c>
      <c r="R1037" s="20" t="n">
        <f aca="false">(L1037-K1037)/K1037</f>
        <v>-0.00968470503207155</v>
      </c>
    </row>
    <row r="1038" customFormat="false" ht="15" hidden="false" customHeight="false" outlineLevel="0" collapsed="false">
      <c r="A1038" s="6" t="s">
        <v>1200</v>
      </c>
      <c r="B1038" s="6" t="n">
        <v>50</v>
      </c>
      <c r="C1038" s="6" t="s">
        <v>159</v>
      </c>
      <c r="D1038" s="6" t="s">
        <v>140</v>
      </c>
      <c r="E1038" s="6" t="s">
        <v>90</v>
      </c>
      <c r="F1038" s="6" t="s">
        <v>202</v>
      </c>
      <c r="G1038" s="6" t="n">
        <v>26</v>
      </c>
      <c r="H1038" s="6" t="s">
        <v>82</v>
      </c>
      <c r="I1038" s="6" t="s">
        <v>81</v>
      </c>
      <c r="J1038" s="6" t="s">
        <v>60</v>
      </c>
      <c r="K1038" s="6" t="n">
        <v>88701</v>
      </c>
      <c r="L1038" s="6" t="n">
        <v>110451</v>
      </c>
      <c r="M1038" s="6" t="s">
        <v>146</v>
      </c>
      <c r="N1038" s="6" t="n">
        <v>37</v>
      </c>
      <c r="O1038" s="6" t="s">
        <v>58</v>
      </c>
      <c r="P1038" s="6" t="n">
        <v>8</v>
      </c>
      <c r="Q1038" s="6" t="n">
        <v>-18.11</v>
      </c>
      <c r="R1038" s="20" t="n">
        <f aca="false">(L1038-K1038)/K1038</f>
        <v>0.245205803767714</v>
      </c>
    </row>
    <row r="1039" customFormat="false" ht="15" hidden="false" customHeight="false" outlineLevel="0" collapsed="false">
      <c r="A1039" s="6" t="s">
        <v>1201</v>
      </c>
      <c r="B1039" s="6" t="n">
        <v>47</v>
      </c>
      <c r="C1039" s="6" t="s">
        <v>159</v>
      </c>
      <c r="D1039" s="6" t="s">
        <v>135</v>
      </c>
      <c r="E1039" s="6" t="s">
        <v>92</v>
      </c>
      <c r="F1039" s="6" t="s">
        <v>222</v>
      </c>
      <c r="G1039" s="6" t="n">
        <v>24</v>
      </c>
      <c r="H1039" s="6" t="s">
        <v>80</v>
      </c>
      <c r="I1039" s="6" t="s">
        <v>80</v>
      </c>
      <c r="J1039" s="6" t="s">
        <v>58</v>
      </c>
      <c r="K1039" s="6" t="n">
        <v>80568</v>
      </c>
      <c r="L1039" s="6" t="n">
        <v>84077</v>
      </c>
      <c r="M1039" s="6" t="s">
        <v>142</v>
      </c>
      <c r="N1039" s="6" t="n">
        <v>35</v>
      </c>
      <c r="O1039" s="6" t="s">
        <v>60</v>
      </c>
      <c r="P1039" s="6" t="n">
        <v>7</v>
      </c>
      <c r="Q1039" s="6" t="n">
        <v>-11.96</v>
      </c>
      <c r="R1039" s="20" t="n">
        <f aca="false">(L1039-K1039)/K1039</f>
        <v>0.04355327177043</v>
      </c>
    </row>
    <row r="1040" customFormat="false" ht="15" hidden="false" customHeight="false" outlineLevel="0" collapsed="false">
      <c r="A1040" s="6" t="s">
        <v>1202</v>
      </c>
      <c r="B1040" s="6" t="n">
        <v>48</v>
      </c>
      <c r="C1040" s="6" t="s">
        <v>134</v>
      </c>
      <c r="D1040" s="6" t="s">
        <v>148</v>
      </c>
      <c r="E1040" s="6" t="s">
        <v>92</v>
      </c>
      <c r="F1040" s="6" t="s">
        <v>136</v>
      </c>
      <c r="G1040" s="6" t="n">
        <v>25</v>
      </c>
      <c r="H1040" s="6" t="s">
        <v>82</v>
      </c>
      <c r="I1040" s="6" t="s">
        <v>81</v>
      </c>
      <c r="J1040" s="6" t="s">
        <v>58</v>
      </c>
      <c r="K1040" s="6" t="n">
        <v>116394</v>
      </c>
      <c r="L1040" s="6" t="n">
        <v>121501</v>
      </c>
      <c r="M1040" s="6" t="s">
        <v>146</v>
      </c>
      <c r="N1040" s="6" t="n">
        <v>38</v>
      </c>
      <c r="O1040" s="6" t="s">
        <v>58</v>
      </c>
      <c r="P1040" s="6" t="n">
        <v>6</v>
      </c>
      <c r="Q1040" s="6" t="n">
        <v>26.31</v>
      </c>
      <c r="R1040" s="20" t="n">
        <f aca="false">(L1040-K1040)/K1040</f>
        <v>0.0438768321391137</v>
      </c>
    </row>
    <row r="1041" customFormat="false" ht="15" hidden="false" customHeight="false" outlineLevel="0" collapsed="false">
      <c r="A1041" s="6" t="s">
        <v>1203</v>
      </c>
      <c r="B1041" s="6" t="n">
        <v>38</v>
      </c>
      <c r="C1041" s="6" t="s">
        <v>134</v>
      </c>
      <c r="D1041" s="6" t="s">
        <v>135</v>
      </c>
      <c r="E1041" s="6" t="s">
        <v>87</v>
      </c>
      <c r="F1041" s="6" t="s">
        <v>160</v>
      </c>
      <c r="G1041" s="6" t="n">
        <v>14</v>
      </c>
      <c r="H1041" s="6" t="s">
        <v>80</v>
      </c>
      <c r="I1041" s="6" t="s">
        <v>80</v>
      </c>
      <c r="J1041" s="6" t="s">
        <v>60</v>
      </c>
      <c r="K1041" s="6" t="n">
        <v>92119</v>
      </c>
      <c r="L1041" s="6" t="n">
        <v>92231</v>
      </c>
      <c r="M1041" s="6" t="s">
        <v>142</v>
      </c>
      <c r="N1041" s="6" t="n">
        <v>41</v>
      </c>
      <c r="O1041" s="6" t="s">
        <v>58</v>
      </c>
      <c r="P1041" s="6" t="n">
        <v>6</v>
      </c>
      <c r="Q1041" s="6" t="n">
        <v>-7.06</v>
      </c>
      <c r="R1041" s="20" t="n">
        <f aca="false">(L1041-K1041)/K1041</f>
        <v>0.00121581866932989</v>
      </c>
    </row>
    <row r="1042" customFormat="false" ht="15" hidden="false" customHeight="false" outlineLevel="0" collapsed="false">
      <c r="A1042" s="6" t="s">
        <v>1204</v>
      </c>
      <c r="B1042" s="6" t="n">
        <v>23</v>
      </c>
      <c r="C1042" s="6" t="s">
        <v>159</v>
      </c>
      <c r="D1042" s="6" t="s">
        <v>140</v>
      </c>
      <c r="E1042" s="6" t="s">
        <v>91</v>
      </c>
      <c r="F1042" s="6" t="s">
        <v>206</v>
      </c>
      <c r="G1042" s="6" t="n">
        <v>0</v>
      </c>
      <c r="H1042" s="6" t="s">
        <v>80</v>
      </c>
      <c r="I1042" s="6" t="s">
        <v>82</v>
      </c>
      <c r="J1042" s="6" t="s">
        <v>58</v>
      </c>
      <c r="K1042" s="6" t="n">
        <v>113028</v>
      </c>
      <c r="L1042" s="6" t="n">
        <v>123521</v>
      </c>
      <c r="M1042" s="6" t="s">
        <v>142</v>
      </c>
      <c r="N1042" s="6" t="n">
        <v>51</v>
      </c>
      <c r="O1042" s="6" t="s">
        <v>60</v>
      </c>
      <c r="P1042" s="6" t="n">
        <v>4</v>
      </c>
      <c r="Q1042" s="6" t="n">
        <v>-17.01</v>
      </c>
      <c r="R1042" s="20" t="n">
        <f aca="false">(L1042-K1042)/K1042</f>
        <v>0.0928354036168029</v>
      </c>
    </row>
    <row r="1043" customFormat="false" ht="15" hidden="false" customHeight="false" outlineLevel="0" collapsed="false">
      <c r="A1043" s="6" t="s">
        <v>1205</v>
      </c>
      <c r="B1043" s="6" t="n">
        <v>45</v>
      </c>
      <c r="C1043" s="6" t="s">
        <v>139</v>
      </c>
      <c r="D1043" s="6" t="s">
        <v>135</v>
      </c>
      <c r="E1043" s="6" t="s">
        <v>92</v>
      </c>
      <c r="F1043" s="6" t="s">
        <v>222</v>
      </c>
      <c r="G1043" s="6" t="n">
        <v>23</v>
      </c>
      <c r="H1043" s="6" t="s">
        <v>82</v>
      </c>
      <c r="I1043" s="6" t="s">
        <v>82</v>
      </c>
      <c r="J1043" s="6" t="s">
        <v>58</v>
      </c>
      <c r="K1043" s="6" t="n">
        <v>85718</v>
      </c>
      <c r="L1043" s="6" t="n">
        <v>101754</v>
      </c>
      <c r="M1043" s="6" t="s">
        <v>137</v>
      </c>
      <c r="N1043" s="6" t="n">
        <v>45</v>
      </c>
      <c r="O1043" s="6" t="s">
        <v>60</v>
      </c>
      <c r="P1043" s="6" t="n">
        <v>9</v>
      </c>
      <c r="Q1043" s="6" t="n">
        <v>-18.98</v>
      </c>
      <c r="R1043" s="20" t="n">
        <f aca="false">(L1043-K1043)/K1043</f>
        <v>0.18707855992907</v>
      </c>
    </row>
    <row r="1044" customFormat="false" ht="15" hidden="false" customHeight="false" outlineLevel="0" collapsed="false">
      <c r="A1044" s="6" t="s">
        <v>1206</v>
      </c>
      <c r="B1044" s="6" t="n">
        <v>23</v>
      </c>
      <c r="C1044" s="6" t="s">
        <v>134</v>
      </c>
      <c r="D1044" s="6" t="s">
        <v>140</v>
      </c>
      <c r="E1044" s="6" t="s">
        <v>93</v>
      </c>
      <c r="F1044" s="6" t="s">
        <v>164</v>
      </c>
      <c r="G1044" s="6" t="n">
        <v>1</v>
      </c>
      <c r="H1044" s="6" t="s">
        <v>81</v>
      </c>
      <c r="I1044" s="6" t="s">
        <v>82</v>
      </c>
      <c r="J1044" s="6" t="s">
        <v>58</v>
      </c>
      <c r="K1044" s="6" t="n">
        <v>98322</v>
      </c>
      <c r="L1044" s="6" t="n">
        <v>89950</v>
      </c>
      <c r="M1044" s="6" t="s">
        <v>142</v>
      </c>
      <c r="N1044" s="6" t="n">
        <v>39</v>
      </c>
      <c r="O1044" s="6" t="s">
        <v>58</v>
      </c>
      <c r="P1044" s="6" t="n">
        <v>6</v>
      </c>
      <c r="Q1044" s="6" t="n">
        <v>15.96</v>
      </c>
      <c r="R1044" s="20" t="n">
        <f aca="false">(L1044-K1044)/K1044</f>
        <v>-0.0851487968104799</v>
      </c>
    </row>
    <row r="1045" customFormat="false" ht="15" hidden="false" customHeight="false" outlineLevel="0" collapsed="false">
      <c r="A1045" s="6" t="s">
        <v>1207</v>
      </c>
      <c r="B1045" s="6" t="n">
        <v>42</v>
      </c>
      <c r="C1045" s="6" t="s">
        <v>139</v>
      </c>
      <c r="D1045" s="6" t="s">
        <v>140</v>
      </c>
      <c r="E1045" s="6" t="s">
        <v>92</v>
      </c>
      <c r="F1045" s="6" t="s">
        <v>136</v>
      </c>
      <c r="G1045" s="6" t="n">
        <v>16</v>
      </c>
      <c r="H1045" s="6" t="s">
        <v>81</v>
      </c>
      <c r="I1045" s="6" t="s">
        <v>81</v>
      </c>
      <c r="J1045" s="6" t="s">
        <v>60</v>
      </c>
      <c r="K1045" s="6" t="n">
        <v>53806</v>
      </c>
      <c r="L1045" s="6" t="n">
        <v>61631</v>
      </c>
      <c r="M1045" s="6" t="s">
        <v>146</v>
      </c>
      <c r="N1045" s="6" t="n">
        <v>36</v>
      </c>
      <c r="O1045" s="6" t="s">
        <v>58</v>
      </c>
      <c r="P1045" s="6" t="n">
        <v>3</v>
      </c>
      <c r="Q1045" s="6" t="n">
        <v>20.04</v>
      </c>
      <c r="R1045" s="20" t="n">
        <f aca="false">(L1045-K1045)/K1045</f>
        <v>0.145429877708806</v>
      </c>
    </row>
    <row r="1046" customFormat="false" ht="15" hidden="false" customHeight="false" outlineLevel="0" collapsed="false">
      <c r="A1046" s="6" t="s">
        <v>1208</v>
      </c>
      <c r="B1046" s="6" t="n">
        <v>53</v>
      </c>
      <c r="C1046" s="6" t="s">
        <v>159</v>
      </c>
      <c r="D1046" s="6" t="s">
        <v>148</v>
      </c>
      <c r="E1046" s="6" t="s">
        <v>88</v>
      </c>
      <c r="F1046" s="6" t="s">
        <v>157</v>
      </c>
      <c r="G1046" s="6" t="n">
        <v>30</v>
      </c>
      <c r="H1046" s="6" t="s">
        <v>80</v>
      </c>
      <c r="I1046" s="6" t="s">
        <v>81</v>
      </c>
      <c r="J1046" s="6" t="s">
        <v>60</v>
      </c>
      <c r="K1046" s="6" t="n">
        <v>30453</v>
      </c>
      <c r="L1046" s="6" t="n">
        <v>30407</v>
      </c>
      <c r="M1046" s="6" t="s">
        <v>146</v>
      </c>
      <c r="N1046" s="6" t="n">
        <v>35</v>
      </c>
      <c r="O1046" s="6" t="s">
        <v>60</v>
      </c>
      <c r="P1046" s="6" t="n">
        <v>5</v>
      </c>
      <c r="Q1046" s="6" t="n">
        <v>29.15</v>
      </c>
      <c r="R1046" s="20" t="n">
        <f aca="false">(L1046-K1046)/K1046</f>
        <v>-0.00151052441467179</v>
      </c>
    </row>
    <row r="1047" customFormat="false" ht="15" hidden="false" customHeight="false" outlineLevel="0" collapsed="false">
      <c r="A1047" s="6" t="s">
        <v>1209</v>
      </c>
      <c r="B1047" s="6" t="n">
        <v>26</v>
      </c>
      <c r="C1047" s="6" t="s">
        <v>139</v>
      </c>
      <c r="D1047" s="6" t="s">
        <v>148</v>
      </c>
      <c r="E1047" s="6" t="s">
        <v>91</v>
      </c>
      <c r="F1047" s="6" t="s">
        <v>206</v>
      </c>
      <c r="G1047" s="6" t="n">
        <v>0</v>
      </c>
      <c r="H1047" s="6" t="s">
        <v>81</v>
      </c>
      <c r="I1047" s="6" t="s">
        <v>80</v>
      </c>
      <c r="J1047" s="6" t="s">
        <v>58</v>
      </c>
      <c r="K1047" s="6" t="n">
        <v>107707</v>
      </c>
      <c r="L1047" s="6" t="n">
        <v>116574</v>
      </c>
      <c r="M1047" s="6" t="s">
        <v>142</v>
      </c>
      <c r="N1047" s="6" t="n">
        <v>37</v>
      </c>
      <c r="O1047" s="6" t="s">
        <v>58</v>
      </c>
      <c r="P1047" s="6" t="n">
        <v>6</v>
      </c>
      <c r="Q1047" s="6" t="n">
        <v>-14.97</v>
      </c>
      <c r="R1047" s="20" t="n">
        <f aca="false">(L1047-K1047)/K1047</f>
        <v>0.0823251970624008</v>
      </c>
    </row>
    <row r="1048" customFormat="false" ht="15" hidden="false" customHeight="false" outlineLevel="0" collapsed="false">
      <c r="A1048" s="6" t="s">
        <v>1210</v>
      </c>
      <c r="B1048" s="6" t="n">
        <v>51</v>
      </c>
      <c r="C1048" s="6" t="s">
        <v>134</v>
      </c>
      <c r="D1048" s="6" t="s">
        <v>135</v>
      </c>
      <c r="E1048" s="6" t="s">
        <v>87</v>
      </c>
      <c r="F1048" s="6" t="s">
        <v>160</v>
      </c>
      <c r="G1048" s="6" t="n">
        <v>25</v>
      </c>
      <c r="H1048" s="6" t="s">
        <v>82</v>
      </c>
      <c r="I1048" s="6" t="s">
        <v>81</v>
      </c>
      <c r="J1048" s="6" t="s">
        <v>58</v>
      </c>
      <c r="K1048" s="6" t="n">
        <v>32017</v>
      </c>
      <c r="L1048" s="6" t="n">
        <v>37655</v>
      </c>
      <c r="M1048" s="6" t="s">
        <v>146</v>
      </c>
      <c r="N1048" s="6" t="n">
        <v>49</v>
      </c>
      <c r="O1048" s="6" t="s">
        <v>60</v>
      </c>
      <c r="P1048" s="6" t="n">
        <v>8</v>
      </c>
      <c r="Q1048" s="6" t="n">
        <v>-4.81</v>
      </c>
      <c r="R1048" s="20" t="n">
        <f aca="false">(L1048-K1048)/K1048</f>
        <v>0.176093950089015</v>
      </c>
    </row>
    <row r="1049" customFormat="false" ht="15" hidden="false" customHeight="false" outlineLevel="0" collapsed="false">
      <c r="A1049" s="6" t="s">
        <v>1211</v>
      </c>
      <c r="B1049" s="6" t="n">
        <v>24</v>
      </c>
      <c r="C1049" s="6" t="s">
        <v>159</v>
      </c>
      <c r="D1049" s="6" t="s">
        <v>135</v>
      </c>
      <c r="E1049" s="6" t="s">
        <v>87</v>
      </c>
      <c r="F1049" s="6" t="s">
        <v>160</v>
      </c>
      <c r="G1049" s="6" t="n">
        <v>0</v>
      </c>
      <c r="H1049" s="6" t="s">
        <v>81</v>
      </c>
      <c r="I1049" s="6" t="s">
        <v>81</v>
      </c>
      <c r="J1049" s="6" t="s">
        <v>58</v>
      </c>
      <c r="K1049" s="6" t="n">
        <v>49252</v>
      </c>
      <c r="L1049" s="6" t="n">
        <v>58133</v>
      </c>
      <c r="M1049" s="6" t="s">
        <v>146</v>
      </c>
      <c r="N1049" s="6" t="n">
        <v>42</v>
      </c>
      <c r="O1049" s="6" t="s">
        <v>60</v>
      </c>
      <c r="P1049" s="6" t="n">
        <v>8</v>
      </c>
      <c r="Q1049" s="6" t="n">
        <v>-7.61</v>
      </c>
      <c r="R1049" s="20" t="n">
        <f aca="false">(L1049-K1049)/K1049</f>
        <v>0.180317550556323</v>
      </c>
    </row>
    <row r="1050" customFormat="false" ht="15" hidden="false" customHeight="false" outlineLevel="0" collapsed="false">
      <c r="A1050" s="6" t="s">
        <v>1212</v>
      </c>
      <c r="B1050" s="6" t="n">
        <v>54</v>
      </c>
      <c r="C1050" s="6" t="s">
        <v>134</v>
      </c>
      <c r="D1050" s="6" t="s">
        <v>140</v>
      </c>
      <c r="E1050" s="6" t="s">
        <v>87</v>
      </c>
      <c r="F1050" s="6" t="s">
        <v>149</v>
      </c>
      <c r="G1050" s="6" t="n">
        <v>31</v>
      </c>
      <c r="H1050" s="6" t="s">
        <v>80</v>
      </c>
      <c r="I1050" s="6" t="s">
        <v>80</v>
      </c>
      <c r="J1050" s="6" t="s">
        <v>60</v>
      </c>
      <c r="K1050" s="6" t="n">
        <v>95747</v>
      </c>
      <c r="L1050" s="6" t="n">
        <v>98804</v>
      </c>
      <c r="M1050" s="6" t="s">
        <v>142</v>
      </c>
      <c r="N1050" s="6" t="n">
        <v>46</v>
      </c>
      <c r="O1050" s="6" t="s">
        <v>58</v>
      </c>
      <c r="P1050" s="6" t="n">
        <v>7</v>
      </c>
      <c r="Q1050" s="6" t="n">
        <v>-14.63</v>
      </c>
      <c r="R1050" s="20" t="n">
        <f aca="false">(L1050-K1050)/K1050</f>
        <v>0.03192789330214</v>
      </c>
    </row>
    <row r="1051" customFormat="false" ht="15" hidden="false" customHeight="false" outlineLevel="0" collapsed="false">
      <c r="A1051" s="6" t="s">
        <v>1213</v>
      </c>
      <c r="B1051" s="6" t="n">
        <v>46</v>
      </c>
      <c r="C1051" s="6" t="s">
        <v>139</v>
      </c>
      <c r="D1051" s="6" t="s">
        <v>140</v>
      </c>
      <c r="E1051" s="6" t="s">
        <v>90</v>
      </c>
      <c r="F1051" s="6" t="s">
        <v>202</v>
      </c>
      <c r="G1051" s="6" t="n">
        <v>21</v>
      </c>
      <c r="H1051" s="6" t="s">
        <v>82</v>
      </c>
      <c r="I1051" s="6" t="s">
        <v>81</v>
      </c>
      <c r="J1051" s="6" t="s">
        <v>58</v>
      </c>
      <c r="K1051" s="6" t="n">
        <v>118534</v>
      </c>
      <c r="L1051" s="6" t="n">
        <v>102022</v>
      </c>
      <c r="M1051" s="6" t="s">
        <v>146</v>
      </c>
      <c r="N1051" s="6" t="n">
        <v>52</v>
      </c>
      <c r="O1051" s="6" t="s">
        <v>60</v>
      </c>
      <c r="P1051" s="6" t="n">
        <v>9</v>
      </c>
      <c r="Q1051" s="6" t="n">
        <v>17.39</v>
      </c>
      <c r="R1051" s="20" t="n">
        <f aca="false">(L1051-K1051)/K1051</f>
        <v>-0.139301803701891</v>
      </c>
    </row>
    <row r="1052" customFormat="false" ht="15" hidden="false" customHeight="false" outlineLevel="0" collapsed="false">
      <c r="A1052" s="6" t="s">
        <v>1214</v>
      </c>
      <c r="B1052" s="6" t="n">
        <v>57</v>
      </c>
      <c r="C1052" s="6" t="s">
        <v>139</v>
      </c>
      <c r="D1052" s="6" t="s">
        <v>144</v>
      </c>
      <c r="E1052" s="6" t="s">
        <v>90</v>
      </c>
      <c r="F1052" s="6" t="s">
        <v>145</v>
      </c>
      <c r="G1052" s="6" t="n">
        <v>35</v>
      </c>
      <c r="H1052" s="6" t="s">
        <v>81</v>
      </c>
      <c r="I1052" s="6" t="s">
        <v>82</v>
      </c>
      <c r="J1052" s="6" t="s">
        <v>60</v>
      </c>
      <c r="K1052" s="6" t="n">
        <v>77934</v>
      </c>
      <c r="L1052" s="6" t="n">
        <v>76550</v>
      </c>
      <c r="M1052" s="6" t="s">
        <v>142</v>
      </c>
      <c r="N1052" s="6" t="n">
        <v>44</v>
      </c>
      <c r="O1052" s="6" t="s">
        <v>60</v>
      </c>
      <c r="P1052" s="6" t="n">
        <v>4</v>
      </c>
      <c r="Q1052" s="6" t="n">
        <v>-0.8</v>
      </c>
      <c r="R1052" s="20" t="n">
        <f aca="false">(L1052-K1052)/K1052</f>
        <v>-0.0177586162650448</v>
      </c>
    </row>
    <row r="1053" customFormat="false" ht="15" hidden="false" customHeight="false" outlineLevel="0" collapsed="false">
      <c r="A1053" s="6" t="s">
        <v>1215</v>
      </c>
      <c r="B1053" s="6" t="n">
        <v>39</v>
      </c>
      <c r="C1053" s="6" t="s">
        <v>139</v>
      </c>
      <c r="D1053" s="6" t="s">
        <v>148</v>
      </c>
      <c r="E1053" s="6" t="s">
        <v>90</v>
      </c>
      <c r="F1053" s="6" t="s">
        <v>202</v>
      </c>
      <c r="G1053" s="6" t="n">
        <v>14</v>
      </c>
      <c r="H1053" s="6" t="s">
        <v>82</v>
      </c>
      <c r="I1053" s="6" t="s">
        <v>81</v>
      </c>
      <c r="J1053" s="6" t="s">
        <v>60</v>
      </c>
      <c r="K1053" s="6" t="n">
        <v>65929</v>
      </c>
      <c r="L1053" s="6" t="n">
        <v>54503</v>
      </c>
      <c r="M1053" s="6" t="s">
        <v>146</v>
      </c>
      <c r="N1053" s="6" t="n">
        <v>37</v>
      </c>
      <c r="O1053" s="6" t="s">
        <v>60</v>
      </c>
      <c r="P1053" s="6" t="n">
        <v>4</v>
      </c>
      <c r="Q1053" s="6" t="n">
        <v>-2.65</v>
      </c>
      <c r="R1053" s="20" t="n">
        <f aca="false">(L1053-K1053)/K1053</f>
        <v>-0.173307649137709</v>
      </c>
    </row>
    <row r="1054" customFormat="false" ht="15" hidden="false" customHeight="false" outlineLevel="0" collapsed="false">
      <c r="A1054" s="6" t="s">
        <v>1216</v>
      </c>
      <c r="B1054" s="6" t="n">
        <v>39</v>
      </c>
      <c r="C1054" s="6" t="s">
        <v>134</v>
      </c>
      <c r="D1054" s="6" t="s">
        <v>135</v>
      </c>
      <c r="E1054" s="6" t="s">
        <v>91</v>
      </c>
      <c r="F1054" s="6" t="s">
        <v>141</v>
      </c>
      <c r="G1054" s="6" t="n">
        <v>13</v>
      </c>
      <c r="H1054" s="6" t="s">
        <v>82</v>
      </c>
      <c r="I1054" s="6" t="s">
        <v>82</v>
      </c>
      <c r="J1054" s="6" t="s">
        <v>58</v>
      </c>
      <c r="K1054" s="6" t="n">
        <v>107462</v>
      </c>
      <c r="L1054" s="6" t="n">
        <v>140979</v>
      </c>
      <c r="M1054" s="6" t="s">
        <v>146</v>
      </c>
      <c r="N1054" s="6" t="n">
        <v>35</v>
      </c>
      <c r="O1054" s="6" t="s">
        <v>58</v>
      </c>
      <c r="P1054" s="6" t="n">
        <v>3</v>
      </c>
      <c r="Q1054" s="6" t="n">
        <v>14.88</v>
      </c>
      <c r="R1054" s="20" t="n">
        <f aca="false">(L1054-K1054)/K1054</f>
        <v>0.31189629822635</v>
      </c>
    </row>
    <row r="1055" customFormat="false" ht="15" hidden="false" customHeight="false" outlineLevel="0" collapsed="false">
      <c r="A1055" s="6" t="s">
        <v>1217</v>
      </c>
      <c r="B1055" s="6" t="n">
        <v>42</v>
      </c>
      <c r="C1055" s="6" t="s">
        <v>159</v>
      </c>
      <c r="D1055" s="6" t="s">
        <v>140</v>
      </c>
      <c r="E1055" s="6" t="s">
        <v>92</v>
      </c>
      <c r="F1055" s="6" t="s">
        <v>222</v>
      </c>
      <c r="G1055" s="6" t="n">
        <v>20</v>
      </c>
      <c r="H1055" s="6" t="s">
        <v>81</v>
      </c>
      <c r="I1055" s="6" t="s">
        <v>80</v>
      </c>
      <c r="J1055" s="6" t="s">
        <v>60</v>
      </c>
      <c r="K1055" s="6" t="n">
        <v>57626</v>
      </c>
      <c r="L1055" s="6" t="n">
        <v>68291</v>
      </c>
      <c r="M1055" s="6" t="s">
        <v>142</v>
      </c>
      <c r="N1055" s="6" t="n">
        <v>54</v>
      </c>
      <c r="O1055" s="6" t="s">
        <v>60</v>
      </c>
      <c r="P1055" s="6" t="n">
        <v>8</v>
      </c>
      <c r="Q1055" s="6" t="n">
        <v>12.14</v>
      </c>
      <c r="R1055" s="20" t="n">
        <f aca="false">(L1055-K1055)/K1055</f>
        <v>0.185072710234963</v>
      </c>
    </row>
    <row r="1056" customFormat="false" ht="15" hidden="false" customHeight="false" outlineLevel="0" collapsed="false">
      <c r="A1056" s="6" t="s">
        <v>1218</v>
      </c>
      <c r="B1056" s="6" t="n">
        <v>40</v>
      </c>
      <c r="C1056" s="6" t="s">
        <v>159</v>
      </c>
      <c r="D1056" s="6" t="s">
        <v>144</v>
      </c>
      <c r="E1056" s="6" t="s">
        <v>88</v>
      </c>
      <c r="F1056" s="6" t="s">
        <v>179</v>
      </c>
      <c r="G1056" s="6" t="n">
        <v>14</v>
      </c>
      <c r="H1056" s="6" t="s">
        <v>81</v>
      </c>
      <c r="I1056" s="6" t="s">
        <v>81</v>
      </c>
      <c r="J1056" s="6" t="s">
        <v>58</v>
      </c>
      <c r="K1056" s="6" t="n">
        <v>37526</v>
      </c>
      <c r="L1056" s="6" t="n">
        <v>37611</v>
      </c>
      <c r="M1056" s="6" t="s">
        <v>146</v>
      </c>
      <c r="N1056" s="6" t="n">
        <v>48</v>
      </c>
      <c r="O1056" s="6" t="s">
        <v>58</v>
      </c>
      <c r="P1056" s="6" t="n">
        <v>3</v>
      </c>
      <c r="Q1056" s="6" t="n">
        <v>28.33</v>
      </c>
      <c r="R1056" s="20" t="n">
        <f aca="false">(L1056-K1056)/K1056</f>
        <v>0.00226509619996802</v>
      </c>
    </row>
    <row r="1057" customFormat="false" ht="15" hidden="false" customHeight="false" outlineLevel="0" collapsed="false">
      <c r="A1057" s="6" t="s">
        <v>1219</v>
      </c>
      <c r="B1057" s="6" t="n">
        <v>39</v>
      </c>
      <c r="C1057" s="6" t="s">
        <v>134</v>
      </c>
      <c r="D1057" s="6" t="s">
        <v>148</v>
      </c>
      <c r="E1057" s="6" t="s">
        <v>87</v>
      </c>
      <c r="F1057" s="6" t="s">
        <v>160</v>
      </c>
      <c r="G1057" s="6" t="n">
        <v>17</v>
      </c>
      <c r="H1057" s="6" t="s">
        <v>81</v>
      </c>
      <c r="I1057" s="6" t="s">
        <v>80</v>
      </c>
      <c r="J1057" s="6" t="s">
        <v>58</v>
      </c>
      <c r="K1057" s="6" t="n">
        <v>104656</v>
      </c>
      <c r="L1057" s="6" t="n">
        <v>123531</v>
      </c>
      <c r="M1057" s="6" t="s">
        <v>142</v>
      </c>
      <c r="N1057" s="6" t="n">
        <v>53</v>
      </c>
      <c r="O1057" s="6" t="s">
        <v>58</v>
      </c>
      <c r="P1057" s="6" t="n">
        <v>5</v>
      </c>
      <c r="Q1057" s="6" t="n">
        <v>23.56</v>
      </c>
      <c r="R1057" s="20" t="n">
        <f aca="false">(L1057-K1057)/K1057</f>
        <v>0.180352774805076</v>
      </c>
    </row>
    <row r="1058" customFormat="false" ht="15" hidden="false" customHeight="false" outlineLevel="0" collapsed="false">
      <c r="A1058" s="6" t="s">
        <v>1220</v>
      </c>
      <c r="B1058" s="6" t="n">
        <v>27</v>
      </c>
      <c r="C1058" s="6" t="s">
        <v>159</v>
      </c>
      <c r="D1058" s="6" t="s">
        <v>135</v>
      </c>
      <c r="E1058" s="6" t="s">
        <v>90</v>
      </c>
      <c r="F1058" s="6" t="s">
        <v>145</v>
      </c>
      <c r="G1058" s="6" t="n">
        <v>3</v>
      </c>
      <c r="H1058" s="6" t="s">
        <v>82</v>
      </c>
      <c r="I1058" s="6" t="s">
        <v>82</v>
      </c>
      <c r="J1058" s="6" t="s">
        <v>60</v>
      </c>
      <c r="K1058" s="6" t="n">
        <v>119719</v>
      </c>
      <c r="L1058" s="6" t="n">
        <v>130719</v>
      </c>
      <c r="M1058" s="6" t="s">
        <v>146</v>
      </c>
      <c r="N1058" s="6" t="n">
        <v>38</v>
      </c>
      <c r="O1058" s="6" t="s">
        <v>60</v>
      </c>
      <c r="P1058" s="6" t="n">
        <v>4</v>
      </c>
      <c r="Q1058" s="6" t="n">
        <v>0.04</v>
      </c>
      <c r="R1058" s="20" t="n">
        <f aca="false">(L1058-K1058)/K1058</f>
        <v>0.0918818232694894</v>
      </c>
    </row>
    <row r="1059" customFormat="false" ht="15" hidden="false" customHeight="false" outlineLevel="0" collapsed="false">
      <c r="A1059" s="6" t="s">
        <v>1221</v>
      </c>
      <c r="B1059" s="6" t="n">
        <v>31</v>
      </c>
      <c r="C1059" s="6" t="s">
        <v>159</v>
      </c>
      <c r="D1059" s="6" t="s">
        <v>140</v>
      </c>
      <c r="E1059" s="6" t="s">
        <v>89</v>
      </c>
      <c r="F1059" s="6" t="s">
        <v>153</v>
      </c>
      <c r="G1059" s="6" t="n">
        <v>5</v>
      </c>
      <c r="H1059" s="6" t="s">
        <v>81</v>
      </c>
      <c r="I1059" s="6" t="s">
        <v>80</v>
      </c>
      <c r="J1059" s="6" t="s">
        <v>60</v>
      </c>
      <c r="K1059" s="6" t="n">
        <v>45882</v>
      </c>
      <c r="L1059" s="6" t="n">
        <v>45493</v>
      </c>
      <c r="M1059" s="6" t="s">
        <v>142</v>
      </c>
      <c r="N1059" s="6" t="n">
        <v>51</v>
      </c>
      <c r="O1059" s="6" t="s">
        <v>58</v>
      </c>
      <c r="P1059" s="6" t="n">
        <v>9</v>
      </c>
      <c r="Q1059" s="6" t="n">
        <v>-9.87</v>
      </c>
      <c r="R1059" s="20" t="n">
        <f aca="false">(L1059-K1059)/K1059</f>
        <v>-0.00847827034566933</v>
      </c>
    </row>
    <row r="1060" customFormat="false" ht="15" hidden="false" customHeight="false" outlineLevel="0" collapsed="false">
      <c r="A1060" s="6" t="s">
        <v>1222</v>
      </c>
      <c r="B1060" s="6" t="n">
        <v>37</v>
      </c>
      <c r="C1060" s="6" t="s">
        <v>134</v>
      </c>
      <c r="D1060" s="6" t="s">
        <v>144</v>
      </c>
      <c r="E1060" s="6" t="s">
        <v>91</v>
      </c>
      <c r="F1060" s="6" t="s">
        <v>141</v>
      </c>
      <c r="G1060" s="6" t="n">
        <v>13</v>
      </c>
      <c r="H1060" s="6" t="s">
        <v>80</v>
      </c>
      <c r="I1060" s="6" t="s">
        <v>82</v>
      </c>
      <c r="J1060" s="6" t="s">
        <v>58</v>
      </c>
      <c r="K1060" s="6" t="n">
        <v>76073</v>
      </c>
      <c r="L1060" s="6" t="n">
        <v>75582</v>
      </c>
      <c r="M1060" s="6" t="s">
        <v>142</v>
      </c>
      <c r="N1060" s="6" t="n">
        <v>37</v>
      </c>
      <c r="O1060" s="6" t="s">
        <v>58</v>
      </c>
      <c r="P1060" s="6" t="n">
        <v>3</v>
      </c>
      <c r="Q1060" s="6" t="n">
        <v>-15.08</v>
      </c>
      <c r="R1060" s="20" t="n">
        <f aca="false">(L1060-K1060)/K1060</f>
        <v>-0.00645432676508091</v>
      </c>
    </row>
    <row r="1061" customFormat="false" ht="15" hidden="false" customHeight="false" outlineLevel="0" collapsed="false">
      <c r="A1061" s="6" t="s">
        <v>1223</v>
      </c>
      <c r="B1061" s="6" t="n">
        <v>42</v>
      </c>
      <c r="C1061" s="6" t="s">
        <v>159</v>
      </c>
      <c r="D1061" s="6" t="s">
        <v>148</v>
      </c>
      <c r="E1061" s="6" t="s">
        <v>90</v>
      </c>
      <c r="F1061" s="6" t="s">
        <v>236</v>
      </c>
      <c r="G1061" s="6" t="n">
        <v>19</v>
      </c>
      <c r="H1061" s="6" t="s">
        <v>82</v>
      </c>
      <c r="I1061" s="6" t="s">
        <v>81</v>
      </c>
      <c r="J1061" s="6" t="s">
        <v>58</v>
      </c>
      <c r="K1061" s="6" t="n">
        <v>53535</v>
      </c>
      <c r="L1061" s="6" t="n">
        <v>51122</v>
      </c>
      <c r="M1061" s="6" t="s">
        <v>146</v>
      </c>
      <c r="N1061" s="6" t="n">
        <v>54</v>
      </c>
      <c r="O1061" s="6" t="s">
        <v>60</v>
      </c>
      <c r="P1061" s="6" t="n">
        <v>3</v>
      </c>
      <c r="Q1061" s="6" t="n">
        <v>-5.39</v>
      </c>
      <c r="R1061" s="20" t="n">
        <f aca="false">(L1061-K1061)/K1061</f>
        <v>-0.0450733165219016</v>
      </c>
    </row>
    <row r="1062" customFormat="false" ht="15" hidden="false" customHeight="false" outlineLevel="0" collapsed="false">
      <c r="A1062" s="6" t="s">
        <v>1224</v>
      </c>
      <c r="B1062" s="6" t="n">
        <v>23</v>
      </c>
      <c r="C1062" s="6" t="s">
        <v>134</v>
      </c>
      <c r="D1062" s="6" t="s">
        <v>148</v>
      </c>
      <c r="E1062" s="6" t="s">
        <v>88</v>
      </c>
      <c r="F1062" s="6" t="s">
        <v>179</v>
      </c>
      <c r="G1062" s="6" t="n">
        <v>1</v>
      </c>
      <c r="H1062" s="6" t="s">
        <v>80</v>
      </c>
      <c r="I1062" s="6" t="s">
        <v>82</v>
      </c>
      <c r="J1062" s="6" t="s">
        <v>60</v>
      </c>
      <c r="K1062" s="6" t="n">
        <v>58251</v>
      </c>
      <c r="L1062" s="6" t="n">
        <v>61140</v>
      </c>
      <c r="M1062" s="6" t="s">
        <v>142</v>
      </c>
      <c r="N1062" s="6" t="n">
        <v>54</v>
      </c>
      <c r="O1062" s="6" t="s">
        <v>60</v>
      </c>
      <c r="P1062" s="6" t="n">
        <v>8</v>
      </c>
      <c r="Q1062" s="6" t="n">
        <v>-5.75</v>
      </c>
      <c r="R1062" s="20" t="n">
        <f aca="false">(L1062-K1062)/K1062</f>
        <v>0.0495957150950198</v>
      </c>
    </row>
    <row r="1063" customFormat="false" ht="15" hidden="false" customHeight="false" outlineLevel="0" collapsed="false">
      <c r="A1063" s="6" t="s">
        <v>1225</v>
      </c>
      <c r="B1063" s="6" t="n">
        <v>54</v>
      </c>
      <c r="C1063" s="6" t="s">
        <v>134</v>
      </c>
      <c r="D1063" s="6" t="s">
        <v>144</v>
      </c>
      <c r="E1063" s="6" t="s">
        <v>91</v>
      </c>
      <c r="F1063" s="6" t="s">
        <v>141</v>
      </c>
      <c r="G1063" s="6" t="n">
        <v>32</v>
      </c>
      <c r="H1063" s="6" t="s">
        <v>81</v>
      </c>
      <c r="I1063" s="6" t="s">
        <v>81</v>
      </c>
      <c r="J1063" s="6" t="s">
        <v>58</v>
      </c>
      <c r="K1063" s="6" t="n">
        <v>40702</v>
      </c>
      <c r="L1063" s="6" t="n">
        <v>42280</v>
      </c>
      <c r="M1063" s="6" t="s">
        <v>146</v>
      </c>
      <c r="N1063" s="6" t="n">
        <v>41</v>
      </c>
      <c r="O1063" s="6" t="s">
        <v>58</v>
      </c>
      <c r="P1063" s="6" t="n">
        <v>8</v>
      </c>
      <c r="Q1063" s="6" t="n">
        <v>29.1</v>
      </c>
      <c r="R1063" s="20" t="n">
        <f aca="false">(L1063-K1063)/K1063</f>
        <v>0.0387695936317626</v>
      </c>
    </row>
    <row r="1064" customFormat="false" ht="15" hidden="false" customHeight="false" outlineLevel="0" collapsed="false">
      <c r="A1064" s="6" t="s">
        <v>1226</v>
      </c>
      <c r="B1064" s="6" t="n">
        <v>52</v>
      </c>
      <c r="C1064" s="6" t="s">
        <v>159</v>
      </c>
      <c r="D1064" s="6" t="s">
        <v>148</v>
      </c>
      <c r="E1064" s="6" t="s">
        <v>90</v>
      </c>
      <c r="F1064" s="6" t="s">
        <v>202</v>
      </c>
      <c r="G1064" s="6" t="n">
        <v>28</v>
      </c>
      <c r="H1064" s="6" t="s">
        <v>81</v>
      </c>
      <c r="I1064" s="6" t="s">
        <v>81</v>
      </c>
      <c r="J1064" s="6" t="s">
        <v>58</v>
      </c>
      <c r="K1064" s="6" t="n">
        <v>114585</v>
      </c>
      <c r="L1064" s="6" t="n">
        <v>112322</v>
      </c>
      <c r="M1064" s="6" t="s">
        <v>146</v>
      </c>
      <c r="N1064" s="6" t="n">
        <v>38</v>
      </c>
      <c r="O1064" s="6" t="s">
        <v>58</v>
      </c>
      <c r="P1064" s="6" t="n">
        <v>4</v>
      </c>
      <c r="Q1064" s="6" t="n">
        <v>11.15</v>
      </c>
      <c r="R1064" s="20" t="n">
        <f aca="false">(L1064-K1064)/K1064</f>
        <v>-0.019749530915914</v>
      </c>
    </row>
    <row r="1065" customFormat="false" ht="15" hidden="false" customHeight="false" outlineLevel="0" collapsed="false">
      <c r="A1065" s="6" t="s">
        <v>1227</v>
      </c>
      <c r="B1065" s="6" t="n">
        <v>45</v>
      </c>
      <c r="C1065" s="6" t="s">
        <v>159</v>
      </c>
      <c r="D1065" s="6" t="s">
        <v>140</v>
      </c>
      <c r="E1065" s="6" t="s">
        <v>90</v>
      </c>
      <c r="F1065" s="6" t="s">
        <v>236</v>
      </c>
      <c r="G1065" s="6" t="n">
        <v>19</v>
      </c>
      <c r="H1065" s="6" t="s">
        <v>81</v>
      </c>
      <c r="I1065" s="6" t="s">
        <v>81</v>
      </c>
      <c r="J1065" s="6" t="s">
        <v>60</v>
      </c>
      <c r="K1065" s="6" t="n">
        <v>110373</v>
      </c>
      <c r="L1065" s="6" t="n">
        <v>123664</v>
      </c>
      <c r="M1065" s="6" t="s">
        <v>146</v>
      </c>
      <c r="N1065" s="6" t="n">
        <v>54</v>
      </c>
      <c r="O1065" s="6" t="s">
        <v>60</v>
      </c>
      <c r="P1065" s="6" t="n">
        <v>4</v>
      </c>
      <c r="Q1065" s="6" t="n">
        <v>-0.71</v>
      </c>
      <c r="R1065" s="20" t="n">
        <f aca="false">(L1065-K1065)/K1065</f>
        <v>0.120418943038605</v>
      </c>
    </row>
    <row r="1066" customFormat="false" ht="15" hidden="false" customHeight="false" outlineLevel="0" collapsed="false">
      <c r="A1066" s="6" t="s">
        <v>1228</v>
      </c>
      <c r="B1066" s="6" t="n">
        <v>39</v>
      </c>
      <c r="C1066" s="6" t="s">
        <v>139</v>
      </c>
      <c r="D1066" s="6" t="s">
        <v>135</v>
      </c>
      <c r="E1066" s="6" t="s">
        <v>91</v>
      </c>
      <c r="F1066" s="6" t="s">
        <v>141</v>
      </c>
      <c r="G1066" s="6" t="n">
        <v>13</v>
      </c>
      <c r="H1066" s="6" t="s">
        <v>81</v>
      </c>
      <c r="I1066" s="6" t="s">
        <v>80</v>
      </c>
      <c r="J1066" s="6" t="s">
        <v>60</v>
      </c>
      <c r="K1066" s="6" t="n">
        <v>56393</v>
      </c>
      <c r="L1066" s="6" t="n">
        <v>59103</v>
      </c>
      <c r="M1066" s="6" t="s">
        <v>142</v>
      </c>
      <c r="N1066" s="6" t="n">
        <v>42</v>
      </c>
      <c r="O1066" s="6" t="s">
        <v>60</v>
      </c>
      <c r="P1066" s="6" t="n">
        <v>6</v>
      </c>
      <c r="Q1066" s="6" t="n">
        <v>7.21</v>
      </c>
      <c r="R1066" s="20" t="n">
        <f aca="false">(L1066-K1066)/K1066</f>
        <v>0.0480556097387974</v>
      </c>
    </row>
    <row r="1067" customFormat="false" ht="15" hidden="false" customHeight="false" outlineLevel="0" collapsed="false">
      <c r="A1067" s="6" t="s">
        <v>1229</v>
      </c>
      <c r="B1067" s="6" t="n">
        <v>43</v>
      </c>
      <c r="C1067" s="6" t="s">
        <v>159</v>
      </c>
      <c r="D1067" s="6" t="s">
        <v>135</v>
      </c>
      <c r="E1067" s="6" t="s">
        <v>92</v>
      </c>
      <c r="F1067" s="6" t="s">
        <v>192</v>
      </c>
      <c r="G1067" s="6" t="n">
        <v>19</v>
      </c>
      <c r="H1067" s="6" t="s">
        <v>81</v>
      </c>
      <c r="I1067" s="6" t="s">
        <v>81</v>
      </c>
      <c r="J1067" s="6" t="s">
        <v>60</v>
      </c>
      <c r="K1067" s="6" t="n">
        <v>82066</v>
      </c>
      <c r="L1067" s="6" t="n">
        <v>83298</v>
      </c>
      <c r="M1067" s="6" t="s">
        <v>146</v>
      </c>
      <c r="N1067" s="6" t="n">
        <v>51</v>
      </c>
      <c r="O1067" s="6" t="s">
        <v>58</v>
      </c>
      <c r="P1067" s="6" t="n">
        <v>9</v>
      </c>
      <c r="Q1067" s="6" t="n">
        <v>30.23</v>
      </c>
      <c r="R1067" s="20" t="n">
        <f aca="false">(L1067-K1067)/K1067</f>
        <v>0.0150123071674018</v>
      </c>
    </row>
    <row r="1068" customFormat="false" ht="15" hidden="false" customHeight="false" outlineLevel="0" collapsed="false">
      <c r="A1068" s="6" t="s">
        <v>1230</v>
      </c>
      <c r="B1068" s="6" t="n">
        <v>57</v>
      </c>
      <c r="C1068" s="6" t="s">
        <v>139</v>
      </c>
      <c r="D1068" s="6" t="s">
        <v>144</v>
      </c>
      <c r="E1068" s="6" t="s">
        <v>89</v>
      </c>
      <c r="F1068" s="6" t="s">
        <v>151</v>
      </c>
      <c r="G1068" s="6" t="n">
        <v>33</v>
      </c>
      <c r="H1068" s="6" t="s">
        <v>81</v>
      </c>
      <c r="I1068" s="6" t="s">
        <v>80</v>
      </c>
      <c r="J1068" s="6" t="s">
        <v>60</v>
      </c>
      <c r="K1068" s="6" t="n">
        <v>112315</v>
      </c>
      <c r="L1068" s="6" t="n">
        <v>120900</v>
      </c>
      <c r="M1068" s="6" t="s">
        <v>142</v>
      </c>
      <c r="N1068" s="6" t="n">
        <v>39</v>
      </c>
      <c r="O1068" s="6" t="s">
        <v>58</v>
      </c>
      <c r="P1068" s="6" t="n">
        <v>9</v>
      </c>
      <c r="Q1068" s="6" t="n">
        <v>20.02</v>
      </c>
      <c r="R1068" s="20" t="n">
        <f aca="false">(L1068-K1068)/K1068</f>
        <v>0.0764368071940524</v>
      </c>
    </row>
    <row r="1069" customFormat="false" ht="15" hidden="false" customHeight="false" outlineLevel="0" collapsed="false">
      <c r="A1069" s="6" t="s">
        <v>1231</v>
      </c>
      <c r="B1069" s="6" t="n">
        <v>50</v>
      </c>
      <c r="C1069" s="6" t="s">
        <v>159</v>
      </c>
      <c r="D1069" s="6" t="s">
        <v>140</v>
      </c>
      <c r="E1069" s="6" t="s">
        <v>92</v>
      </c>
      <c r="F1069" s="6" t="s">
        <v>192</v>
      </c>
      <c r="G1069" s="6" t="n">
        <v>27</v>
      </c>
      <c r="H1069" s="6" t="s">
        <v>81</v>
      </c>
      <c r="I1069" s="6" t="s">
        <v>82</v>
      </c>
      <c r="J1069" s="6" t="s">
        <v>58</v>
      </c>
      <c r="K1069" s="6" t="n">
        <v>115610</v>
      </c>
      <c r="L1069" s="6" t="n">
        <v>106736</v>
      </c>
      <c r="M1069" s="6" t="s">
        <v>142</v>
      </c>
      <c r="N1069" s="6" t="n">
        <v>49</v>
      </c>
      <c r="O1069" s="6" t="s">
        <v>60</v>
      </c>
      <c r="P1069" s="6" t="n">
        <v>6</v>
      </c>
      <c r="Q1069" s="6" t="n">
        <v>-18.92</v>
      </c>
      <c r="R1069" s="20" t="n">
        <f aca="false">(L1069-K1069)/K1069</f>
        <v>-0.0767580659112534</v>
      </c>
    </row>
    <row r="1070" customFormat="false" ht="15" hidden="false" customHeight="false" outlineLevel="0" collapsed="false">
      <c r="A1070" s="6" t="s">
        <v>1232</v>
      </c>
      <c r="B1070" s="6" t="n">
        <v>25</v>
      </c>
      <c r="C1070" s="6" t="s">
        <v>134</v>
      </c>
      <c r="D1070" s="6" t="s">
        <v>140</v>
      </c>
      <c r="E1070" s="6" t="s">
        <v>90</v>
      </c>
      <c r="F1070" s="6" t="s">
        <v>236</v>
      </c>
      <c r="G1070" s="6" t="n">
        <v>2</v>
      </c>
      <c r="H1070" s="6" t="s">
        <v>82</v>
      </c>
      <c r="I1070" s="6" t="s">
        <v>82</v>
      </c>
      <c r="J1070" s="6" t="s">
        <v>58</v>
      </c>
      <c r="K1070" s="6" t="n">
        <v>82389</v>
      </c>
      <c r="L1070" s="6" t="n">
        <v>97420</v>
      </c>
      <c r="M1070" s="6" t="s">
        <v>137</v>
      </c>
      <c r="N1070" s="6" t="n">
        <v>45</v>
      </c>
      <c r="O1070" s="6" t="s">
        <v>60</v>
      </c>
      <c r="P1070" s="6" t="n">
        <v>6</v>
      </c>
      <c r="Q1070" s="6" t="n">
        <v>28.11</v>
      </c>
      <c r="R1070" s="20" t="n">
        <f aca="false">(L1070-K1070)/K1070</f>
        <v>0.182439403318404</v>
      </c>
    </row>
    <row r="1071" customFormat="false" ht="15" hidden="false" customHeight="false" outlineLevel="0" collapsed="false">
      <c r="A1071" s="6" t="s">
        <v>1233</v>
      </c>
      <c r="B1071" s="6" t="n">
        <v>23</v>
      </c>
      <c r="C1071" s="6" t="s">
        <v>134</v>
      </c>
      <c r="D1071" s="6" t="s">
        <v>148</v>
      </c>
      <c r="E1071" s="6" t="s">
        <v>92</v>
      </c>
      <c r="F1071" s="6" t="s">
        <v>192</v>
      </c>
      <c r="G1071" s="6" t="n">
        <v>0</v>
      </c>
      <c r="H1071" s="6" t="s">
        <v>80</v>
      </c>
      <c r="I1071" s="6" t="s">
        <v>82</v>
      </c>
      <c r="J1071" s="6" t="s">
        <v>58</v>
      </c>
      <c r="K1071" s="6" t="n">
        <v>105164</v>
      </c>
      <c r="L1071" s="6" t="n">
        <v>101767</v>
      </c>
      <c r="M1071" s="6" t="s">
        <v>142</v>
      </c>
      <c r="N1071" s="6" t="n">
        <v>52</v>
      </c>
      <c r="O1071" s="6" t="s">
        <v>60</v>
      </c>
      <c r="P1071" s="6" t="n">
        <v>8</v>
      </c>
      <c r="Q1071" s="6" t="n">
        <v>25.39</v>
      </c>
      <c r="R1071" s="20" t="n">
        <f aca="false">(L1071-K1071)/K1071</f>
        <v>-0.0323019284165684</v>
      </c>
    </row>
    <row r="1072" customFormat="false" ht="15" hidden="false" customHeight="false" outlineLevel="0" collapsed="false">
      <c r="A1072" s="6" t="s">
        <v>1234</v>
      </c>
      <c r="B1072" s="6" t="n">
        <v>31</v>
      </c>
      <c r="C1072" s="6" t="s">
        <v>139</v>
      </c>
      <c r="D1072" s="6" t="s">
        <v>140</v>
      </c>
      <c r="E1072" s="6" t="s">
        <v>87</v>
      </c>
      <c r="F1072" s="6" t="s">
        <v>160</v>
      </c>
      <c r="G1072" s="6" t="n">
        <v>7</v>
      </c>
      <c r="H1072" s="6" t="s">
        <v>81</v>
      </c>
      <c r="I1072" s="6" t="s">
        <v>82</v>
      </c>
      <c r="J1072" s="6" t="s">
        <v>58</v>
      </c>
      <c r="K1072" s="6" t="n">
        <v>104632</v>
      </c>
      <c r="L1072" s="6" t="n">
        <v>123869</v>
      </c>
      <c r="M1072" s="6" t="s">
        <v>142</v>
      </c>
      <c r="N1072" s="6" t="n">
        <v>46</v>
      </c>
      <c r="O1072" s="6" t="s">
        <v>58</v>
      </c>
      <c r="P1072" s="6" t="n">
        <v>5</v>
      </c>
      <c r="Q1072" s="6" t="n">
        <v>14.79</v>
      </c>
      <c r="R1072" s="20" t="n">
        <f aca="false">(L1072-K1072)/K1072</f>
        <v>0.18385388791192</v>
      </c>
    </row>
    <row r="1073" customFormat="false" ht="15" hidden="false" customHeight="false" outlineLevel="0" collapsed="false">
      <c r="A1073" s="6" t="s">
        <v>1235</v>
      </c>
      <c r="B1073" s="6" t="n">
        <v>35</v>
      </c>
      <c r="C1073" s="6" t="s">
        <v>159</v>
      </c>
      <c r="D1073" s="6" t="s">
        <v>140</v>
      </c>
      <c r="E1073" s="6" t="s">
        <v>90</v>
      </c>
      <c r="F1073" s="6" t="s">
        <v>236</v>
      </c>
      <c r="G1073" s="6" t="n">
        <v>10</v>
      </c>
      <c r="H1073" s="6" t="s">
        <v>82</v>
      </c>
      <c r="I1073" s="6" t="s">
        <v>80</v>
      </c>
      <c r="J1073" s="6" t="s">
        <v>58</v>
      </c>
      <c r="K1073" s="6" t="n">
        <v>71034</v>
      </c>
      <c r="L1073" s="6" t="n">
        <v>58211</v>
      </c>
      <c r="M1073" s="6" t="s">
        <v>142</v>
      </c>
      <c r="N1073" s="6" t="n">
        <v>45</v>
      </c>
      <c r="O1073" s="6" t="s">
        <v>58</v>
      </c>
      <c r="P1073" s="6" t="n">
        <v>9</v>
      </c>
      <c r="Q1073" s="6" t="n">
        <v>24.6</v>
      </c>
      <c r="R1073" s="20" t="n">
        <f aca="false">(L1073-K1073)/K1073</f>
        <v>-0.180519187994482</v>
      </c>
    </row>
    <row r="1074" customFormat="false" ht="15" hidden="false" customHeight="false" outlineLevel="0" collapsed="false">
      <c r="A1074" s="6" t="s">
        <v>1236</v>
      </c>
      <c r="B1074" s="6" t="n">
        <v>40</v>
      </c>
      <c r="C1074" s="6" t="s">
        <v>139</v>
      </c>
      <c r="D1074" s="6" t="s">
        <v>140</v>
      </c>
      <c r="E1074" s="6" t="s">
        <v>92</v>
      </c>
      <c r="F1074" s="6" t="s">
        <v>192</v>
      </c>
      <c r="G1074" s="6" t="n">
        <v>14</v>
      </c>
      <c r="H1074" s="6" t="s">
        <v>82</v>
      </c>
      <c r="I1074" s="6" t="s">
        <v>80</v>
      </c>
      <c r="J1074" s="6" t="s">
        <v>60</v>
      </c>
      <c r="K1074" s="6" t="n">
        <v>33771</v>
      </c>
      <c r="L1074" s="6" t="n">
        <v>45722</v>
      </c>
      <c r="M1074" s="6" t="s">
        <v>142</v>
      </c>
      <c r="N1074" s="6" t="n">
        <v>47</v>
      </c>
      <c r="O1074" s="6" t="s">
        <v>58</v>
      </c>
      <c r="P1074" s="6" t="n">
        <v>7</v>
      </c>
      <c r="Q1074" s="6" t="n">
        <v>-19.05</v>
      </c>
      <c r="R1074" s="20" t="n">
        <f aca="false">(L1074-K1074)/K1074</f>
        <v>0.353883509520002</v>
      </c>
    </row>
    <row r="1075" customFormat="false" ht="15" hidden="false" customHeight="false" outlineLevel="0" collapsed="false">
      <c r="A1075" s="6" t="s">
        <v>1237</v>
      </c>
      <c r="B1075" s="6" t="n">
        <v>25</v>
      </c>
      <c r="C1075" s="6" t="s">
        <v>139</v>
      </c>
      <c r="D1075" s="6" t="s">
        <v>140</v>
      </c>
      <c r="E1075" s="6" t="s">
        <v>87</v>
      </c>
      <c r="F1075" s="6" t="s">
        <v>160</v>
      </c>
      <c r="G1075" s="6" t="n">
        <v>0</v>
      </c>
      <c r="H1075" s="6" t="s">
        <v>80</v>
      </c>
      <c r="I1075" s="6" t="s">
        <v>80</v>
      </c>
      <c r="J1075" s="6" t="s">
        <v>58</v>
      </c>
      <c r="K1075" s="6" t="n">
        <v>62376</v>
      </c>
      <c r="L1075" s="6" t="n">
        <v>68487</v>
      </c>
      <c r="M1075" s="6" t="s">
        <v>142</v>
      </c>
      <c r="N1075" s="6" t="n">
        <v>52</v>
      </c>
      <c r="O1075" s="6" t="s">
        <v>60</v>
      </c>
      <c r="P1075" s="6" t="n">
        <v>3</v>
      </c>
      <c r="Q1075" s="6" t="n">
        <v>-16.64</v>
      </c>
      <c r="R1075" s="20" t="n">
        <f aca="false">(L1075-K1075)/K1075</f>
        <v>0.0979703732204694</v>
      </c>
    </row>
    <row r="1076" customFormat="false" ht="15" hidden="false" customHeight="false" outlineLevel="0" collapsed="false">
      <c r="A1076" s="6" t="s">
        <v>1238</v>
      </c>
      <c r="B1076" s="6" t="n">
        <v>29</v>
      </c>
      <c r="C1076" s="6" t="s">
        <v>159</v>
      </c>
      <c r="D1076" s="6" t="s">
        <v>148</v>
      </c>
      <c r="E1076" s="6" t="s">
        <v>93</v>
      </c>
      <c r="F1076" s="6" t="s">
        <v>197</v>
      </c>
      <c r="G1076" s="6" t="n">
        <v>5</v>
      </c>
      <c r="H1076" s="6" t="s">
        <v>80</v>
      </c>
      <c r="I1076" s="6" t="s">
        <v>82</v>
      </c>
      <c r="J1076" s="6" t="s">
        <v>58</v>
      </c>
      <c r="K1076" s="6" t="n">
        <v>81952</v>
      </c>
      <c r="L1076" s="6" t="n">
        <v>78524</v>
      </c>
      <c r="M1076" s="6" t="s">
        <v>142</v>
      </c>
      <c r="N1076" s="6" t="n">
        <v>36</v>
      </c>
      <c r="O1076" s="6" t="s">
        <v>58</v>
      </c>
      <c r="P1076" s="6" t="n">
        <v>8</v>
      </c>
      <c r="Q1076" s="6" t="n">
        <v>30.19</v>
      </c>
      <c r="R1076" s="20" t="n">
        <f aca="false">(L1076-K1076)/K1076</f>
        <v>-0.0418293635298711</v>
      </c>
    </row>
    <row r="1077" customFormat="false" ht="15" hidden="false" customHeight="false" outlineLevel="0" collapsed="false">
      <c r="A1077" s="6" t="s">
        <v>1239</v>
      </c>
      <c r="B1077" s="6" t="n">
        <v>43</v>
      </c>
      <c r="C1077" s="6" t="s">
        <v>139</v>
      </c>
      <c r="D1077" s="6" t="s">
        <v>135</v>
      </c>
      <c r="E1077" s="6" t="s">
        <v>87</v>
      </c>
      <c r="F1077" s="6" t="s">
        <v>155</v>
      </c>
      <c r="G1077" s="6" t="n">
        <v>19</v>
      </c>
      <c r="H1077" s="6" t="s">
        <v>82</v>
      </c>
      <c r="I1077" s="6" t="s">
        <v>81</v>
      </c>
      <c r="J1077" s="6" t="s">
        <v>58</v>
      </c>
      <c r="K1077" s="6" t="n">
        <v>59283</v>
      </c>
      <c r="L1077" s="6" t="n">
        <v>67760</v>
      </c>
      <c r="M1077" s="6" t="s">
        <v>146</v>
      </c>
      <c r="N1077" s="6" t="n">
        <v>49</v>
      </c>
      <c r="O1077" s="6" t="s">
        <v>58</v>
      </c>
      <c r="P1077" s="6" t="n">
        <v>9</v>
      </c>
      <c r="Q1077" s="6" t="n">
        <v>-0.1</v>
      </c>
      <c r="R1077" s="20" t="n">
        <f aca="false">(L1077-K1077)/K1077</f>
        <v>0.142992088794427</v>
      </c>
    </row>
    <row r="1078" customFormat="false" ht="15" hidden="false" customHeight="false" outlineLevel="0" collapsed="false">
      <c r="A1078" s="6" t="s">
        <v>1240</v>
      </c>
      <c r="B1078" s="6" t="n">
        <v>50</v>
      </c>
      <c r="C1078" s="6" t="s">
        <v>159</v>
      </c>
      <c r="D1078" s="6" t="s">
        <v>148</v>
      </c>
      <c r="E1078" s="6" t="s">
        <v>93</v>
      </c>
      <c r="F1078" s="6" t="s">
        <v>197</v>
      </c>
      <c r="G1078" s="6" t="n">
        <v>28</v>
      </c>
      <c r="H1078" s="6" t="s">
        <v>81</v>
      </c>
      <c r="I1078" s="6" t="s">
        <v>81</v>
      </c>
      <c r="J1078" s="6" t="s">
        <v>58</v>
      </c>
      <c r="K1078" s="6" t="n">
        <v>48653</v>
      </c>
      <c r="L1078" s="6" t="n">
        <v>57947</v>
      </c>
      <c r="M1078" s="6" t="s">
        <v>146</v>
      </c>
      <c r="N1078" s="6" t="n">
        <v>51</v>
      </c>
      <c r="O1078" s="6" t="s">
        <v>58</v>
      </c>
      <c r="P1078" s="6" t="n">
        <v>8</v>
      </c>
      <c r="Q1078" s="6" t="n">
        <v>-18.68</v>
      </c>
      <c r="R1078" s="20" t="n">
        <f aca="false">(L1078-K1078)/K1078</f>
        <v>0.191026247096787</v>
      </c>
    </row>
    <row r="1079" customFormat="false" ht="15" hidden="false" customHeight="false" outlineLevel="0" collapsed="false">
      <c r="A1079" s="6" t="s">
        <v>1241</v>
      </c>
      <c r="B1079" s="6" t="n">
        <v>27</v>
      </c>
      <c r="C1079" s="6" t="s">
        <v>139</v>
      </c>
      <c r="D1079" s="6" t="s">
        <v>148</v>
      </c>
      <c r="E1079" s="6" t="s">
        <v>89</v>
      </c>
      <c r="F1079" s="6" t="s">
        <v>151</v>
      </c>
      <c r="G1079" s="6" t="n">
        <v>3</v>
      </c>
      <c r="H1079" s="6" t="s">
        <v>81</v>
      </c>
      <c r="I1079" s="6" t="s">
        <v>82</v>
      </c>
      <c r="J1079" s="6" t="s">
        <v>58</v>
      </c>
      <c r="K1079" s="6" t="n">
        <v>68231</v>
      </c>
      <c r="L1079" s="6" t="n">
        <v>64184</v>
      </c>
      <c r="M1079" s="6" t="s">
        <v>142</v>
      </c>
      <c r="N1079" s="6" t="n">
        <v>39</v>
      </c>
      <c r="O1079" s="6" t="s">
        <v>58</v>
      </c>
      <c r="P1079" s="6" t="n">
        <v>8</v>
      </c>
      <c r="Q1079" s="6" t="n">
        <v>-11.26</v>
      </c>
      <c r="R1079" s="20" t="n">
        <f aca="false">(L1079-K1079)/K1079</f>
        <v>-0.0593132154006244</v>
      </c>
    </row>
    <row r="1080" customFormat="false" ht="15" hidden="false" customHeight="false" outlineLevel="0" collapsed="false">
      <c r="A1080" s="6" t="s">
        <v>1242</v>
      </c>
      <c r="B1080" s="6" t="n">
        <v>55</v>
      </c>
      <c r="C1080" s="6" t="s">
        <v>134</v>
      </c>
      <c r="D1080" s="6" t="s">
        <v>144</v>
      </c>
      <c r="E1080" s="6" t="s">
        <v>92</v>
      </c>
      <c r="F1080" s="6" t="s">
        <v>222</v>
      </c>
      <c r="G1080" s="6" t="n">
        <v>31</v>
      </c>
      <c r="H1080" s="6" t="s">
        <v>80</v>
      </c>
      <c r="I1080" s="6" t="s">
        <v>80</v>
      </c>
      <c r="J1080" s="6" t="s">
        <v>60</v>
      </c>
      <c r="K1080" s="6" t="n">
        <v>33285</v>
      </c>
      <c r="L1080" s="6" t="n">
        <v>32398</v>
      </c>
      <c r="M1080" s="6" t="s">
        <v>142</v>
      </c>
      <c r="N1080" s="6" t="n">
        <v>46</v>
      </c>
      <c r="O1080" s="6" t="s">
        <v>58</v>
      </c>
      <c r="P1080" s="6" t="n">
        <v>6</v>
      </c>
      <c r="Q1080" s="6" t="n">
        <v>-5.39</v>
      </c>
      <c r="R1080" s="20" t="n">
        <f aca="false">(L1080-K1080)/K1080</f>
        <v>-0.0266486405287667</v>
      </c>
    </row>
    <row r="1081" customFormat="false" ht="15" hidden="false" customHeight="false" outlineLevel="0" collapsed="false">
      <c r="A1081" s="6" t="s">
        <v>1243</v>
      </c>
      <c r="B1081" s="6" t="n">
        <v>49</v>
      </c>
      <c r="C1081" s="6" t="s">
        <v>134</v>
      </c>
      <c r="D1081" s="6" t="s">
        <v>148</v>
      </c>
      <c r="E1081" s="6" t="s">
        <v>88</v>
      </c>
      <c r="F1081" s="6" t="s">
        <v>234</v>
      </c>
      <c r="G1081" s="6" t="n">
        <v>24</v>
      </c>
      <c r="H1081" s="6" t="s">
        <v>82</v>
      </c>
      <c r="I1081" s="6" t="s">
        <v>80</v>
      </c>
      <c r="J1081" s="6" t="s">
        <v>58</v>
      </c>
      <c r="K1081" s="6" t="n">
        <v>102390</v>
      </c>
      <c r="L1081" s="6" t="n">
        <v>106640</v>
      </c>
      <c r="M1081" s="6" t="s">
        <v>142</v>
      </c>
      <c r="N1081" s="6" t="n">
        <v>44</v>
      </c>
      <c r="O1081" s="6" t="s">
        <v>60</v>
      </c>
      <c r="P1081" s="6" t="n">
        <v>5</v>
      </c>
      <c r="Q1081" s="6" t="n">
        <v>35.2</v>
      </c>
      <c r="R1081" s="20" t="n">
        <f aca="false">(L1081-K1081)/K1081</f>
        <v>0.0415079597616955</v>
      </c>
    </row>
    <row r="1082" customFormat="false" ht="15" hidden="false" customHeight="false" outlineLevel="0" collapsed="false">
      <c r="A1082" s="6" t="s">
        <v>1244</v>
      </c>
      <c r="B1082" s="6" t="n">
        <v>50</v>
      </c>
      <c r="C1082" s="6" t="s">
        <v>139</v>
      </c>
      <c r="D1082" s="6" t="s">
        <v>148</v>
      </c>
      <c r="E1082" s="6" t="s">
        <v>87</v>
      </c>
      <c r="F1082" s="6" t="s">
        <v>149</v>
      </c>
      <c r="G1082" s="6" t="n">
        <v>27</v>
      </c>
      <c r="H1082" s="6" t="s">
        <v>81</v>
      </c>
      <c r="I1082" s="6" t="s">
        <v>82</v>
      </c>
      <c r="J1082" s="6" t="s">
        <v>60</v>
      </c>
      <c r="K1082" s="6" t="n">
        <v>83019</v>
      </c>
      <c r="L1082" s="6" t="n">
        <v>86763</v>
      </c>
      <c r="M1082" s="6" t="s">
        <v>142</v>
      </c>
      <c r="N1082" s="6" t="n">
        <v>42</v>
      </c>
      <c r="O1082" s="6" t="s">
        <v>60</v>
      </c>
      <c r="P1082" s="6" t="n">
        <v>4</v>
      </c>
      <c r="Q1082" s="6" t="n">
        <v>-1.07</v>
      </c>
      <c r="R1082" s="20" t="n">
        <f aca="false">(L1082-K1082)/K1082</f>
        <v>0.0450981100711885</v>
      </c>
    </row>
    <row r="1083" customFormat="false" ht="15" hidden="false" customHeight="false" outlineLevel="0" collapsed="false">
      <c r="A1083" s="6" t="s">
        <v>1245</v>
      </c>
      <c r="B1083" s="6" t="n">
        <v>29</v>
      </c>
      <c r="C1083" s="6" t="s">
        <v>159</v>
      </c>
      <c r="D1083" s="6" t="s">
        <v>140</v>
      </c>
      <c r="E1083" s="6" t="s">
        <v>88</v>
      </c>
      <c r="F1083" s="6" t="s">
        <v>234</v>
      </c>
      <c r="G1083" s="6" t="n">
        <v>4</v>
      </c>
      <c r="H1083" s="6" t="s">
        <v>81</v>
      </c>
      <c r="I1083" s="6" t="s">
        <v>82</v>
      </c>
      <c r="J1083" s="6" t="s">
        <v>60</v>
      </c>
      <c r="K1083" s="6" t="n">
        <v>37642</v>
      </c>
      <c r="L1083" s="6" t="n">
        <v>44398</v>
      </c>
      <c r="M1083" s="6" t="s">
        <v>142</v>
      </c>
      <c r="N1083" s="6" t="n">
        <v>36</v>
      </c>
      <c r="O1083" s="6" t="s">
        <v>60</v>
      </c>
      <c r="P1083" s="6" t="n">
        <v>8</v>
      </c>
      <c r="Q1083" s="6" t="n">
        <v>-13.71</v>
      </c>
      <c r="R1083" s="20" t="n">
        <f aca="false">(L1083-K1083)/K1083</f>
        <v>0.179480367674406</v>
      </c>
    </row>
    <row r="1084" customFormat="false" ht="15" hidden="false" customHeight="false" outlineLevel="0" collapsed="false">
      <c r="A1084" s="6" t="s">
        <v>1246</v>
      </c>
      <c r="B1084" s="6" t="n">
        <v>29</v>
      </c>
      <c r="C1084" s="6" t="s">
        <v>134</v>
      </c>
      <c r="D1084" s="6" t="s">
        <v>140</v>
      </c>
      <c r="E1084" s="6" t="s">
        <v>92</v>
      </c>
      <c r="F1084" s="6" t="s">
        <v>192</v>
      </c>
      <c r="G1084" s="6" t="n">
        <v>6</v>
      </c>
      <c r="H1084" s="6" t="s">
        <v>82</v>
      </c>
      <c r="I1084" s="6" t="s">
        <v>81</v>
      </c>
      <c r="J1084" s="6" t="s">
        <v>60</v>
      </c>
      <c r="K1084" s="6" t="n">
        <v>84712</v>
      </c>
      <c r="L1084" s="6" t="n">
        <v>107443</v>
      </c>
      <c r="M1084" s="6" t="s">
        <v>146</v>
      </c>
      <c r="N1084" s="6" t="n">
        <v>42</v>
      </c>
      <c r="O1084" s="6" t="s">
        <v>58</v>
      </c>
      <c r="P1084" s="6" t="n">
        <v>6</v>
      </c>
      <c r="Q1084" s="6" t="n">
        <v>1.7</v>
      </c>
      <c r="R1084" s="20" t="n">
        <f aca="false">(L1084-K1084)/K1084</f>
        <v>0.268332703749174</v>
      </c>
    </row>
    <row r="1085" customFormat="false" ht="15" hidden="false" customHeight="false" outlineLevel="0" collapsed="false">
      <c r="A1085" s="6" t="s">
        <v>1247</v>
      </c>
      <c r="B1085" s="6" t="n">
        <v>49</v>
      </c>
      <c r="C1085" s="6" t="s">
        <v>139</v>
      </c>
      <c r="D1085" s="6" t="s">
        <v>140</v>
      </c>
      <c r="E1085" s="6" t="s">
        <v>89</v>
      </c>
      <c r="F1085" s="6" t="s">
        <v>151</v>
      </c>
      <c r="G1085" s="6" t="n">
        <v>23</v>
      </c>
      <c r="H1085" s="6" t="s">
        <v>80</v>
      </c>
      <c r="I1085" s="6" t="s">
        <v>80</v>
      </c>
      <c r="J1085" s="6" t="s">
        <v>60</v>
      </c>
      <c r="K1085" s="6" t="n">
        <v>45089</v>
      </c>
      <c r="L1085" s="6" t="n">
        <v>49299</v>
      </c>
      <c r="M1085" s="6" t="s">
        <v>142</v>
      </c>
      <c r="N1085" s="6" t="n">
        <v>46</v>
      </c>
      <c r="O1085" s="6" t="s">
        <v>60</v>
      </c>
      <c r="P1085" s="6" t="n">
        <v>3</v>
      </c>
      <c r="Q1085" s="6" t="n">
        <v>-15.78</v>
      </c>
      <c r="R1085" s="20" t="n">
        <f aca="false">(L1085-K1085)/K1085</f>
        <v>0.0933708886868194</v>
      </c>
    </row>
    <row r="1086" customFormat="false" ht="15" hidden="false" customHeight="false" outlineLevel="0" collapsed="false">
      <c r="A1086" s="6" t="s">
        <v>1248</v>
      </c>
      <c r="B1086" s="6" t="n">
        <v>28</v>
      </c>
      <c r="C1086" s="6" t="s">
        <v>139</v>
      </c>
      <c r="D1086" s="6" t="s">
        <v>144</v>
      </c>
      <c r="E1086" s="6" t="s">
        <v>92</v>
      </c>
      <c r="F1086" s="6" t="s">
        <v>222</v>
      </c>
      <c r="G1086" s="6" t="n">
        <v>3</v>
      </c>
      <c r="H1086" s="6" t="s">
        <v>81</v>
      </c>
      <c r="I1086" s="6" t="s">
        <v>80</v>
      </c>
      <c r="J1086" s="6" t="s">
        <v>58</v>
      </c>
      <c r="K1086" s="6" t="n">
        <v>43163</v>
      </c>
      <c r="L1086" s="6" t="n">
        <v>41106</v>
      </c>
      <c r="M1086" s="6" t="s">
        <v>142</v>
      </c>
      <c r="N1086" s="6" t="n">
        <v>54</v>
      </c>
      <c r="O1086" s="6" t="s">
        <v>58</v>
      </c>
      <c r="P1086" s="6" t="n">
        <v>5</v>
      </c>
      <c r="Q1086" s="6" t="n">
        <v>2.72</v>
      </c>
      <c r="R1086" s="20" t="n">
        <f aca="false">(L1086-K1086)/K1086</f>
        <v>-0.0476565576998818</v>
      </c>
    </row>
    <row r="1087" customFormat="false" ht="15" hidden="false" customHeight="false" outlineLevel="0" collapsed="false">
      <c r="A1087" s="6" t="s">
        <v>1249</v>
      </c>
      <c r="B1087" s="6" t="n">
        <v>32</v>
      </c>
      <c r="C1087" s="6" t="s">
        <v>159</v>
      </c>
      <c r="D1087" s="6" t="s">
        <v>144</v>
      </c>
      <c r="E1087" s="6" t="s">
        <v>93</v>
      </c>
      <c r="F1087" s="6" t="s">
        <v>181</v>
      </c>
      <c r="G1087" s="6" t="n">
        <v>8</v>
      </c>
      <c r="H1087" s="6" t="s">
        <v>82</v>
      </c>
      <c r="I1087" s="6" t="s">
        <v>81</v>
      </c>
      <c r="J1087" s="6" t="s">
        <v>58</v>
      </c>
      <c r="K1087" s="6" t="n">
        <v>62214</v>
      </c>
      <c r="L1087" s="6" t="n">
        <v>83141</v>
      </c>
      <c r="M1087" s="6" t="s">
        <v>146</v>
      </c>
      <c r="N1087" s="6" t="n">
        <v>48</v>
      </c>
      <c r="O1087" s="6" t="s">
        <v>58</v>
      </c>
      <c r="P1087" s="6" t="n">
        <v>4</v>
      </c>
      <c r="Q1087" s="6" t="n">
        <v>35.19</v>
      </c>
      <c r="R1087" s="20" t="n">
        <f aca="false">(L1087-K1087)/K1087</f>
        <v>0.336371234770309</v>
      </c>
    </row>
    <row r="1088" customFormat="false" ht="15" hidden="false" customHeight="false" outlineLevel="0" collapsed="false">
      <c r="A1088" s="6" t="s">
        <v>1250</v>
      </c>
      <c r="B1088" s="6" t="n">
        <v>40</v>
      </c>
      <c r="C1088" s="6" t="s">
        <v>134</v>
      </c>
      <c r="D1088" s="6" t="s">
        <v>140</v>
      </c>
      <c r="E1088" s="6" t="s">
        <v>92</v>
      </c>
      <c r="F1088" s="6" t="s">
        <v>192</v>
      </c>
      <c r="G1088" s="6" t="n">
        <v>17</v>
      </c>
      <c r="H1088" s="6" t="s">
        <v>80</v>
      </c>
      <c r="I1088" s="6" t="s">
        <v>81</v>
      </c>
      <c r="J1088" s="6" t="s">
        <v>60</v>
      </c>
      <c r="K1088" s="6" t="n">
        <v>98104</v>
      </c>
      <c r="L1088" s="6" t="n">
        <v>104337</v>
      </c>
      <c r="M1088" s="6" t="s">
        <v>146</v>
      </c>
      <c r="N1088" s="6" t="n">
        <v>50</v>
      </c>
      <c r="O1088" s="6" t="s">
        <v>60</v>
      </c>
      <c r="P1088" s="6" t="n">
        <v>7</v>
      </c>
      <c r="Q1088" s="6" t="n">
        <v>16.4</v>
      </c>
      <c r="R1088" s="20" t="n">
        <f aca="false">(L1088-K1088)/K1088</f>
        <v>0.0635346163255321</v>
      </c>
    </row>
    <row r="1089" customFormat="false" ht="15" hidden="false" customHeight="false" outlineLevel="0" collapsed="false">
      <c r="A1089" s="6" t="s">
        <v>1251</v>
      </c>
      <c r="B1089" s="6" t="n">
        <v>46</v>
      </c>
      <c r="C1089" s="6" t="s">
        <v>139</v>
      </c>
      <c r="D1089" s="6" t="s">
        <v>140</v>
      </c>
      <c r="E1089" s="6" t="s">
        <v>91</v>
      </c>
      <c r="F1089" s="6" t="s">
        <v>141</v>
      </c>
      <c r="G1089" s="6" t="n">
        <v>21</v>
      </c>
      <c r="H1089" s="6" t="s">
        <v>81</v>
      </c>
      <c r="I1089" s="6" t="s">
        <v>81</v>
      </c>
      <c r="J1089" s="6" t="s">
        <v>58</v>
      </c>
      <c r="K1089" s="6" t="n">
        <v>95131</v>
      </c>
      <c r="L1089" s="6" t="n">
        <v>101509</v>
      </c>
      <c r="M1089" s="6" t="s">
        <v>146</v>
      </c>
      <c r="N1089" s="6" t="n">
        <v>49</v>
      </c>
      <c r="O1089" s="6" t="s">
        <v>58</v>
      </c>
      <c r="P1089" s="6" t="n">
        <v>5</v>
      </c>
      <c r="Q1089" s="6" t="n">
        <v>33.51</v>
      </c>
      <c r="R1089" s="20" t="n">
        <f aca="false">(L1089-K1089)/K1089</f>
        <v>0.0670443914181497</v>
      </c>
    </row>
    <row r="1090" customFormat="false" ht="15" hidden="false" customHeight="false" outlineLevel="0" collapsed="false">
      <c r="A1090" s="6" t="s">
        <v>1252</v>
      </c>
      <c r="B1090" s="6" t="n">
        <v>31</v>
      </c>
      <c r="C1090" s="6" t="s">
        <v>159</v>
      </c>
      <c r="D1090" s="6" t="s">
        <v>135</v>
      </c>
      <c r="E1090" s="6" t="s">
        <v>93</v>
      </c>
      <c r="F1090" s="6" t="s">
        <v>164</v>
      </c>
      <c r="G1090" s="6" t="n">
        <v>6</v>
      </c>
      <c r="H1090" s="6" t="s">
        <v>80</v>
      </c>
      <c r="I1090" s="6" t="s">
        <v>82</v>
      </c>
      <c r="J1090" s="6" t="s">
        <v>60</v>
      </c>
      <c r="K1090" s="6" t="n">
        <v>78114</v>
      </c>
      <c r="L1090" s="6" t="n">
        <v>74644</v>
      </c>
      <c r="M1090" s="6" t="s">
        <v>142</v>
      </c>
      <c r="N1090" s="6" t="n">
        <v>49</v>
      </c>
      <c r="O1090" s="6" t="s">
        <v>60</v>
      </c>
      <c r="P1090" s="6" t="n">
        <v>8</v>
      </c>
      <c r="Q1090" s="6" t="n">
        <v>35.06</v>
      </c>
      <c r="R1090" s="20" t="n">
        <f aca="false">(L1090-K1090)/K1090</f>
        <v>-0.0444222546534552</v>
      </c>
    </row>
    <row r="1091" customFormat="false" ht="15" hidden="false" customHeight="false" outlineLevel="0" collapsed="false">
      <c r="A1091" s="6" t="s">
        <v>1253</v>
      </c>
      <c r="B1091" s="6" t="n">
        <v>54</v>
      </c>
      <c r="C1091" s="6" t="s">
        <v>139</v>
      </c>
      <c r="D1091" s="6" t="s">
        <v>148</v>
      </c>
      <c r="E1091" s="6" t="s">
        <v>90</v>
      </c>
      <c r="F1091" s="6" t="s">
        <v>202</v>
      </c>
      <c r="G1091" s="6" t="n">
        <v>31</v>
      </c>
      <c r="H1091" s="6" t="s">
        <v>81</v>
      </c>
      <c r="I1091" s="6" t="s">
        <v>81</v>
      </c>
      <c r="J1091" s="6" t="s">
        <v>60</v>
      </c>
      <c r="K1091" s="6" t="n">
        <v>52301</v>
      </c>
      <c r="L1091" s="6" t="n">
        <v>55224</v>
      </c>
      <c r="M1091" s="6" t="s">
        <v>146</v>
      </c>
      <c r="N1091" s="6" t="n">
        <v>52</v>
      </c>
      <c r="O1091" s="6" t="s">
        <v>60</v>
      </c>
      <c r="P1091" s="6" t="n">
        <v>5</v>
      </c>
      <c r="Q1091" s="6" t="n">
        <v>-8.57</v>
      </c>
      <c r="R1091" s="20" t="n">
        <f aca="false">(L1091-K1091)/K1091</f>
        <v>0.0558880327335997</v>
      </c>
    </row>
    <row r="1092" customFormat="false" ht="15" hidden="false" customHeight="false" outlineLevel="0" collapsed="false">
      <c r="A1092" s="6" t="s">
        <v>1254</v>
      </c>
      <c r="B1092" s="6" t="n">
        <v>23</v>
      </c>
      <c r="C1092" s="6" t="s">
        <v>134</v>
      </c>
      <c r="D1092" s="6" t="s">
        <v>148</v>
      </c>
      <c r="E1092" s="6" t="s">
        <v>89</v>
      </c>
      <c r="F1092" s="6" t="s">
        <v>151</v>
      </c>
      <c r="G1092" s="6" t="n">
        <v>0</v>
      </c>
      <c r="H1092" s="6" t="s">
        <v>81</v>
      </c>
      <c r="I1092" s="6" t="s">
        <v>81</v>
      </c>
      <c r="J1092" s="6" t="s">
        <v>60</v>
      </c>
      <c r="K1092" s="6" t="n">
        <v>58469</v>
      </c>
      <c r="L1092" s="6" t="n">
        <v>67769</v>
      </c>
      <c r="M1092" s="6" t="s">
        <v>146</v>
      </c>
      <c r="N1092" s="6" t="n">
        <v>46</v>
      </c>
      <c r="O1092" s="6" t="s">
        <v>58</v>
      </c>
      <c r="P1092" s="6" t="n">
        <v>7</v>
      </c>
      <c r="Q1092" s="6" t="n">
        <v>0.46</v>
      </c>
      <c r="R1092" s="20" t="n">
        <f aca="false">(L1092-K1092)/K1092</f>
        <v>0.159058646462228</v>
      </c>
    </row>
    <row r="1093" customFormat="false" ht="15" hidden="false" customHeight="false" outlineLevel="0" collapsed="false">
      <c r="A1093" s="6" t="s">
        <v>1255</v>
      </c>
      <c r="B1093" s="6" t="n">
        <v>51</v>
      </c>
      <c r="C1093" s="6" t="s">
        <v>159</v>
      </c>
      <c r="D1093" s="6" t="s">
        <v>144</v>
      </c>
      <c r="E1093" s="6" t="s">
        <v>91</v>
      </c>
      <c r="F1093" s="6" t="s">
        <v>206</v>
      </c>
      <c r="G1093" s="6" t="n">
        <v>28</v>
      </c>
      <c r="H1093" s="6" t="s">
        <v>82</v>
      </c>
      <c r="I1093" s="6" t="s">
        <v>80</v>
      </c>
      <c r="J1093" s="6" t="s">
        <v>60</v>
      </c>
      <c r="K1093" s="6" t="n">
        <v>87089</v>
      </c>
      <c r="L1093" s="6" t="n">
        <v>93329</v>
      </c>
      <c r="M1093" s="6" t="s">
        <v>142</v>
      </c>
      <c r="N1093" s="6" t="n">
        <v>46</v>
      </c>
      <c r="O1093" s="6" t="s">
        <v>58</v>
      </c>
      <c r="P1093" s="6" t="n">
        <v>9</v>
      </c>
      <c r="Q1093" s="6" t="n">
        <v>30.13</v>
      </c>
      <c r="R1093" s="20" t="n">
        <f aca="false">(L1093-K1093)/K1093</f>
        <v>0.0716508399453433</v>
      </c>
    </row>
    <row r="1094" customFormat="false" ht="15" hidden="false" customHeight="false" outlineLevel="0" collapsed="false">
      <c r="A1094" s="6" t="s">
        <v>1256</v>
      </c>
      <c r="B1094" s="6" t="n">
        <v>29</v>
      </c>
      <c r="C1094" s="6" t="s">
        <v>134</v>
      </c>
      <c r="D1094" s="6" t="s">
        <v>144</v>
      </c>
      <c r="E1094" s="6" t="s">
        <v>90</v>
      </c>
      <c r="F1094" s="6" t="s">
        <v>236</v>
      </c>
      <c r="G1094" s="6" t="n">
        <v>3</v>
      </c>
      <c r="H1094" s="6" t="s">
        <v>82</v>
      </c>
      <c r="I1094" s="6" t="s">
        <v>81</v>
      </c>
      <c r="J1094" s="6" t="s">
        <v>60</v>
      </c>
      <c r="K1094" s="6" t="n">
        <v>111653</v>
      </c>
      <c r="L1094" s="6" t="n">
        <v>113745</v>
      </c>
      <c r="M1094" s="6" t="s">
        <v>146</v>
      </c>
      <c r="N1094" s="6" t="n">
        <v>46</v>
      </c>
      <c r="O1094" s="6" t="s">
        <v>60</v>
      </c>
      <c r="P1094" s="6" t="n">
        <v>9</v>
      </c>
      <c r="Q1094" s="6" t="n">
        <v>30.62</v>
      </c>
      <c r="R1094" s="20" t="n">
        <f aca="false">(L1094-K1094)/K1094</f>
        <v>0.0187366214969593</v>
      </c>
    </row>
    <row r="1095" customFormat="false" ht="15" hidden="false" customHeight="false" outlineLevel="0" collapsed="false">
      <c r="A1095" s="6" t="s">
        <v>1257</v>
      </c>
      <c r="B1095" s="6" t="n">
        <v>40</v>
      </c>
      <c r="C1095" s="6" t="s">
        <v>139</v>
      </c>
      <c r="D1095" s="6" t="s">
        <v>144</v>
      </c>
      <c r="E1095" s="6" t="s">
        <v>91</v>
      </c>
      <c r="F1095" s="6" t="s">
        <v>141</v>
      </c>
      <c r="G1095" s="6" t="n">
        <v>16</v>
      </c>
      <c r="H1095" s="6" t="s">
        <v>82</v>
      </c>
      <c r="I1095" s="6" t="s">
        <v>81</v>
      </c>
      <c r="J1095" s="6" t="s">
        <v>58</v>
      </c>
      <c r="K1095" s="6" t="n">
        <v>52784</v>
      </c>
      <c r="L1095" s="6" t="n">
        <v>64827</v>
      </c>
      <c r="M1095" s="6" t="s">
        <v>146</v>
      </c>
      <c r="N1095" s="6" t="n">
        <v>42</v>
      </c>
      <c r="O1095" s="6" t="s">
        <v>60</v>
      </c>
      <c r="P1095" s="6" t="n">
        <v>7</v>
      </c>
      <c r="Q1095" s="6" t="n">
        <v>-7.55</v>
      </c>
      <c r="R1095" s="20" t="n">
        <f aca="false">(L1095-K1095)/K1095</f>
        <v>0.228156259472567</v>
      </c>
    </row>
    <row r="1096" customFormat="false" ht="15" hidden="false" customHeight="false" outlineLevel="0" collapsed="false">
      <c r="A1096" s="6" t="s">
        <v>1258</v>
      </c>
      <c r="B1096" s="6" t="n">
        <v>38</v>
      </c>
      <c r="C1096" s="6" t="s">
        <v>159</v>
      </c>
      <c r="D1096" s="6" t="s">
        <v>135</v>
      </c>
      <c r="E1096" s="6" t="s">
        <v>87</v>
      </c>
      <c r="F1096" s="6" t="s">
        <v>149</v>
      </c>
      <c r="G1096" s="6" t="n">
        <v>16</v>
      </c>
      <c r="H1096" s="6" t="s">
        <v>80</v>
      </c>
      <c r="I1096" s="6" t="s">
        <v>81</v>
      </c>
      <c r="J1096" s="6" t="s">
        <v>58</v>
      </c>
      <c r="K1096" s="6" t="n">
        <v>54161</v>
      </c>
      <c r="L1096" s="6" t="n">
        <v>53914</v>
      </c>
      <c r="M1096" s="6" t="s">
        <v>146</v>
      </c>
      <c r="N1096" s="6" t="n">
        <v>52</v>
      </c>
      <c r="O1096" s="6" t="s">
        <v>60</v>
      </c>
      <c r="P1096" s="6" t="n">
        <v>9</v>
      </c>
      <c r="Q1096" s="6" t="n">
        <v>24.68</v>
      </c>
      <c r="R1096" s="20" t="n">
        <f aca="false">(L1096-K1096)/K1096</f>
        <v>-0.00456047709606543</v>
      </c>
    </row>
    <row r="1097" customFormat="false" ht="15" hidden="false" customHeight="false" outlineLevel="0" collapsed="false">
      <c r="A1097" s="6" t="s">
        <v>1259</v>
      </c>
      <c r="B1097" s="6" t="n">
        <v>36</v>
      </c>
      <c r="C1097" s="6" t="s">
        <v>159</v>
      </c>
      <c r="D1097" s="6" t="s">
        <v>140</v>
      </c>
      <c r="E1097" s="6" t="s">
        <v>88</v>
      </c>
      <c r="F1097" s="6" t="s">
        <v>157</v>
      </c>
      <c r="G1097" s="6" t="n">
        <v>10</v>
      </c>
      <c r="H1097" s="6" t="s">
        <v>82</v>
      </c>
      <c r="I1097" s="6" t="s">
        <v>81</v>
      </c>
      <c r="J1097" s="6" t="s">
        <v>58</v>
      </c>
      <c r="K1097" s="6" t="n">
        <v>76389</v>
      </c>
      <c r="L1097" s="6" t="n">
        <v>100899</v>
      </c>
      <c r="M1097" s="6" t="s">
        <v>146</v>
      </c>
      <c r="N1097" s="6" t="n">
        <v>48</v>
      </c>
      <c r="O1097" s="6" t="s">
        <v>60</v>
      </c>
      <c r="P1097" s="6" t="n">
        <v>4</v>
      </c>
      <c r="Q1097" s="6" t="n">
        <v>32.88</v>
      </c>
      <c r="R1097" s="20" t="n">
        <f aca="false">(L1097-K1097)/K1097</f>
        <v>0.320857715116051</v>
      </c>
    </row>
    <row r="1098" customFormat="false" ht="15" hidden="false" customHeight="false" outlineLevel="0" collapsed="false">
      <c r="A1098" s="6" t="s">
        <v>1260</v>
      </c>
      <c r="B1098" s="6" t="n">
        <v>43</v>
      </c>
      <c r="C1098" s="6" t="s">
        <v>139</v>
      </c>
      <c r="D1098" s="6" t="s">
        <v>144</v>
      </c>
      <c r="E1098" s="6" t="s">
        <v>87</v>
      </c>
      <c r="F1098" s="6" t="s">
        <v>149</v>
      </c>
      <c r="G1098" s="6" t="n">
        <v>19</v>
      </c>
      <c r="H1098" s="6" t="s">
        <v>80</v>
      </c>
      <c r="I1098" s="6" t="s">
        <v>82</v>
      </c>
      <c r="J1098" s="6" t="s">
        <v>60</v>
      </c>
      <c r="K1098" s="6" t="n">
        <v>89055</v>
      </c>
      <c r="L1098" s="6" t="n">
        <v>90515</v>
      </c>
      <c r="M1098" s="6" t="s">
        <v>142</v>
      </c>
      <c r="N1098" s="6" t="n">
        <v>51</v>
      </c>
      <c r="O1098" s="6" t="s">
        <v>58</v>
      </c>
      <c r="P1098" s="6" t="n">
        <v>8</v>
      </c>
      <c r="Q1098" s="6" t="n">
        <v>9.12</v>
      </c>
      <c r="R1098" s="20" t="n">
        <f aca="false">(L1098-K1098)/K1098</f>
        <v>0.0163943630340801</v>
      </c>
    </row>
    <row r="1099" customFormat="false" ht="15" hidden="false" customHeight="false" outlineLevel="0" collapsed="false">
      <c r="A1099" s="6" t="s">
        <v>1261</v>
      </c>
      <c r="B1099" s="6" t="n">
        <v>59</v>
      </c>
      <c r="C1099" s="6" t="s">
        <v>159</v>
      </c>
      <c r="D1099" s="6" t="s">
        <v>148</v>
      </c>
      <c r="E1099" s="6" t="s">
        <v>91</v>
      </c>
      <c r="F1099" s="6" t="s">
        <v>206</v>
      </c>
      <c r="G1099" s="6" t="n">
        <v>33</v>
      </c>
      <c r="H1099" s="6" t="s">
        <v>82</v>
      </c>
      <c r="I1099" s="6" t="s">
        <v>80</v>
      </c>
      <c r="J1099" s="6" t="s">
        <v>60</v>
      </c>
      <c r="K1099" s="6" t="n">
        <v>31242</v>
      </c>
      <c r="L1099" s="6" t="n">
        <v>25246</v>
      </c>
      <c r="M1099" s="6" t="s">
        <v>142</v>
      </c>
      <c r="N1099" s="6" t="n">
        <v>49</v>
      </c>
      <c r="O1099" s="6" t="s">
        <v>58</v>
      </c>
      <c r="P1099" s="6" t="n">
        <v>6</v>
      </c>
      <c r="Q1099" s="6" t="n">
        <v>1.77</v>
      </c>
      <c r="R1099" s="20" t="n">
        <f aca="false">(L1099-K1099)/K1099</f>
        <v>-0.191921131809743</v>
      </c>
    </row>
    <row r="1100" customFormat="false" ht="15" hidden="false" customHeight="false" outlineLevel="0" collapsed="false">
      <c r="A1100" s="6" t="s">
        <v>1262</v>
      </c>
      <c r="B1100" s="6" t="n">
        <v>38</v>
      </c>
      <c r="C1100" s="6" t="s">
        <v>134</v>
      </c>
      <c r="D1100" s="6" t="s">
        <v>140</v>
      </c>
      <c r="E1100" s="6" t="s">
        <v>88</v>
      </c>
      <c r="F1100" s="6" t="s">
        <v>157</v>
      </c>
      <c r="G1100" s="6" t="n">
        <v>16</v>
      </c>
      <c r="H1100" s="6" t="s">
        <v>81</v>
      </c>
      <c r="I1100" s="6" t="s">
        <v>82</v>
      </c>
      <c r="J1100" s="6" t="s">
        <v>60</v>
      </c>
      <c r="K1100" s="6" t="n">
        <v>81507</v>
      </c>
      <c r="L1100" s="6" t="n">
        <v>91167</v>
      </c>
      <c r="M1100" s="6" t="s">
        <v>142</v>
      </c>
      <c r="N1100" s="6" t="n">
        <v>35</v>
      </c>
      <c r="O1100" s="6" t="s">
        <v>60</v>
      </c>
      <c r="P1100" s="6" t="n">
        <v>6</v>
      </c>
      <c r="Q1100" s="6" t="n">
        <v>-1.01</v>
      </c>
      <c r="R1100" s="20" t="n">
        <f aca="false">(L1100-K1100)/K1100</f>
        <v>0.118517427950974</v>
      </c>
    </row>
    <row r="1101" customFormat="false" ht="15" hidden="false" customHeight="false" outlineLevel="0" collapsed="false">
      <c r="A1101" s="6" t="s">
        <v>1263</v>
      </c>
      <c r="B1101" s="6" t="n">
        <v>50</v>
      </c>
      <c r="C1101" s="6" t="s">
        <v>159</v>
      </c>
      <c r="D1101" s="6" t="s">
        <v>148</v>
      </c>
      <c r="E1101" s="6" t="s">
        <v>88</v>
      </c>
      <c r="F1101" s="6" t="s">
        <v>234</v>
      </c>
      <c r="G1101" s="6" t="n">
        <v>24</v>
      </c>
      <c r="H1101" s="6" t="s">
        <v>81</v>
      </c>
      <c r="I1101" s="6" t="s">
        <v>80</v>
      </c>
      <c r="J1101" s="6" t="s">
        <v>60</v>
      </c>
      <c r="K1101" s="6" t="n">
        <v>63172</v>
      </c>
      <c r="L1101" s="6" t="n">
        <v>62816</v>
      </c>
      <c r="M1101" s="6" t="s">
        <v>142</v>
      </c>
      <c r="N1101" s="6" t="n">
        <v>40</v>
      </c>
      <c r="O1101" s="6" t="s">
        <v>60</v>
      </c>
      <c r="P1101" s="6" t="n">
        <v>5</v>
      </c>
      <c r="Q1101" s="6" t="n">
        <v>-14.94</v>
      </c>
      <c r="R1101" s="20" t="n">
        <f aca="false">(L1101-K1101)/K1101</f>
        <v>-0.00563540809219274</v>
      </c>
    </row>
    <row r="1102" customFormat="false" ht="15" hidden="false" customHeight="false" outlineLevel="0" collapsed="false">
      <c r="A1102" s="6" t="s">
        <v>1264</v>
      </c>
      <c r="B1102" s="6" t="n">
        <v>34</v>
      </c>
      <c r="C1102" s="6" t="s">
        <v>139</v>
      </c>
      <c r="D1102" s="6" t="s">
        <v>148</v>
      </c>
      <c r="E1102" s="6" t="s">
        <v>90</v>
      </c>
      <c r="F1102" s="6" t="s">
        <v>145</v>
      </c>
      <c r="G1102" s="6" t="n">
        <v>12</v>
      </c>
      <c r="H1102" s="6" t="s">
        <v>82</v>
      </c>
      <c r="I1102" s="6" t="s">
        <v>80</v>
      </c>
      <c r="J1102" s="6" t="s">
        <v>60</v>
      </c>
      <c r="K1102" s="6" t="n">
        <v>39491</v>
      </c>
      <c r="L1102" s="6" t="n">
        <v>40109</v>
      </c>
      <c r="M1102" s="6" t="s">
        <v>142</v>
      </c>
      <c r="N1102" s="6" t="n">
        <v>44</v>
      </c>
      <c r="O1102" s="6" t="s">
        <v>60</v>
      </c>
      <c r="P1102" s="6" t="n">
        <v>3</v>
      </c>
      <c r="Q1102" s="6" t="n">
        <v>-15.11</v>
      </c>
      <c r="R1102" s="20" t="n">
        <f aca="false">(L1102-K1102)/K1102</f>
        <v>0.0156491352460054</v>
      </c>
    </row>
    <row r="1103" customFormat="false" ht="15" hidden="false" customHeight="false" outlineLevel="0" collapsed="false">
      <c r="A1103" s="6" t="s">
        <v>1265</v>
      </c>
      <c r="B1103" s="6" t="n">
        <v>24</v>
      </c>
      <c r="C1103" s="6" t="s">
        <v>139</v>
      </c>
      <c r="D1103" s="6" t="s">
        <v>135</v>
      </c>
      <c r="E1103" s="6" t="s">
        <v>89</v>
      </c>
      <c r="F1103" s="6" t="s">
        <v>162</v>
      </c>
      <c r="G1103" s="6" t="n">
        <v>0</v>
      </c>
      <c r="H1103" s="6" t="s">
        <v>82</v>
      </c>
      <c r="I1103" s="6" t="s">
        <v>80</v>
      </c>
      <c r="J1103" s="6" t="s">
        <v>60</v>
      </c>
      <c r="K1103" s="6" t="n">
        <v>65851</v>
      </c>
      <c r="L1103" s="6" t="n">
        <v>87113</v>
      </c>
      <c r="M1103" s="6" t="s">
        <v>142</v>
      </c>
      <c r="N1103" s="6" t="n">
        <v>45</v>
      </c>
      <c r="O1103" s="6" t="s">
        <v>60</v>
      </c>
      <c r="P1103" s="6" t="n">
        <v>8</v>
      </c>
      <c r="Q1103" s="6" t="n">
        <v>-5.75</v>
      </c>
      <c r="R1103" s="20" t="n">
        <f aca="false">(L1103-K1103)/K1103</f>
        <v>0.322880442210445</v>
      </c>
    </row>
    <row r="1104" customFormat="false" ht="15" hidden="false" customHeight="false" outlineLevel="0" collapsed="false">
      <c r="A1104" s="6" t="s">
        <v>1266</v>
      </c>
      <c r="B1104" s="6" t="n">
        <v>57</v>
      </c>
      <c r="C1104" s="6" t="s">
        <v>159</v>
      </c>
      <c r="D1104" s="6" t="s">
        <v>135</v>
      </c>
      <c r="E1104" s="6" t="s">
        <v>88</v>
      </c>
      <c r="F1104" s="6" t="s">
        <v>157</v>
      </c>
      <c r="G1104" s="6" t="n">
        <v>31</v>
      </c>
      <c r="H1104" s="6" t="s">
        <v>81</v>
      </c>
      <c r="I1104" s="6" t="s">
        <v>81</v>
      </c>
      <c r="J1104" s="6" t="s">
        <v>60</v>
      </c>
      <c r="K1104" s="6" t="n">
        <v>58365</v>
      </c>
      <c r="L1104" s="6" t="n">
        <v>65568</v>
      </c>
      <c r="M1104" s="6" t="s">
        <v>146</v>
      </c>
      <c r="N1104" s="6" t="n">
        <v>38</v>
      </c>
      <c r="O1104" s="6" t="s">
        <v>60</v>
      </c>
      <c r="P1104" s="6" t="n">
        <v>7</v>
      </c>
      <c r="Q1104" s="6" t="n">
        <v>-9.91</v>
      </c>
      <c r="R1104" s="20" t="n">
        <f aca="false">(L1104-K1104)/K1104</f>
        <v>0.123413004369057</v>
      </c>
    </row>
    <row r="1105" customFormat="false" ht="15" hidden="false" customHeight="false" outlineLevel="0" collapsed="false">
      <c r="A1105" s="6" t="s">
        <v>1267</v>
      </c>
      <c r="B1105" s="6" t="n">
        <v>51</v>
      </c>
      <c r="C1105" s="6" t="s">
        <v>159</v>
      </c>
      <c r="D1105" s="6" t="s">
        <v>144</v>
      </c>
      <c r="E1105" s="6" t="s">
        <v>92</v>
      </c>
      <c r="F1105" s="6" t="s">
        <v>222</v>
      </c>
      <c r="G1105" s="6" t="n">
        <v>26</v>
      </c>
      <c r="H1105" s="6" t="s">
        <v>80</v>
      </c>
      <c r="I1105" s="6" t="s">
        <v>81</v>
      </c>
      <c r="J1105" s="6" t="s">
        <v>58</v>
      </c>
      <c r="K1105" s="6" t="n">
        <v>49276</v>
      </c>
      <c r="L1105" s="6" t="n">
        <v>51779</v>
      </c>
      <c r="M1105" s="6" t="s">
        <v>146</v>
      </c>
      <c r="N1105" s="6" t="n">
        <v>38</v>
      </c>
      <c r="O1105" s="6" t="s">
        <v>58</v>
      </c>
      <c r="P1105" s="6" t="n">
        <v>6</v>
      </c>
      <c r="Q1105" s="6" t="n">
        <v>18.13</v>
      </c>
      <c r="R1105" s="20" t="n">
        <f aca="false">(L1105-K1105)/K1105</f>
        <v>0.0507955191168114</v>
      </c>
    </row>
    <row r="1106" customFormat="false" ht="15" hidden="false" customHeight="false" outlineLevel="0" collapsed="false">
      <c r="A1106" s="6" t="s">
        <v>1268</v>
      </c>
      <c r="B1106" s="6" t="n">
        <v>37</v>
      </c>
      <c r="C1106" s="6" t="s">
        <v>139</v>
      </c>
      <c r="D1106" s="6" t="s">
        <v>135</v>
      </c>
      <c r="E1106" s="6" t="s">
        <v>87</v>
      </c>
      <c r="F1106" s="6" t="s">
        <v>155</v>
      </c>
      <c r="G1106" s="6" t="n">
        <v>11</v>
      </c>
      <c r="H1106" s="6" t="s">
        <v>81</v>
      </c>
      <c r="I1106" s="6" t="s">
        <v>80</v>
      </c>
      <c r="J1106" s="6" t="s">
        <v>60</v>
      </c>
      <c r="K1106" s="6" t="n">
        <v>111335</v>
      </c>
      <c r="L1106" s="6" t="n">
        <v>120116</v>
      </c>
      <c r="M1106" s="6" t="s">
        <v>142</v>
      </c>
      <c r="N1106" s="6" t="n">
        <v>41</v>
      </c>
      <c r="O1106" s="6" t="s">
        <v>60</v>
      </c>
      <c r="P1106" s="6" t="n">
        <v>6</v>
      </c>
      <c r="Q1106" s="6" t="n">
        <v>22.58</v>
      </c>
      <c r="R1106" s="20" t="n">
        <f aca="false">(L1106-K1106)/K1106</f>
        <v>0.0788700767952576</v>
      </c>
    </row>
    <row r="1107" customFormat="false" ht="15" hidden="false" customHeight="false" outlineLevel="0" collapsed="false">
      <c r="A1107" s="6" t="s">
        <v>1269</v>
      </c>
      <c r="B1107" s="6" t="n">
        <v>28</v>
      </c>
      <c r="C1107" s="6" t="s">
        <v>159</v>
      </c>
      <c r="D1107" s="6" t="s">
        <v>140</v>
      </c>
      <c r="E1107" s="6" t="s">
        <v>93</v>
      </c>
      <c r="F1107" s="6" t="s">
        <v>197</v>
      </c>
      <c r="G1107" s="6" t="n">
        <v>4</v>
      </c>
      <c r="H1107" s="6" t="s">
        <v>81</v>
      </c>
      <c r="I1107" s="6" t="s">
        <v>81</v>
      </c>
      <c r="J1107" s="6" t="s">
        <v>60</v>
      </c>
      <c r="K1107" s="6" t="n">
        <v>100198</v>
      </c>
      <c r="L1107" s="6" t="n">
        <v>113500</v>
      </c>
      <c r="M1107" s="6" t="s">
        <v>146</v>
      </c>
      <c r="N1107" s="6" t="n">
        <v>42</v>
      </c>
      <c r="O1107" s="6" t="s">
        <v>58</v>
      </c>
      <c r="P1107" s="6" t="n">
        <v>3</v>
      </c>
      <c r="Q1107" s="6" t="n">
        <v>6.81</v>
      </c>
      <c r="R1107" s="20" t="n">
        <f aca="false">(L1107-K1107)/K1107</f>
        <v>0.132757140861095</v>
      </c>
    </row>
    <row r="1108" customFormat="false" ht="15" hidden="false" customHeight="false" outlineLevel="0" collapsed="false">
      <c r="A1108" s="6" t="s">
        <v>1270</v>
      </c>
      <c r="B1108" s="6" t="n">
        <v>55</v>
      </c>
      <c r="C1108" s="6" t="s">
        <v>134</v>
      </c>
      <c r="D1108" s="6" t="s">
        <v>148</v>
      </c>
      <c r="E1108" s="6" t="s">
        <v>91</v>
      </c>
      <c r="F1108" s="6" t="s">
        <v>141</v>
      </c>
      <c r="G1108" s="6" t="n">
        <v>29</v>
      </c>
      <c r="H1108" s="6" t="s">
        <v>82</v>
      </c>
      <c r="I1108" s="6" t="s">
        <v>81</v>
      </c>
      <c r="J1108" s="6" t="s">
        <v>60</v>
      </c>
      <c r="K1108" s="6" t="n">
        <v>60028</v>
      </c>
      <c r="L1108" s="6" t="n">
        <v>72283</v>
      </c>
      <c r="M1108" s="6" t="s">
        <v>146</v>
      </c>
      <c r="N1108" s="6" t="n">
        <v>46</v>
      </c>
      <c r="O1108" s="6" t="s">
        <v>58</v>
      </c>
      <c r="P1108" s="6" t="n">
        <v>3</v>
      </c>
      <c r="Q1108" s="6" t="n">
        <v>-16.11</v>
      </c>
      <c r="R1108" s="20" t="n">
        <f aca="false">(L1108-K1108)/K1108</f>
        <v>0.204154727793696</v>
      </c>
    </row>
    <row r="1109" customFormat="false" ht="15" hidden="false" customHeight="false" outlineLevel="0" collapsed="false">
      <c r="A1109" s="6" t="s">
        <v>1271</v>
      </c>
      <c r="B1109" s="6" t="n">
        <v>23</v>
      </c>
      <c r="C1109" s="6" t="s">
        <v>139</v>
      </c>
      <c r="D1109" s="6" t="s">
        <v>135</v>
      </c>
      <c r="E1109" s="6" t="s">
        <v>87</v>
      </c>
      <c r="F1109" s="6" t="s">
        <v>149</v>
      </c>
      <c r="G1109" s="6" t="n">
        <v>0</v>
      </c>
      <c r="H1109" s="6" t="s">
        <v>81</v>
      </c>
      <c r="I1109" s="6" t="s">
        <v>82</v>
      </c>
      <c r="J1109" s="6" t="s">
        <v>58</v>
      </c>
      <c r="K1109" s="6" t="n">
        <v>104353</v>
      </c>
      <c r="L1109" s="6" t="n">
        <v>112142</v>
      </c>
      <c r="M1109" s="6" t="s">
        <v>142</v>
      </c>
      <c r="N1109" s="6" t="n">
        <v>42</v>
      </c>
      <c r="O1109" s="6" t="s">
        <v>58</v>
      </c>
      <c r="P1109" s="6" t="n">
        <v>9</v>
      </c>
      <c r="Q1109" s="6" t="n">
        <v>1.41</v>
      </c>
      <c r="R1109" s="20" t="n">
        <f aca="false">(L1109-K1109)/K1109</f>
        <v>0.0746408823895815</v>
      </c>
    </row>
    <row r="1110" customFormat="false" ht="15" hidden="false" customHeight="false" outlineLevel="0" collapsed="false">
      <c r="A1110" s="6" t="s">
        <v>1272</v>
      </c>
      <c r="B1110" s="6" t="n">
        <v>54</v>
      </c>
      <c r="C1110" s="6" t="s">
        <v>134</v>
      </c>
      <c r="D1110" s="6" t="s">
        <v>135</v>
      </c>
      <c r="E1110" s="6" t="s">
        <v>92</v>
      </c>
      <c r="F1110" s="6" t="s">
        <v>136</v>
      </c>
      <c r="G1110" s="6" t="n">
        <v>29</v>
      </c>
      <c r="H1110" s="6" t="s">
        <v>80</v>
      </c>
      <c r="I1110" s="6" t="s">
        <v>80</v>
      </c>
      <c r="J1110" s="6" t="s">
        <v>58</v>
      </c>
      <c r="K1110" s="6" t="n">
        <v>76761</v>
      </c>
      <c r="L1110" s="6" t="n">
        <v>80568</v>
      </c>
      <c r="M1110" s="6" t="s">
        <v>142</v>
      </c>
      <c r="N1110" s="6" t="n">
        <v>42</v>
      </c>
      <c r="O1110" s="6" t="s">
        <v>58</v>
      </c>
      <c r="P1110" s="6" t="n">
        <v>8</v>
      </c>
      <c r="Q1110" s="6" t="n">
        <v>0.3</v>
      </c>
      <c r="R1110" s="20" t="n">
        <f aca="false">(L1110-K1110)/K1110</f>
        <v>0.0495954977136827</v>
      </c>
    </row>
    <row r="1111" customFormat="false" ht="15" hidden="false" customHeight="false" outlineLevel="0" collapsed="false">
      <c r="A1111" s="6" t="s">
        <v>1273</v>
      </c>
      <c r="B1111" s="6" t="n">
        <v>48</v>
      </c>
      <c r="C1111" s="6" t="s">
        <v>139</v>
      </c>
      <c r="D1111" s="6" t="s">
        <v>135</v>
      </c>
      <c r="E1111" s="6" t="s">
        <v>89</v>
      </c>
      <c r="F1111" s="6" t="s">
        <v>162</v>
      </c>
      <c r="G1111" s="6" t="n">
        <v>26</v>
      </c>
      <c r="H1111" s="6" t="s">
        <v>82</v>
      </c>
      <c r="I1111" s="6" t="s">
        <v>82</v>
      </c>
      <c r="J1111" s="6" t="s">
        <v>60</v>
      </c>
      <c r="K1111" s="6" t="n">
        <v>113276</v>
      </c>
      <c r="L1111" s="6" t="n">
        <v>139427</v>
      </c>
      <c r="M1111" s="6" t="s">
        <v>137</v>
      </c>
      <c r="N1111" s="6" t="n">
        <v>39</v>
      </c>
      <c r="O1111" s="6" t="s">
        <v>58</v>
      </c>
      <c r="P1111" s="6" t="n">
        <v>4</v>
      </c>
      <c r="Q1111" s="6" t="n">
        <v>14.89</v>
      </c>
      <c r="R1111" s="20" t="n">
        <f aca="false">(L1111-K1111)/K1111</f>
        <v>0.230860906105442</v>
      </c>
    </row>
    <row r="1112" customFormat="false" ht="15" hidden="false" customHeight="false" outlineLevel="0" collapsed="false">
      <c r="A1112" s="6" t="s">
        <v>1274</v>
      </c>
      <c r="B1112" s="6" t="n">
        <v>26</v>
      </c>
      <c r="C1112" s="6" t="s">
        <v>139</v>
      </c>
      <c r="D1112" s="6" t="s">
        <v>144</v>
      </c>
      <c r="E1112" s="6" t="s">
        <v>88</v>
      </c>
      <c r="F1112" s="6" t="s">
        <v>234</v>
      </c>
      <c r="G1112" s="6" t="n">
        <v>0</v>
      </c>
      <c r="H1112" s="6" t="s">
        <v>82</v>
      </c>
      <c r="I1112" s="6" t="s">
        <v>82</v>
      </c>
      <c r="J1112" s="6" t="s">
        <v>58</v>
      </c>
      <c r="K1112" s="6" t="n">
        <v>98906</v>
      </c>
      <c r="L1112" s="6" t="n">
        <v>80776</v>
      </c>
      <c r="M1112" s="6" t="s">
        <v>137</v>
      </c>
      <c r="N1112" s="6" t="n">
        <v>41</v>
      </c>
      <c r="O1112" s="6" t="s">
        <v>58</v>
      </c>
      <c r="P1112" s="6" t="n">
        <v>9</v>
      </c>
      <c r="Q1112" s="6" t="n">
        <v>-5.2</v>
      </c>
      <c r="R1112" s="20" t="n">
        <f aca="false">(L1112-K1112)/K1112</f>
        <v>-0.183305360645461</v>
      </c>
    </row>
    <row r="1113" customFormat="false" ht="15" hidden="false" customHeight="false" outlineLevel="0" collapsed="false">
      <c r="A1113" s="6" t="s">
        <v>1275</v>
      </c>
      <c r="B1113" s="6" t="n">
        <v>59</v>
      </c>
      <c r="C1113" s="6" t="s">
        <v>159</v>
      </c>
      <c r="D1113" s="6" t="s">
        <v>140</v>
      </c>
      <c r="E1113" s="6" t="s">
        <v>93</v>
      </c>
      <c r="F1113" s="6" t="s">
        <v>164</v>
      </c>
      <c r="G1113" s="6" t="n">
        <v>35</v>
      </c>
      <c r="H1113" s="6" t="s">
        <v>81</v>
      </c>
      <c r="I1113" s="6" t="s">
        <v>81</v>
      </c>
      <c r="J1113" s="6" t="s">
        <v>58</v>
      </c>
      <c r="K1113" s="6" t="n">
        <v>75117</v>
      </c>
      <c r="L1113" s="6" t="n">
        <v>84340</v>
      </c>
      <c r="M1113" s="6" t="s">
        <v>146</v>
      </c>
      <c r="N1113" s="6" t="n">
        <v>52</v>
      </c>
      <c r="O1113" s="6" t="s">
        <v>60</v>
      </c>
      <c r="P1113" s="6" t="n">
        <v>8</v>
      </c>
      <c r="Q1113" s="6" t="n">
        <v>-3.21</v>
      </c>
      <c r="R1113" s="20" t="n">
        <f aca="false">(L1113-K1113)/K1113</f>
        <v>0.122781793735107</v>
      </c>
    </row>
    <row r="1114" customFormat="false" ht="15" hidden="false" customHeight="false" outlineLevel="0" collapsed="false">
      <c r="A1114" s="6" t="s">
        <v>1276</v>
      </c>
      <c r="B1114" s="6" t="n">
        <v>29</v>
      </c>
      <c r="C1114" s="6" t="s">
        <v>134</v>
      </c>
      <c r="D1114" s="6" t="s">
        <v>135</v>
      </c>
      <c r="E1114" s="6" t="s">
        <v>89</v>
      </c>
      <c r="F1114" s="6" t="s">
        <v>162</v>
      </c>
      <c r="G1114" s="6" t="n">
        <v>7</v>
      </c>
      <c r="H1114" s="6" t="s">
        <v>82</v>
      </c>
      <c r="I1114" s="6" t="s">
        <v>81</v>
      </c>
      <c r="J1114" s="6" t="s">
        <v>60</v>
      </c>
      <c r="K1114" s="6" t="n">
        <v>47459</v>
      </c>
      <c r="L1114" s="6" t="n">
        <v>59328</v>
      </c>
      <c r="M1114" s="6" t="s">
        <v>146</v>
      </c>
      <c r="N1114" s="6" t="n">
        <v>44</v>
      </c>
      <c r="O1114" s="6" t="s">
        <v>58</v>
      </c>
      <c r="P1114" s="6" t="n">
        <v>6</v>
      </c>
      <c r="Q1114" s="6" t="n">
        <v>21.6</v>
      </c>
      <c r="R1114" s="20" t="n">
        <f aca="false">(L1114-K1114)/K1114</f>
        <v>0.250089550980847</v>
      </c>
    </row>
    <row r="1115" customFormat="false" ht="15" hidden="false" customHeight="false" outlineLevel="0" collapsed="false">
      <c r="A1115" s="6" t="s">
        <v>1277</v>
      </c>
      <c r="B1115" s="6" t="n">
        <v>48</v>
      </c>
      <c r="C1115" s="6" t="s">
        <v>159</v>
      </c>
      <c r="D1115" s="6" t="s">
        <v>140</v>
      </c>
      <c r="E1115" s="6" t="s">
        <v>93</v>
      </c>
      <c r="F1115" s="6" t="s">
        <v>181</v>
      </c>
      <c r="G1115" s="6" t="n">
        <v>23</v>
      </c>
      <c r="H1115" s="6" t="s">
        <v>81</v>
      </c>
      <c r="I1115" s="6" t="s">
        <v>82</v>
      </c>
      <c r="J1115" s="6" t="s">
        <v>58</v>
      </c>
      <c r="K1115" s="6" t="n">
        <v>101017</v>
      </c>
      <c r="L1115" s="6" t="n">
        <v>104260</v>
      </c>
      <c r="M1115" s="6" t="s">
        <v>142</v>
      </c>
      <c r="N1115" s="6" t="n">
        <v>52</v>
      </c>
      <c r="O1115" s="6" t="s">
        <v>58</v>
      </c>
      <c r="P1115" s="6" t="n">
        <v>6</v>
      </c>
      <c r="Q1115" s="6" t="n">
        <v>12.93</v>
      </c>
      <c r="R1115" s="20" t="n">
        <f aca="false">(L1115-K1115)/K1115</f>
        <v>0.0321035073304493</v>
      </c>
    </row>
    <row r="1116" customFormat="false" ht="15" hidden="false" customHeight="false" outlineLevel="0" collapsed="false">
      <c r="A1116" s="6" t="s">
        <v>1278</v>
      </c>
      <c r="B1116" s="6" t="n">
        <v>37</v>
      </c>
      <c r="C1116" s="6" t="s">
        <v>139</v>
      </c>
      <c r="D1116" s="6" t="s">
        <v>140</v>
      </c>
      <c r="E1116" s="6" t="s">
        <v>88</v>
      </c>
      <c r="F1116" s="6" t="s">
        <v>179</v>
      </c>
      <c r="G1116" s="6" t="n">
        <v>15</v>
      </c>
      <c r="H1116" s="6" t="s">
        <v>81</v>
      </c>
      <c r="I1116" s="6" t="s">
        <v>81</v>
      </c>
      <c r="J1116" s="6" t="s">
        <v>58</v>
      </c>
      <c r="K1116" s="6" t="n">
        <v>111426</v>
      </c>
      <c r="L1116" s="6" t="n">
        <v>117756</v>
      </c>
      <c r="M1116" s="6" t="s">
        <v>146</v>
      </c>
      <c r="N1116" s="6" t="n">
        <v>40</v>
      </c>
      <c r="O1116" s="6" t="s">
        <v>58</v>
      </c>
      <c r="P1116" s="6" t="n">
        <v>7</v>
      </c>
      <c r="Q1116" s="6" t="n">
        <v>-18.58</v>
      </c>
      <c r="R1116" s="20" t="n">
        <f aca="false">(L1116-K1116)/K1116</f>
        <v>0.0568090032846912</v>
      </c>
    </row>
    <row r="1117" customFormat="false" ht="15" hidden="false" customHeight="false" outlineLevel="0" collapsed="false">
      <c r="A1117" s="6" t="s">
        <v>1279</v>
      </c>
      <c r="B1117" s="6" t="n">
        <v>50</v>
      </c>
      <c r="C1117" s="6" t="s">
        <v>159</v>
      </c>
      <c r="D1117" s="6" t="s">
        <v>144</v>
      </c>
      <c r="E1117" s="6" t="s">
        <v>89</v>
      </c>
      <c r="F1117" s="6" t="s">
        <v>151</v>
      </c>
      <c r="G1117" s="6" t="n">
        <v>28</v>
      </c>
      <c r="H1117" s="6" t="s">
        <v>82</v>
      </c>
      <c r="I1117" s="6" t="s">
        <v>80</v>
      </c>
      <c r="J1117" s="6" t="s">
        <v>60</v>
      </c>
      <c r="K1117" s="6" t="n">
        <v>115435</v>
      </c>
      <c r="L1117" s="6" t="n">
        <v>151675</v>
      </c>
      <c r="M1117" s="6" t="s">
        <v>142</v>
      </c>
      <c r="N1117" s="6" t="n">
        <v>43</v>
      </c>
      <c r="O1117" s="6" t="s">
        <v>58</v>
      </c>
      <c r="P1117" s="6" t="n">
        <v>9</v>
      </c>
      <c r="Q1117" s="6" t="n">
        <v>3.76</v>
      </c>
      <c r="R1117" s="20" t="n">
        <f aca="false">(L1117-K1117)/K1117</f>
        <v>0.31394291159527</v>
      </c>
    </row>
    <row r="1118" customFormat="false" ht="15" hidden="false" customHeight="false" outlineLevel="0" collapsed="false">
      <c r="A1118" s="6" t="s">
        <v>1280</v>
      </c>
      <c r="B1118" s="6" t="n">
        <v>33</v>
      </c>
      <c r="C1118" s="6" t="s">
        <v>139</v>
      </c>
      <c r="D1118" s="6" t="s">
        <v>144</v>
      </c>
      <c r="E1118" s="6" t="s">
        <v>93</v>
      </c>
      <c r="F1118" s="6" t="s">
        <v>197</v>
      </c>
      <c r="G1118" s="6" t="n">
        <v>11</v>
      </c>
      <c r="H1118" s="6" t="s">
        <v>80</v>
      </c>
      <c r="I1118" s="6" t="s">
        <v>81</v>
      </c>
      <c r="J1118" s="6" t="s">
        <v>60</v>
      </c>
      <c r="K1118" s="6" t="n">
        <v>38593</v>
      </c>
      <c r="L1118" s="6" t="n">
        <v>41279</v>
      </c>
      <c r="M1118" s="6" t="s">
        <v>146</v>
      </c>
      <c r="N1118" s="6" t="n">
        <v>46</v>
      </c>
      <c r="O1118" s="6" t="s">
        <v>60</v>
      </c>
      <c r="P1118" s="6" t="n">
        <v>5</v>
      </c>
      <c r="Q1118" s="6" t="n">
        <v>-3.83</v>
      </c>
      <c r="R1118" s="20" t="n">
        <f aca="false">(L1118-K1118)/K1118</f>
        <v>0.0695981136475527</v>
      </c>
    </row>
    <row r="1119" customFormat="false" ht="15" hidden="false" customHeight="false" outlineLevel="0" collapsed="false">
      <c r="A1119" s="6" t="s">
        <v>1281</v>
      </c>
      <c r="B1119" s="6" t="n">
        <v>56</v>
      </c>
      <c r="C1119" s="6" t="s">
        <v>139</v>
      </c>
      <c r="D1119" s="6" t="s">
        <v>144</v>
      </c>
      <c r="E1119" s="6" t="s">
        <v>93</v>
      </c>
      <c r="F1119" s="6" t="s">
        <v>197</v>
      </c>
      <c r="G1119" s="6" t="n">
        <v>33</v>
      </c>
      <c r="H1119" s="6" t="s">
        <v>80</v>
      </c>
      <c r="I1119" s="6" t="s">
        <v>82</v>
      </c>
      <c r="J1119" s="6" t="s">
        <v>58</v>
      </c>
      <c r="K1119" s="6" t="n">
        <v>56853</v>
      </c>
      <c r="L1119" s="6" t="n">
        <v>59014</v>
      </c>
      <c r="M1119" s="6" t="s">
        <v>142</v>
      </c>
      <c r="N1119" s="6" t="n">
        <v>39</v>
      </c>
      <c r="O1119" s="6" t="s">
        <v>60</v>
      </c>
      <c r="P1119" s="6" t="n">
        <v>4</v>
      </c>
      <c r="Q1119" s="6" t="n">
        <v>-13.83</v>
      </c>
      <c r="R1119" s="20" t="n">
        <f aca="false">(L1119-K1119)/K1119</f>
        <v>0.0380103072836966</v>
      </c>
    </row>
    <row r="1120" customFormat="false" ht="15" hidden="false" customHeight="false" outlineLevel="0" collapsed="false">
      <c r="A1120" s="6" t="s">
        <v>1282</v>
      </c>
      <c r="B1120" s="6" t="n">
        <v>37</v>
      </c>
      <c r="C1120" s="6" t="s">
        <v>159</v>
      </c>
      <c r="D1120" s="6" t="s">
        <v>148</v>
      </c>
      <c r="E1120" s="6" t="s">
        <v>87</v>
      </c>
      <c r="F1120" s="6" t="s">
        <v>149</v>
      </c>
      <c r="G1120" s="6" t="n">
        <v>15</v>
      </c>
      <c r="H1120" s="6" t="s">
        <v>82</v>
      </c>
      <c r="I1120" s="6" t="s">
        <v>80</v>
      </c>
      <c r="J1120" s="6" t="s">
        <v>58</v>
      </c>
      <c r="K1120" s="6" t="n">
        <v>60815</v>
      </c>
      <c r="L1120" s="6" t="n">
        <v>66637</v>
      </c>
      <c r="M1120" s="6" t="s">
        <v>142</v>
      </c>
      <c r="N1120" s="6" t="n">
        <v>45</v>
      </c>
      <c r="O1120" s="6" t="s">
        <v>60</v>
      </c>
      <c r="P1120" s="6" t="n">
        <v>4</v>
      </c>
      <c r="Q1120" s="6" t="n">
        <v>-9.15</v>
      </c>
      <c r="R1120" s="20" t="n">
        <f aca="false">(L1120-K1120)/K1120</f>
        <v>0.0957329606182685</v>
      </c>
    </row>
    <row r="1121" customFormat="false" ht="15" hidden="false" customHeight="false" outlineLevel="0" collapsed="false">
      <c r="A1121" s="6" t="s">
        <v>1283</v>
      </c>
      <c r="B1121" s="6" t="n">
        <v>33</v>
      </c>
      <c r="C1121" s="6" t="s">
        <v>134</v>
      </c>
      <c r="D1121" s="6" t="s">
        <v>140</v>
      </c>
      <c r="E1121" s="6" t="s">
        <v>89</v>
      </c>
      <c r="F1121" s="6" t="s">
        <v>162</v>
      </c>
      <c r="G1121" s="6" t="n">
        <v>7</v>
      </c>
      <c r="H1121" s="6" t="s">
        <v>81</v>
      </c>
      <c r="I1121" s="6" t="s">
        <v>80</v>
      </c>
      <c r="J1121" s="6" t="s">
        <v>60</v>
      </c>
      <c r="K1121" s="6" t="n">
        <v>63349</v>
      </c>
      <c r="L1121" s="6" t="n">
        <v>67697</v>
      </c>
      <c r="M1121" s="6" t="s">
        <v>142</v>
      </c>
      <c r="N1121" s="6" t="n">
        <v>43</v>
      </c>
      <c r="O1121" s="6" t="s">
        <v>60</v>
      </c>
      <c r="P1121" s="6" t="n">
        <v>4</v>
      </c>
      <c r="Q1121" s="6" t="n">
        <v>13.16</v>
      </c>
      <c r="R1121" s="20" t="n">
        <f aca="false">(L1121-K1121)/K1121</f>
        <v>0.0686356532857662</v>
      </c>
    </row>
    <row r="1122" customFormat="false" ht="15" hidden="false" customHeight="false" outlineLevel="0" collapsed="false">
      <c r="A1122" s="6" t="s">
        <v>1284</v>
      </c>
      <c r="B1122" s="6" t="n">
        <v>50</v>
      </c>
      <c r="C1122" s="6" t="s">
        <v>139</v>
      </c>
      <c r="D1122" s="6" t="s">
        <v>140</v>
      </c>
      <c r="E1122" s="6" t="s">
        <v>90</v>
      </c>
      <c r="F1122" s="6" t="s">
        <v>145</v>
      </c>
      <c r="G1122" s="6" t="n">
        <v>26</v>
      </c>
      <c r="H1122" s="6" t="s">
        <v>80</v>
      </c>
      <c r="I1122" s="6" t="s">
        <v>81</v>
      </c>
      <c r="J1122" s="6" t="s">
        <v>60</v>
      </c>
      <c r="K1122" s="6" t="n">
        <v>98371</v>
      </c>
      <c r="L1122" s="6" t="n">
        <v>93931</v>
      </c>
      <c r="M1122" s="6" t="s">
        <v>146</v>
      </c>
      <c r="N1122" s="6" t="n">
        <v>52</v>
      </c>
      <c r="O1122" s="6" t="s">
        <v>60</v>
      </c>
      <c r="P1122" s="6" t="n">
        <v>4</v>
      </c>
      <c r="Q1122" s="6" t="n">
        <v>15.72</v>
      </c>
      <c r="R1122" s="20" t="n">
        <f aca="false">(L1122-K1122)/K1122</f>
        <v>-0.0451352532758638</v>
      </c>
    </row>
    <row r="1123" customFormat="false" ht="15" hidden="false" customHeight="false" outlineLevel="0" collapsed="false">
      <c r="A1123" s="6" t="s">
        <v>1285</v>
      </c>
      <c r="B1123" s="6" t="n">
        <v>32</v>
      </c>
      <c r="C1123" s="6" t="s">
        <v>159</v>
      </c>
      <c r="D1123" s="6" t="s">
        <v>135</v>
      </c>
      <c r="E1123" s="6" t="s">
        <v>91</v>
      </c>
      <c r="F1123" s="6" t="s">
        <v>141</v>
      </c>
      <c r="G1123" s="6" t="n">
        <v>10</v>
      </c>
      <c r="H1123" s="6" t="s">
        <v>82</v>
      </c>
      <c r="I1123" s="6" t="s">
        <v>82</v>
      </c>
      <c r="J1123" s="6" t="s">
        <v>58</v>
      </c>
      <c r="K1123" s="6" t="n">
        <v>42062</v>
      </c>
      <c r="L1123" s="6" t="n">
        <v>40922</v>
      </c>
      <c r="M1123" s="6" t="s">
        <v>146</v>
      </c>
      <c r="N1123" s="6" t="n">
        <v>52</v>
      </c>
      <c r="O1123" s="6" t="s">
        <v>60</v>
      </c>
      <c r="P1123" s="6" t="n">
        <v>9</v>
      </c>
      <c r="Q1123" s="6" t="n">
        <v>16.24</v>
      </c>
      <c r="R1123" s="20" t="n">
        <f aca="false">(L1123-K1123)/K1123</f>
        <v>-0.0271028481765014</v>
      </c>
    </row>
    <row r="1124" customFormat="false" ht="15" hidden="false" customHeight="false" outlineLevel="0" collapsed="false">
      <c r="A1124" s="6" t="s">
        <v>1286</v>
      </c>
      <c r="B1124" s="6" t="n">
        <v>44</v>
      </c>
      <c r="C1124" s="6" t="s">
        <v>159</v>
      </c>
      <c r="D1124" s="6" t="s">
        <v>148</v>
      </c>
      <c r="E1124" s="6" t="s">
        <v>91</v>
      </c>
      <c r="F1124" s="6" t="s">
        <v>206</v>
      </c>
      <c r="G1124" s="6" t="n">
        <v>22</v>
      </c>
      <c r="H1124" s="6" t="s">
        <v>80</v>
      </c>
      <c r="I1124" s="6" t="s">
        <v>80</v>
      </c>
      <c r="J1124" s="6" t="s">
        <v>58</v>
      </c>
      <c r="K1124" s="6" t="n">
        <v>40940</v>
      </c>
      <c r="L1124" s="6" t="n">
        <v>41384</v>
      </c>
      <c r="M1124" s="6" t="s">
        <v>142</v>
      </c>
      <c r="N1124" s="6" t="n">
        <v>36</v>
      </c>
      <c r="O1124" s="6" t="s">
        <v>58</v>
      </c>
      <c r="P1124" s="6" t="n">
        <v>3</v>
      </c>
      <c r="Q1124" s="6" t="n">
        <v>-17.54</v>
      </c>
      <c r="R1124" s="20" t="n">
        <f aca="false">(L1124-K1124)/K1124</f>
        <v>0.0108451392281387</v>
      </c>
    </row>
    <row r="1125" customFormat="false" ht="15" hidden="false" customHeight="false" outlineLevel="0" collapsed="false">
      <c r="A1125" s="6" t="s">
        <v>1287</v>
      </c>
      <c r="B1125" s="6" t="n">
        <v>51</v>
      </c>
      <c r="C1125" s="6" t="s">
        <v>159</v>
      </c>
      <c r="D1125" s="6" t="s">
        <v>148</v>
      </c>
      <c r="E1125" s="6" t="s">
        <v>93</v>
      </c>
      <c r="F1125" s="6" t="s">
        <v>164</v>
      </c>
      <c r="G1125" s="6" t="n">
        <v>29</v>
      </c>
      <c r="H1125" s="6" t="s">
        <v>82</v>
      </c>
      <c r="I1125" s="6" t="s">
        <v>82</v>
      </c>
      <c r="J1125" s="6" t="s">
        <v>60</v>
      </c>
      <c r="K1125" s="6" t="n">
        <v>104554</v>
      </c>
      <c r="L1125" s="6" t="n">
        <v>100458</v>
      </c>
      <c r="M1125" s="6" t="s">
        <v>146</v>
      </c>
      <c r="N1125" s="6" t="n">
        <v>52</v>
      </c>
      <c r="O1125" s="6" t="s">
        <v>60</v>
      </c>
      <c r="P1125" s="6" t="n">
        <v>7</v>
      </c>
      <c r="Q1125" s="6" t="n">
        <v>28.69</v>
      </c>
      <c r="R1125" s="20" t="n">
        <f aca="false">(L1125-K1125)/K1125</f>
        <v>-0.0391759282284752</v>
      </c>
    </row>
    <row r="1126" customFormat="false" ht="15" hidden="false" customHeight="false" outlineLevel="0" collapsed="false">
      <c r="A1126" s="6" t="s">
        <v>1288</v>
      </c>
      <c r="B1126" s="6" t="n">
        <v>48</v>
      </c>
      <c r="C1126" s="6" t="s">
        <v>159</v>
      </c>
      <c r="D1126" s="6" t="s">
        <v>148</v>
      </c>
      <c r="E1126" s="6" t="s">
        <v>89</v>
      </c>
      <c r="F1126" s="6" t="s">
        <v>151</v>
      </c>
      <c r="G1126" s="6" t="n">
        <v>24</v>
      </c>
      <c r="H1126" s="6" t="s">
        <v>82</v>
      </c>
      <c r="I1126" s="6" t="s">
        <v>80</v>
      </c>
      <c r="J1126" s="6" t="s">
        <v>60</v>
      </c>
      <c r="K1126" s="6" t="n">
        <v>91245</v>
      </c>
      <c r="L1126" s="6" t="n">
        <v>124131</v>
      </c>
      <c r="M1126" s="6" t="s">
        <v>142</v>
      </c>
      <c r="N1126" s="6" t="n">
        <v>44</v>
      </c>
      <c r="O1126" s="6" t="s">
        <v>60</v>
      </c>
      <c r="P1126" s="6" t="n">
        <v>5</v>
      </c>
      <c r="Q1126" s="6" t="n">
        <v>25.98</v>
      </c>
      <c r="R1126" s="20" t="n">
        <f aca="false">(L1126-K1126)/K1126</f>
        <v>0.360414269275029</v>
      </c>
    </row>
    <row r="1127" customFormat="false" ht="15" hidden="false" customHeight="false" outlineLevel="0" collapsed="false">
      <c r="A1127" s="6" t="s">
        <v>1289</v>
      </c>
      <c r="B1127" s="6" t="n">
        <v>59</v>
      </c>
      <c r="C1127" s="6" t="s">
        <v>134</v>
      </c>
      <c r="D1127" s="6" t="s">
        <v>148</v>
      </c>
      <c r="E1127" s="6" t="s">
        <v>87</v>
      </c>
      <c r="F1127" s="6" t="s">
        <v>160</v>
      </c>
      <c r="G1127" s="6" t="n">
        <v>35</v>
      </c>
      <c r="H1127" s="6" t="s">
        <v>82</v>
      </c>
      <c r="I1127" s="6" t="s">
        <v>81</v>
      </c>
      <c r="J1127" s="6" t="s">
        <v>58</v>
      </c>
      <c r="K1127" s="6" t="n">
        <v>50968</v>
      </c>
      <c r="L1127" s="6" t="n">
        <v>62607</v>
      </c>
      <c r="M1127" s="6" t="s">
        <v>146</v>
      </c>
      <c r="N1127" s="6" t="n">
        <v>39</v>
      </c>
      <c r="O1127" s="6" t="s">
        <v>58</v>
      </c>
      <c r="P1127" s="6" t="n">
        <v>3</v>
      </c>
      <c r="Q1127" s="6" t="n">
        <v>35.48</v>
      </c>
      <c r="R1127" s="20" t="n">
        <f aca="false">(L1127-K1127)/K1127</f>
        <v>0.228358970334327</v>
      </c>
    </row>
    <row r="1128" customFormat="false" ht="15" hidden="false" customHeight="false" outlineLevel="0" collapsed="false">
      <c r="A1128" s="6" t="s">
        <v>1290</v>
      </c>
      <c r="B1128" s="6" t="n">
        <v>33</v>
      </c>
      <c r="C1128" s="6" t="s">
        <v>139</v>
      </c>
      <c r="D1128" s="6" t="s">
        <v>140</v>
      </c>
      <c r="E1128" s="6" t="s">
        <v>87</v>
      </c>
      <c r="F1128" s="6" t="s">
        <v>149</v>
      </c>
      <c r="G1128" s="6" t="n">
        <v>7</v>
      </c>
      <c r="H1128" s="6" t="s">
        <v>80</v>
      </c>
      <c r="I1128" s="6" t="s">
        <v>82</v>
      </c>
      <c r="J1128" s="6" t="s">
        <v>58</v>
      </c>
      <c r="K1128" s="6" t="n">
        <v>116338</v>
      </c>
      <c r="L1128" s="6" t="n">
        <v>118940</v>
      </c>
      <c r="M1128" s="6" t="s">
        <v>142</v>
      </c>
      <c r="N1128" s="6" t="n">
        <v>53</v>
      </c>
      <c r="O1128" s="6" t="s">
        <v>58</v>
      </c>
      <c r="P1128" s="6" t="n">
        <v>9</v>
      </c>
      <c r="Q1128" s="6" t="n">
        <v>17.35</v>
      </c>
      <c r="R1128" s="20" t="n">
        <f aca="false">(L1128-K1128)/K1128</f>
        <v>0.0223658649796283</v>
      </c>
    </row>
    <row r="1129" customFormat="false" ht="15" hidden="false" customHeight="false" outlineLevel="0" collapsed="false">
      <c r="A1129" s="6" t="s">
        <v>1291</v>
      </c>
      <c r="B1129" s="6" t="n">
        <v>27</v>
      </c>
      <c r="C1129" s="6" t="s">
        <v>159</v>
      </c>
      <c r="D1129" s="6" t="s">
        <v>135</v>
      </c>
      <c r="E1129" s="6" t="s">
        <v>89</v>
      </c>
      <c r="F1129" s="6" t="s">
        <v>162</v>
      </c>
      <c r="G1129" s="6" t="n">
        <v>4</v>
      </c>
      <c r="H1129" s="6" t="s">
        <v>81</v>
      </c>
      <c r="I1129" s="6" t="s">
        <v>81</v>
      </c>
      <c r="J1129" s="6" t="s">
        <v>58</v>
      </c>
      <c r="K1129" s="6" t="n">
        <v>32739</v>
      </c>
      <c r="L1129" s="6" t="n">
        <v>33232</v>
      </c>
      <c r="M1129" s="6" t="s">
        <v>146</v>
      </c>
      <c r="N1129" s="6" t="n">
        <v>51</v>
      </c>
      <c r="O1129" s="6" t="s">
        <v>58</v>
      </c>
      <c r="P1129" s="6" t="n">
        <v>3</v>
      </c>
      <c r="Q1129" s="6" t="n">
        <v>5.46</v>
      </c>
      <c r="R1129" s="20" t="n">
        <f aca="false">(L1129-K1129)/K1129</f>
        <v>0.0150584929289227</v>
      </c>
    </row>
    <row r="1130" customFormat="false" ht="15" hidden="false" customHeight="false" outlineLevel="0" collapsed="false">
      <c r="A1130" s="6" t="s">
        <v>1292</v>
      </c>
      <c r="B1130" s="6" t="n">
        <v>33</v>
      </c>
      <c r="C1130" s="6" t="s">
        <v>159</v>
      </c>
      <c r="D1130" s="6" t="s">
        <v>148</v>
      </c>
      <c r="E1130" s="6" t="s">
        <v>87</v>
      </c>
      <c r="F1130" s="6" t="s">
        <v>160</v>
      </c>
      <c r="G1130" s="6" t="n">
        <v>7</v>
      </c>
      <c r="H1130" s="6" t="s">
        <v>81</v>
      </c>
      <c r="I1130" s="6" t="s">
        <v>80</v>
      </c>
      <c r="J1130" s="6" t="s">
        <v>58</v>
      </c>
      <c r="K1130" s="6" t="n">
        <v>57785</v>
      </c>
      <c r="L1130" s="6" t="n">
        <v>64245</v>
      </c>
      <c r="M1130" s="6" t="s">
        <v>142</v>
      </c>
      <c r="N1130" s="6" t="n">
        <v>51</v>
      </c>
      <c r="O1130" s="6" t="s">
        <v>60</v>
      </c>
      <c r="P1130" s="6" t="n">
        <v>6</v>
      </c>
      <c r="Q1130" s="6" t="n">
        <v>-5.71</v>
      </c>
      <c r="R1130" s="20" t="n">
        <f aca="false">(L1130-K1130)/K1130</f>
        <v>0.111793718092931</v>
      </c>
    </row>
    <row r="1131" customFormat="false" ht="15" hidden="false" customHeight="false" outlineLevel="0" collapsed="false">
      <c r="A1131" s="6" t="s">
        <v>1293</v>
      </c>
      <c r="B1131" s="6" t="n">
        <v>42</v>
      </c>
      <c r="C1131" s="6" t="s">
        <v>134</v>
      </c>
      <c r="D1131" s="6" t="s">
        <v>148</v>
      </c>
      <c r="E1131" s="6" t="s">
        <v>93</v>
      </c>
      <c r="F1131" s="6" t="s">
        <v>181</v>
      </c>
      <c r="G1131" s="6" t="n">
        <v>16</v>
      </c>
      <c r="H1131" s="6" t="s">
        <v>82</v>
      </c>
      <c r="I1131" s="6" t="s">
        <v>82</v>
      </c>
      <c r="J1131" s="6" t="s">
        <v>58</v>
      </c>
      <c r="K1131" s="6" t="n">
        <v>105379</v>
      </c>
      <c r="L1131" s="6" t="n">
        <v>107813</v>
      </c>
      <c r="M1131" s="6" t="s">
        <v>146</v>
      </c>
      <c r="N1131" s="6" t="n">
        <v>44</v>
      </c>
      <c r="O1131" s="6" t="s">
        <v>60</v>
      </c>
      <c r="P1131" s="6" t="n">
        <v>3</v>
      </c>
      <c r="Q1131" s="6" t="n">
        <v>-18.45</v>
      </c>
      <c r="R1131" s="20" t="n">
        <f aca="false">(L1131-K1131)/K1131</f>
        <v>0.0230975811119863</v>
      </c>
    </row>
    <row r="1132" customFormat="false" ht="15" hidden="false" customHeight="false" outlineLevel="0" collapsed="false">
      <c r="A1132" s="6" t="s">
        <v>1294</v>
      </c>
      <c r="B1132" s="6" t="n">
        <v>50</v>
      </c>
      <c r="C1132" s="6" t="s">
        <v>159</v>
      </c>
      <c r="D1132" s="6" t="s">
        <v>144</v>
      </c>
      <c r="E1132" s="6" t="s">
        <v>88</v>
      </c>
      <c r="F1132" s="6" t="s">
        <v>179</v>
      </c>
      <c r="G1132" s="6" t="n">
        <v>28</v>
      </c>
      <c r="H1132" s="6" t="s">
        <v>80</v>
      </c>
      <c r="I1132" s="6" t="s">
        <v>81</v>
      </c>
      <c r="J1132" s="6" t="s">
        <v>60</v>
      </c>
      <c r="K1132" s="6" t="n">
        <v>112886</v>
      </c>
      <c r="L1132" s="6" t="n">
        <v>115275</v>
      </c>
      <c r="M1132" s="6" t="s">
        <v>146</v>
      </c>
      <c r="N1132" s="6" t="n">
        <v>46</v>
      </c>
      <c r="O1132" s="6" t="s">
        <v>60</v>
      </c>
      <c r="P1132" s="6" t="n">
        <v>5</v>
      </c>
      <c r="Q1132" s="6" t="n">
        <v>-19.4</v>
      </c>
      <c r="R1132" s="20" t="n">
        <f aca="false">(L1132-K1132)/K1132</f>
        <v>0.0211629431461829</v>
      </c>
    </row>
    <row r="1133" customFormat="false" ht="15" hidden="false" customHeight="false" outlineLevel="0" collapsed="false">
      <c r="A1133" s="6" t="s">
        <v>1295</v>
      </c>
      <c r="B1133" s="6" t="n">
        <v>25</v>
      </c>
      <c r="C1133" s="6" t="s">
        <v>159</v>
      </c>
      <c r="D1133" s="6" t="s">
        <v>135</v>
      </c>
      <c r="E1133" s="6" t="s">
        <v>90</v>
      </c>
      <c r="F1133" s="6" t="s">
        <v>202</v>
      </c>
      <c r="G1133" s="6" t="n">
        <v>0</v>
      </c>
      <c r="H1133" s="6" t="s">
        <v>82</v>
      </c>
      <c r="I1133" s="6" t="s">
        <v>81</v>
      </c>
      <c r="J1133" s="6" t="s">
        <v>60</v>
      </c>
      <c r="K1133" s="6" t="n">
        <v>98827</v>
      </c>
      <c r="L1133" s="6" t="n">
        <v>133325</v>
      </c>
      <c r="M1133" s="6" t="s">
        <v>146</v>
      </c>
      <c r="N1133" s="6" t="n">
        <v>44</v>
      </c>
      <c r="O1133" s="6" t="s">
        <v>60</v>
      </c>
      <c r="P1133" s="6" t="n">
        <v>7</v>
      </c>
      <c r="Q1133" s="6" t="n">
        <v>31.27</v>
      </c>
      <c r="R1133" s="20" t="n">
        <f aca="false">(L1133-K1133)/K1133</f>
        <v>0.349074645592804</v>
      </c>
    </row>
    <row r="1134" customFormat="false" ht="15" hidden="false" customHeight="false" outlineLevel="0" collapsed="false">
      <c r="A1134" s="6" t="s">
        <v>1296</v>
      </c>
      <c r="B1134" s="6" t="n">
        <v>45</v>
      </c>
      <c r="C1134" s="6" t="s">
        <v>139</v>
      </c>
      <c r="D1134" s="6" t="s">
        <v>135</v>
      </c>
      <c r="E1134" s="6" t="s">
        <v>92</v>
      </c>
      <c r="F1134" s="6" t="s">
        <v>222</v>
      </c>
      <c r="G1134" s="6" t="n">
        <v>23</v>
      </c>
      <c r="H1134" s="6" t="s">
        <v>80</v>
      </c>
      <c r="I1134" s="6" t="s">
        <v>82</v>
      </c>
      <c r="J1134" s="6" t="s">
        <v>58</v>
      </c>
      <c r="K1134" s="6" t="n">
        <v>35409</v>
      </c>
      <c r="L1134" s="6" t="n">
        <v>37882</v>
      </c>
      <c r="M1134" s="6" t="s">
        <v>142</v>
      </c>
      <c r="N1134" s="6" t="n">
        <v>47</v>
      </c>
      <c r="O1134" s="6" t="s">
        <v>58</v>
      </c>
      <c r="P1134" s="6" t="n">
        <v>9</v>
      </c>
      <c r="Q1134" s="6" t="n">
        <v>10.51</v>
      </c>
      <c r="R1134" s="20" t="n">
        <f aca="false">(L1134-K1134)/K1134</f>
        <v>0.0698410008754836</v>
      </c>
    </row>
    <row r="1135" customFormat="false" ht="15" hidden="false" customHeight="false" outlineLevel="0" collapsed="false">
      <c r="A1135" s="6" t="s">
        <v>1297</v>
      </c>
      <c r="B1135" s="6" t="n">
        <v>23</v>
      </c>
      <c r="C1135" s="6" t="s">
        <v>134</v>
      </c>
      <c r="D1135" s="6" t="s">
        <v>144</v>
      </c>
      <c r="E1135" s="6" t="s">
        <v>90</v>
      </c>
      <c r="F1135" s="6" t="s">
        <v>236</v>
      </c>
      <c r="G1135" s="6" t="n">
        <v>1</v>
      </c>
      <c r="H1135" s="6" t="s">
        <v>81</v>
      </c>
      <c r="I1135" s="6" t="s">
        <v>82</v>
      </c>
      <c r="J1135" s="6" t="s">
        <v>58</v>
      </c>
      <c r="K1135" s="6" t="n">
        <v>56145</v>
      </c>
      <c r="L1135" s="6" t="n">
        <v>54331</v>
      </c>
      <c r="M1135" s="6" t="s">
        <v>142</v>
      </c>
      <c r="N1135" s="6" t="n">
        <v>36</v>
      </c>
      <c r="O1135" s="6" t="s">
        <v>58</v>
      </c>
      <c r="P1135" s="6" t="n">
        <v>7</v>
      </c>
      <c r="Q1135" s="6" t="n">
        <v>-7.29</v>
      </c>
      <c r="R1135" s="20" t="n">
        <f aca="false">(L1135-K1135)/K1135</f>
        <v>-0.0323091993944252</v>
      </c>
    </row>
    <row r="1136" customFormat="false" ht="15" hidden="false" customHeight="false" outlineLevel="0" collapsed="false">
      <c r="A1136" s="6" t="s">
        <v>1298</v>
      </c>
      <c r="B1136" s="6" t="n">
        <v>37</v>
      </c>
      <c r="C1136" s="6" t="s">
        <v>139</v>
      </c>
      <c r="D1136" s="6" t="s">
        <v>140</v>
      </c>
      <c r="E1136" s="6" t="s">
        <v>89</v>
      </c>
      <c r="F1136" s="6" t="s">
        <v>151</v>
      </c>
      <c r="G1136" s="6" t="n">
        <v>11</v>
      </c>
      <c r="H1136" s="6" t="s">
        <v>82</v>
      </c>
      <c r="I1136" s="6" t="s">
        <v>82</v>
      </c>
      <c r="J1136" s="6" t="s">
        <v>58</v>
      </c>
      <c r="K1136" s="6" t="n">
        <v>53332</v>
      </c>
      <c r="L1136" s="6" t="n">
        <v>74618</v>
      </c>
      <c r="M1136" s="6" t="s">
        <v>137</v>
      </c>
      <c r="N1136" s="6" t="n">
        <v>53</v>
      </c>
      <c r="O1136" s="6" t="s">
        <v>58</v>
      </c>
      <c r="P1136" s="6" t="n">
        <v>9</v>
      </c>
      <c r="Q1136" s="6" t="n">
        <v>-18.51</v>
      </c>
      <c r="R1136" s="20" t="n">
        <f aca="false">(L1136-K1136)/K1136</f>
        <v>0.399122478061952</v>
      </c>
    </row>
    <row r="1137" customFormat="false" ht="15" hidden="false" customHeight="false" outlineLevel="0" collapsed="false">
      <c r="A1137" s="6" t="s">
        <v>1299</v>
      </c>
      <c r="B1137" s="6" t="n">
        <v>59</v>
      </c>
      <c r="C1137" s="6" t="s">
        <v>134</v>
      </c>
      <c r="D1137" s="6" t="s">
        <v>144</v>
      </c>
      <c r="E1137" s="6" t="s">
        <v>89</v>
      </c>
      <c r="F1137" s="6" t="s">
        <v>162</v>
      </c>
      <c r="G1137" s="6" t="n">
        <v>33</v>
      </c>
      <c r="H1137" s="6" t="s">
        <v>81</v>
      </c>
      <c r="I1137" s="6" t="s">
        <v>81</v>
      </c>
      <c r="J1137" s="6" t="s">
        <v>60</v>
      </c>
      <c r="K1137" s="6" t="n">
        <v>36372</v>
      </c>
      <c r="L1137" s="6" t="n">
        <v>38786</v>
      </c>
      <c r="M1137" s="6" t="s">
        <v>146</v>
      </c>
      <c r="N1137" s="6" t="n">
        <v>40</v>
      </c>
      <c r="O1137" s="6" t="s">
        <v>60</v>
      </c>
      <c r="P1137" s="6" t="n">
        <v>7</v>
      </c>
      <c r="Q1137" s="6" t="n">
        <v>34.1</v>
      </c>
      <c r="R1137" s="20" t="n">
        <f aca="false">(L1137-K1137)/K1137</f>
        <v>0.066369734960959</v>
      </c>
    </row>
    <row r="1138" customFormat="false" ht="15" hidden="false" customHeight="false" outlineLevel="0" collapsed="false">
      <c r="A1138" s="6" t="s">
        <v>1300</v>
      </c>
      <c r="B1138" s="6" t="n">
        <v>47</v>
      </c>
      <c r="C1138" s="6" t="s">
        <v>134</v>
      </c>
      <c r="D1138" s="6" t="s">
        <v>140</v>
      </c>
      <c r="E1138" s="6" t="s">
        <v>91</v>
      </c>
      <c r="F1138" s="6" t="s">
        <v>208</v>
      </c>
      <c r="G1138" s="6" t="n">
        <v>25</v>
      </c>
      <c r="H1138" s="6" t="s">
        <v>82</v>
      </c>
      <c r="I1138" s="6" t="s">
        <v>82</v>
      </c>
      <c r="J1138" s="6" t="s">
        <v>60</v>
      </c>
      <c r="K1138" s="6" t="n">
        <v>99586</v>
      </c>
      <c r="L1138" s="6" t="n">
        <v>119661</v>
      </c>
      <c r="M1138" s="6" t="s">
        <v>146</v>
      </c>
      <c r="N1138" s="6" t="n">
        <v>41</v>
      </c>
      <c r="O1138" s="6" t="s">
        <v>60</v>
      </c>
      <c r="P1138" s="6" t="n">
        <v>4</v>
      </c>
      <c r="Q1138" s="6" t="n">
        <v>33.3</v>
      </c>
      <c r="R1138" s="20" t="n">
        <f aca="false">(L1138-K1138)/K1138</f>
        <v>0.201584560078726</v>
      </c>
    </row>
    <row r="1139" customFormat="false" ht="15" hidden="false" customHeight="false" outlineLevel="0" collapsed="false">
      <c r="A1139" s="6" t="s">
        <v>1301</v>
      </c>
      <c r="B1139" s="6" t="n">
        <v>40</v>
      </c>
      <c r="C1139" s="6" t="s">
        <v>159</v>
      </c>
      <c r="D1139" s="6" t="s">
        <v>144</v>
      </c>
      <c r="E1139" s="6" t="s">
        <v>89</v>
      </c>
      <c r="F1139" s="6" t="s">
        <v>151</v>
      </c>
      <c r="G1139" s="6" t="n">
        <v>15</v>
      </c>
      <c r="H1139" s="6" t="s">
        <v>82</v>
      </c>
      <c r="I1139" s="6" t="s">
        <v>81</v>
      </c>
      <c r="J1139" s="6" t="s">
        <v>60</v>
      </c>
      <c r="K1139" s="6" t="n">
        <v>47733</v>
      </c>
      <c r="L1139" s="6" t="n">
        <v>61240</v>
      </c>
      <c r="M1139" s="6" t="s">
        <v>146</v>
      </c>
      <c r="N1139" s="6" t="n">
        <v>41</v>
      </c>
      <c r="O1139" s="6" t="s">
        <v>60</v>
      </c>
      <c r="P1139" s="6" t="n">
        <v>3</v>
      </c>
      <c r="Q1139" s="6" t="n">
        <v>38.04</v>
      </c>
      <c r="R1139" s="20" t="n">
        <f aca="false">(L1139-K1139)/K1139</f>
        <v>0.282969853141433</v>
      </c>
    </row>
    <row r="1140" customFormat="false" ht="15" hidden="false" customHeight="false" outlineLevel="0" collapsed="false">
      <c r="A1140" s="6" t="s">
        <v>1302</v>
      </c>
      <c r="B1140" s="6" t="n">
        <v>46</v>
      </c>
      <c r="C1140" s="6" t="s">
        <v>159</v>
      </c>
      <c r="D1140" s="6" t="s">
        <v>144</v>
      </c>
      <c r="E1140" s="6" t="s">
        <v>88</v>
      </c>
      <c r="F1140" s="6" t="s">
        <v>234</v>
      </c>
      <c r="G1140" s="6" t="n">
        <v>24</v>
      </c>
      <c r="H1140" s="6" t="s">
        <v>81</v>
      </c>
      <c r="I1140" s="6" t="s">
        <v>80</v>
      </c>
      <c r="J1140" s="6" t="s">
        <v>60</v>
      </c>
      <c r="K1140" s="6" t="n">
        <v>71152</v>
      </c>
      <c r="L1140" s="6" t="n">
        <v>74769</v>
      </c>
      <c r="M1140" s="6" t="s">
        <v>142</v>
      </c>
      <c r="N1140" s="6" t="n">
        <v>45</v>
      </c>
      <c r="O1140" s="6" t="s">
        <v>60</v>
      </c>
      <c r="P1140" s="6" t="n">
        <v>3</v>
      </c>
      <c r="Q1140" s="6" t="n">
        <v>-11.33</v>
      </c>
      <c r="R1140" s="20" t="n">
        <f aca="false">(L1140-K1140)/K1140</f>
        <v>0.050834832471329</v>
      </c>
    </row>
    <row r="1141" customFormat="false" ht="15" hidden="false" customHeight="false" outlineLevel="0" collapsed="false">
      <c r="A1141" s="6" t="s">
        <v>1303</v>
      </c>
      <c r="B1141" s="6" t="n">
        <v>22</v>
      </c>
      <c r="C1141" s="6" t="s">
        <v>159</v>
      </c>
      <c r="D1141" s="6" t="s">
        <v>140</v>
      </c>
      <c r="E1141" s="6" t="s">
        <v>87</v>
      </c>
      <c r="F1141" s="6" t="s">
        <v>149</v>
      </c>
      <c r="G1141" s="6" t="n">
        <v>0</v>
      </c>
      <c r="H1141" s="6" t="s">
        <v>81</v>
      </c>
      <c r="I1141" s="6" t="s">
        <v>82</v>
      </c>
      <c r="J1141" s="6" t="s">
        <v>58</v>
      </c>
      <c r="K1141" s="6" t="n">
        <v>73876</v>
      </c>
      <c r="L1141" s="6" t="n">
        <v>79468</v>
      </c>
      <c r="M1141" s="6" t="s">
        <v>142</v>
      </c>
      <c r="N1141" s="6" t="n">
        <v>52</v>
      </c>
      <c r="O1141" s="6" t="s">
        <v>60</v>
      </c>
      <c r="P1141" s="6" t="n">
        <v>3</v>
      </c>
      <c r="Q1141" s="6" t="n">
        <v>-19.49</v>
      </c>
      <c r="R1141" s="20" t="n">
        <f aca="false">(L1141-K1141)/K1141</f>
        <v>0.0756944068439006</v>
      </c>
    </row>
    <row r="1142" customFormat="false" ht="15" hidden="false" customHeight="false" outlineLevel="0" collapsed="false">
      <c r="A1142" s="6" t="s">
        <v>1304</v>
      </c>
      <c r="B1142" s="6" t="n">
        <v>35</v>
      </c>
      <c r="C1142" s="6" t="s">
        <v>159</v>
      </c>
      <c r="D1142" s="6" t="s">
        <v>140</v>
      </c>
      <c r="E1142" s="6" t="s">
        <v>88</v>
      </c>
      <c r="F1142" s="6" t="s">
        <v>179</v>
      </c>
      <c r="G1142" s="6" t="n">
        <v>11</v>
      </c>
      <c r="H1142" s="6" t="s">
        <v>81</v>
      </c>
      <c r="I1142" s="6" t="s">
        <v>80</v>
      </c>
      <c r="J1142" s="6" t="s">
        <v>60</v>
      </c>
      <c r="K1142" s="6" t="n">
        <v>93888</v>
      </c>
      <c r="L1142" s="6" t="n">
        <v>85990</v>
      </c>
      <c r="M1142" s="6" t="s">
        <v>142</v>
      </c>
      <c r="N1142" s="6" t="n">
        <v>39</v>
      </c>
      <c r="O1142" s="6" t="s">
        <v>60</v>
      </c>
      <c r="P1142" s="6" t="n">
        <v>4</v>
      </c>
      <c r="Q1142" s="6" t="n">
        <v>25.3</v>
      </c>
      <c r="R1142" s="20" t="n">
        <f aca="false">(L1142-K1142)/K1142</f>
        <v>-0.084121506475801</v>
      </c>
    </row>
    <row r="1143" customFormat="false" ht="15" hidden="false" customHeight="false" outlineLevel="0" collapsed="false">
      <c r="A1143" s="6" t="s">
        <v>1305</v>
      </c>
      <c r="B1143" s="6" t="n">
        <v>38</v>
      </c>
      <c r="C1143" s="6" t="s">
        <v>139</v>
      </c>
      <c r="D1143" s="6" t="s">
        <v>140</v>
      </c>
      <c r="E1143" s="6" t="s">
        <v>92</v>
      </c>
      <c r="F1143" s="6" t="s">
        <v>222</v>
      </c>
      <c r="G1143" s="6" t="n">
        <v>12</v>
      </c>
      <c r="H1143" s="6" t="s">
        <v>80</v>
      </c>
      <c r="I1143" s="6" t="s">
        <v>80</v>
      </c>
      <c r="J1143" s="6" t="s">
        <v>60</v>
      </c>
      <c r="K1143" s="6" t="n">
        <v>53704</v>
      </c>
      <c r="L1143" s="6" t="n">
        <v>54268</v>
      </c>
      <c r="M1143" s="6" t="s">
        <v>142</v>
      </c>
      <c r="N1143" s="6" t="n">
        <v>38</v>
      </c>
      <c r="O1143" s="6" t="s">
        <v>60</v>
      </c>
      <c r="P1143" s="6" t="n">
        <v>6</v>
      </c>
      <c r="Q1143" s="6" t="n">
        <v>20.59</v>
      </c>
      <c r="R1143" s="20" t="n">
        <f aca="false">(L1143-K1143)/K1143</f>
        <v>0.0105020110233875</v>
      </c>
    </row>
    <row r="1144" customFormat="false" ht="15" hidden="false" customHeight="false" outlineLevel="0" collapsed="false">
      <c r="A1144" s="6" t="s">
        <v>1306</v>
      </c>
      <c r="B1144" s="6" t="n">
        <v>27</v>
      </c>
      <c r="C1144" s="6" t="s">
        <v>134</v>
      </c>
      <c r="D1144" s="6" t="s">
        <v>148</v>
      </c>
      <c r="E1144" s="6" t="s">
        <v>89</v>
      </c>
      <c r="F1144" s="6" t="s">
        <v>162</v>
      </c>
      <c r="G1144" s="6" t="n">
        <v>2</v>
      </c>
      <c r="H1144" s="6" t="s">
        <v>82</v>
      </c>
      <c r="I1144" s="6" t="s">
        <v>81</v>
      </c>
      <c r="J1144" s="6" t="s">
        <v>60</v>
      </c>
      <c r="K1144" s="6" t="n">
        <v>117700</v>
      </c>
      <c r="L1144" s="6" t="n">
        <v>133715</v>
      </c>
      <c r="M1144" s="6" t="s">
        <v>146</v>
      </c>
      <c r="N1144" s="6" t="n">
        <v>41</v>
      </c>
      <c r="O1144" s="6" t="s">
        <v>60</v>
      </c>
      <c r="P1144" s="6" t="n">
        <v>6</v>
      </c>
      <c r="Q1144" s="6" t="n">
        <v>3.19</v>
      </c>
      <c r="R1144" s="20" t="n">
        <f aca="false">(L1144-K1144)/K1144</f>
        <v>0.13606627017842</v>
      </c>
    </row>
    <row r="1145" customFormat="false" ht="15" hidden="false" customHeight="false" outlineLevel="0" collapsed="false">
      <c r="A1145" s="6" t="s">
        <v>1307</v>
      </c>
      <c r="B1145" s="6" t="n">
        <v>54</v>
      </c>
      <c r="C1145" s="6" t="s">
        <v>159</v>
      </c>
      <c r="D1145" s="6" t="s">
        <v>148</v>
      </c>
      <c r="E1145" s="6" t="s">
        <v>87</v>
      </c>
      <c r="F1145" s="6" t="s">
        <v>149</v>
      </c>
      <c r="G1145" s="6" t="n">
        <v>29</v>
      </c>
      <c r="H1145" s="6" t="s">
        <v>81</v>
      </c>
      <c r="I1145" s="6" t="s">
        <v>81</v>
      </c>
      <c r="J1145" s="6" t="s">
        <v>58</v>
      </c>
      <c r="K1145" s="6" t="n">
        <v>77952</v>
      </c>
      <c r="L1145" s="6" t="n">
        <v>71978</v>
      </c>
      <c r="M1145" s="6" t="s">
        <v>146</v>
      </c>
      <c r="N1145" s="6" t="n">
        <v>50</v>
      </c>
      <c r="O1145" s="6" t="s">
        <v>60</v>
      </c>
      <c r="P1145" s="6" t="n">
        <v>6</v>
      </c>
      <c r="Q1145" s="6" t="n">
        <v>22.41</v>
      </c>
      <c r="R1145" s="20" t="n">
        <f aca="false">(L1145-K1145)/K1145</f>
        <v>-0.0766369047619048</v>
      </c>
    </row>
    <row r="1146" customFormat="false" ht="15" hidden="false" customHeight="false" outlineLevel="0" collapsed="false">
      <c r="A1146" s="6" t="s">
        <v>1308</v>
      </c>
      <c r="B1146" s="6" t="n">
        <v>50</v>
      </c>
      <c r="C1146" s="6" t="s">
        <v>134</v>
      </c>
      <c r="D1146" s="6" t="s">
        <v>148</v>
      </c>
      <c r="E1146" s="6" t="s">
        <v>87</v>
      </c>
      <c r="F1146" s="6" t="s">
        <v>160</v>
      </c>
      <c r="G1146" s="6" t="n">
        <v>25</v>
      </c>
      <c r="H1146" s="6" t="s">
        <v>81</v>
      </c>
      <c r="I1146" s="6" t="s">
        <v>80</v>
      </c>
      <c r="J1146" s="6" t="s">
        <v>60</v>
      </c>
      <c r="K1146" s="6" t="n">
        <v>96055</v>
      </c>
      <c r="L1146" s="6" t="n">
        <v>102843</v>
      </c>
      <c r="M1146" s="6" t="s">
        <v>142</v>
      </c>
      <c r="N1146" s="6" t="n">
        <v>35</v>
      </c>
      <c r="O1146" s="6" t="s">
        <v>58</v>
      </c>
      <c r="P1146" s="6" t="n">
        <v>4</v>
      </c>
      <c r="Q1146" s="6" t="n">
        <v>32.9</v>
      </c>
      <c r="R1146" s="20" t="n">
        <f aca="false">(L1146-K1146)/K1146</f>
        <v>0.0706678465462495</v>
      </c>
    </row>
    <row r="1147" customFormat="false" ht="15" hidden="false" customHeight="false" outlineLevel="0" collapsed="false">
      <c r="A1147" s="6" t="s">
        <v>1309</v>
      </c>
      <c r="B1147" s="6" t="n">
        <v>36</v>
      </c>
      <c r="C1147" s="6" t="s">
        <v>139</v>
      </c>
      <c r="D1147" s="6" t="s">
        <v>144</v>
      </c>
      <c r="E1147" s="6" t="s">
        <v>88</v>
      </c>
      <c r="F1147" s="6" t="s">
        <v>234</v>
      </c>
      <c r="G1147" s="6" t="n">
        <v>11</v>
      </c>
      <c r="H1147" s="6" t="s">
        <v>80</v>
      </c>
      <c r="I1147" s="6" t="s">
        <v>80</v>
      </c>
      <c r="J1147" s="6" t="s">
        <v>60</v>
      </c>
      <c r="K1147" s="6" t="n">
        <v>115193</v>
      </c>
      <c r="L1147" s="6" t="n">
        <v>120995</v>
      </c>
      <c r="M1147" s="6" t="s">
        <v>142</v>
      </c>
      <c r="N1147" s="6" t="n">
        <v>47</v>
      </c>
      <c r="O1147" s="6" t="s">
        <v>58</v>
      </c>
      <c r="P1147" s="6" t="n">
        <v>3</v>
      </c>
      <c r="Q1147" s="6" t="n">
        <v>4.62</v>
      </c>
      <c r="R1147" s="20" t="n">
        <f aca="false">(L1147-K1147)/K1147</f>
        <v>0.0503676438672489</v>
      </c>
    </row>
    <row r="1148" customFormat="false" ht="15" hidden="false" customHeight="false" outlineLevel="0" collapsed="false">
      <c r="A1148" s="6" t="s">
        <v>1310</v>
      </c>
      <c r="B1148" s="6" t="n">
        <v>26</v>
      </c>
      <c r="C1148" s="6" t="s">
        <v>159</v>
      </c>
      <c r="D1148" s="6" t="s">
        <v>144</v>
      </c>
      <c r="E1148" s="6" t="s">
        <v>93</v>
      </c>
      <c r="F1148" s="6" t="s">
        <v>164</v>
      </c>
      <c r="G1148" s="6" t="n">
        <v>3</v>
      </c>
      <c r="H1148" s="6" t="s">
        <v>81</v>
      </c>
      <c r="I1148" s="6" t="s">
        <v>80</v>
      </c>
      <c r="J1148" s="6" t="s">
        <v>58</v>
      </c>
      <c r="K1148" s="6" t="n">
        <v>71548</v>
      </c>
      <c r="L1148" s="6" t="n">
        <v>81361</v>
      </c>
      <c r="M1148" s="6" t="s">
        <v>142</v>
      </c>
      <c r="N1148" s="6" t="n">
        <v>37</v>
      </c>
      <c r="O1148" s="6" t="s">
        <v>58</v>
      </c>
      <c r="P1148" s="6" t="n">
        <v>9</v>
      </c>
      <c r="Q1148" s="6" t="n">
        <v>7.24</v>
      </c>
      <c r="R1148" s="20" t="n">
        <f aca="false">(L1148-K1148)/K1148</f>
        <v>0.13715268071784</v>
      </c>
    </row>
    <row r="1149" customFormat="false" ht="15" hidden="false" customHeight="false" outlineLevel="0" collapsed="false">
      <c r="A1149" s="6" t="s">
        <v>1311</v>
      </c>
      <c r="B1149" s="6" t="n">
        <v>51</v>
      </c>
      <c r="C1149" s="6" t="s">
        <v>139</v>
      </c>
      <c r="D1149" s="6" t="s">
        <v>140</v>
      </c>
      <c r="E1149" s="6" t="s">
        <v>90</v>
      </c>
      <c r="F1149" s="6" t="s">
        <v>202</v>
      </c>
      <c r="G1149" s="6" t="n">
        <v>27</v>
      </c>
      <c r="H1149" s="6" t="s">
        <v>81</v>
      </c>
      <c r="I1149" s="6" t="s">
        <v>82</v>
      </c>
      <c r="J1149" s="6" t="s">
        <v>60</v>
      </c>
      <c r="K1149" s="6" t="n">
        <v>60255</v>
      </c>
      <c r="L1149" s="6" t="n">
        <v>70662</v>
      </c>
      <c r="M1149" s="6" t="s">
        <v>142</v>
      </c>
      <c r="N1149" s="6" t="n">
        <v>46</v>
      </c>
      <c r="O1149" s="6" t="s">
        <v>60</v>
      </c>
      <c r="P1149" s="6" t="n">
        <v>7</v>
      </c>
      <c r="Q1149" s="6" t="n">
        <v>-18.25</v>
      </c>
      <c r="R1149" s="20" t="n">
        <f aca="false">(L1149-K1149)/K1149</f>
        <v>0.172715957181977</v>
      </c>
    </row>
    <row r="1150" customFormat="false" ht="15" hidden="false" customHeight="false" outlineLevel="0" collapsed="false">
      <c r="A1150" s="6" t="s">
        <v>1312</v>
      </c>
      <c r="B1150" s="6" t="n">
        <v>38</v>
      </c>
      <c r="C1150" s="6" t="s">
        <v>159</v>
      </c>
      <c r="D1150" s="6" t="s">
        <v>144</v>
      </c>
      <c r="E1150" s="6" t="s">
        <v>90</v>
      </c>
      <c r="F1150" s="6" t="s">
        <v>236</v>
      </c>
      <c r="G1150" s="6" t="n">
        <v>16</v>
      </c>
      <c r="H1150" s="6" t="s">
        <v>81</v>
      </c>
      <c r="I1150" s="6" t="s">
        <v>80</v>
      </c>
      <c r="J1150" s="6" t="s">
        <v>60</v>
      </c>
      <c r="K1150" s="6" t="n">
        <v>33412</v>
      </c>
      <c r="L1150" s="6" t="n">
        <v>36048</v>
      </c>
      <c r="M1150" s="6" t="s">
        <v>142</v>
      </c>
      <c r="N1150" s="6" t="n">
        <v>45</v>
      </c>
      <c r="O1150" s="6" t="s">
        <v>60</v>
      </c>
      <c r="P1150" s="6" t="n">
        <v>3</v>
      </c>
      <c r="Q1150" s="6" t="n">
        <v>1.96</v>
      </c>
      <c r="R1150" s="20" t="n">
        <f aca="false">(L1150-K1150)/K1150</f>
        <v>0.0788938106069676</v>
      </c>
    </row>
    <row r="1151" customFormat="false" ht="15" hidden="false" customHeight="false" outlineLevel="0" collapsed="false">
      <c r="A1151" s="6" t="s">
        <v>1313</v>
      </c>
      <c r="B1151" s="6" t="n">
        <v>55</v>
      </c>
      <c r="C1151" s="6" t="s">
        <v>159</v>
      </c>
      <c r="D1151" s="6" t="s">
        <v>140</v>
      </c>
      <c r="E1151" s="6" t="s">
        <v>90</v>
      </c>
      <c r="F1151" s="6" t="s">
        <v>202</v>
      </c>
      <c r="G1151" s="6" t="n">
        <v>32</v>
      </c>
      <c r="H1151" s="6" t="s">
        <v>81</v>
      </c>
      <c r="I1151" s="6" t="s">
        <v>81</v>
      </c>
      <c r="J1151" s="6" t="s">
        <v>58</v>
      </c>
      <c r="K1151" s="6" t="n">
        <v>31353</v>
      </c>
      <c r="L1151" s="6" t="n">
        <v>29431</v>
      </c>
      <c r="M1151" s="6" t="s">
        <v>146</v>
      </c>
      <c r="N1151" s="6" t="n">
        <v>46</v>
      </c>
      <c r="O1151" s="6" t="s">
        <v>60</v>
      </c>
      <c r="P1151" s="6" t="n">
        <v>5</v>
      </c>
      <c r="Q1151" s="6" t="n">
        <v>12.21</v>
      </c>
      <c r="R1151" s="20" t="n">
        <f aca="false">(L1151-K1151)/K1151</f>
        <v>-0.0613019487768316</v>
      </c>
    </row>
    <row r="1152" customFormat="false" ht="15" hidden="false" customHeight="false" outlineLevel="0" collapsed="false">
      <c r="A1152" s="6" t="s">
        <v>1314</v>
      </c>
      <c r="B1152" s="6" t="n">
        <v>44</v>
      </c>
      <c r="C1152" s="6" t="s">
        <v>139</v>
      </c>
      <c r="D1152" s="6" t="s">
        <v>148</v>
      </c>
      <c r="E1152" s="6" t="s">
        <v>90</v>
      </c>
      <c r="F1152" s="6" t="s">
        <v>145</v>
      </c>
      <c r="G1152" s="6" t="n">
        <v>20</v>
      </c>
      <c r="H1152" s="6" t="s">
        <v>82</v>
      </c>
      <c r="I1152" s="6" t="s">
        <v>81</v>
      </c>
      <c r="J1152" s="6" t="s">
        <v>58</v>
      </c>
      <c r="K1152" s="6" t="n">
        <v>56872</v>
      </c>
      <c r="L1152" s="6" t="n">
        <v>53953</v>
      </c>
      <c r="M1152" s="6" t="s">
        <v>146</v>
      </c>
      <c r="N1152" s="6" t="n">
        <v>40</v>
      </c>
      <c r="O1152" s="6" t="s">
        <v>58</v>
      </c>
      <c r="P1152" s="6" t="n">
        <v>4</v>
      </c>
      <c r="Q1152" s="6" t="n">
        <v>-17.82</v>
      </c>
      <c r="R1152" s="20" t="n">
        <f aca="false">(L1152-K1152)/K1152</f>
        <v>-0.0513257842171895</v>
      </c>
    </row>
    <row r="1153" customFormat="false" ht="15" hidden="false" customHeight="false" outlineLevel="0" collapsed="false">
      <c r="A1153" s="6" t="s">
        <v>1315</v>
      </c>
      <c r="B1153" s="6" t="n">
        <v>43</v>
      </c>
      <c r="C1153" s="6" t="s">
        <v>159</v>
      </c>
      <c r="D1153" s="6" t="s">
        <v>148</v>
      </c>
      <c r="E1153" s="6" t="s">
        <v>88</v>
      </c>
      <c r="F1153" s="6" t="s">
        <v>157</v>
      </c>
      <c r="G1153" s="6" t="n">
        <v>21</v>
      </c>
      <c r="H1153" s="6" t="s">
        <v>80</v>
      </c>
      <c r="I1153" s="6" t="s">
        <v>81</v>
      </c>
      <c r="J1153" s="6" t="s">
        <v>58</v>
      </c>
      <c r="K1153" s="6" t="n">
        <v>45438</v>
      </c>
      <c r="L1153" s="6" t="n">
        <v>46585</v>
      </c>
      <c r="M1153" s="6" t="s">
        <v>146</v>
      </c>
      <c r="N1153" s="6" t="n">
        <v>50</v>
      </c>
      <c r="O1153" s="6" t="s">
        <v>60</v>
      </c>
      <c r="P1153" s="6" t="n">
        <v>8</v>
      </c>
      <c r="Q1153" s="6" t="n">
        <v>23.53</v>
      </c>
      <c r="R1153" s="20" t="n">
        <f aca="false">(L1153-K1153)/K1153</f>
        <v>0.0252431885206215</v>
      </c>
    </row>
    <row r="1154" customFormat="false" ht="15" hidden="false" customHeight="false" outlineLevel="0" collapsed="false">
      <c r="A1154" s="6" t="s">
        <v>1316</v>
      </c>
      <c r="B1154" s="6" t="n">
        <v>27</v>
      </c>
      <c r="C1154" s="6" t="s">
        <v>159</v>
      </c>
      <c r="D1154" s="6" t="s">
        <v>140</v>
      </c>
      <c r="E1154" s="6" t="s">
        <v>93</v>
      </c>
      <c r="F1154" s="6" t="s">
        <v>164</v>
      </c>
      <c r="G1154" s="6" t="n">
        <v>3</v>
      </c>
      <c r="H1154" s="6" t="s">
        <v>82</v>
      </c>
      <c r="I1154" s="6" t="s">
        <v>80</v>
      </c>
      <c r="J1154" s="6" t="s">
        <v>58</v>
      </c>
      <c r="K1154" s="6" t="n">
        <v>115184</v>
      </c>
      <c r="L1154" s="6" t="n">
        <v>148704</v>
      </c>
      <c r="M1154" s="6" t="s">
        <v>142</v>
      </c>
      <c r="N1154" s="6" t="n">
        <v>46</v>
      </c>
      <c r="O1154" s="6" t="s">
        <v>58</v>
      </c>
      <c r="P1154" s="6" t="n">
        <v>8</v>
      </c>
      <c r="Q1154" s="6" t="n">
        <v>-9.7</v>
      </c>
      <c r="R1154" s="20" t="n">
        <f aca="false">(L1154-K1154)/K1154</f>
        <v>0.291012640644534</v>
      </c>
    </row>
    <row r="1155" customFormat="false" ht="15" hidden="false" customHeight="false" outlineLevel="0" collapsed="false">
      <c r="A1155" s="6" t="s">
        <v>1317</v>
      </c>
      <c r="B1155" s="6" t="n">
        <v>32</v>
      </c>
      <c r="C1155" s="6" t="s">
        <v>159</v>
      </c>
      <c r="D1155" s="6" t="s">
        <v>140</v>
      </c>
      <c r="E1155" s="6" t="s">
        <v>89</v>
      </c>
      <c r="F1155" s="6" t="s">
        <v>151</v>
      </c>
      <c r="G1155" s="6" t="n">
        <v>7</v>
      </c>
      <c r="H1155" s="6" t="s">
        <v>80</v>
      </c>
      <c r="I1155" s="6" t="s">
        <v>82</v>
      </c>
      <c r="J1155" s="6" t="s">
        <v>60</v>
      </c>
      <c r="K1155" s="6" t="n">
        <v>65825</v>
      </c>
      <c r="L1155" s="6" t="n">
        <v>69440</v>
      </c>
      <c r="M1155" s="6" t="s">
        <v>142</v>
      </c>
      <c r="N1155" s="6" t="n">
        <v>54</v>
      </c>
      <c r="O1155" s="6" t="s">
        <v>58</v>
      </c>
      <c r="P1155" s="6" t="n">
        <v>9</v>
      </c>
      <c r="Q1155" s="6" t="n">
        <v>4.72</v>
      </c>
      <c r="R1155" s="20" t="n">
        <f aca="false">(L1155-K1155)/K1155</f>
        <v>0.0549183440941891</v>
      </c>
    </row>
    <row r="1156" customFormat="false" ht="15" hidden="false" customHeight="false" outlineLevel="0" collapsed="false">
      <c r="A1156" s="6" t="s">
        <v>1318</v>
      </c>
      <c r="B1156" s="6" t="n">
        <v>54</v>
      </c>
      <c r="C1156" s="6" t="s">
        <v>159</v>
      </c>
      <c r="D1156" s="6" t="s">
        <v>148</v>
      </c>
      <c r="E1156" s="6" t="s">
        <v>93</v>
      </c>
      <c r="F1156" s="6" t="s">
        <v>181</v>
      </c>
      <c r="G1156" s="6" t="n">
        <v>28</v>
      </c>
      <c r="H1156" s="6" t="s">
        <v>80</v>
      </c>
      <c r="I1156" s="6" t="s">
        <v>81</v>
      </c>
      <c r="J1156" s="6" t="s">
        <v>58</v>
      </c>
      <c r="K1156" s="6" t="n">
        <v>90561</v>
      </c>
      <c r="L1156" s="6" t="n">
        <v>98908</v>
      </c>
      <c r="M1156" s="6" t="s">
        <v>146</v>
      </c>
      <c r="N1156" s="6" t="n">
        <v>43</v>
      </c>
      <c r="O1156" s="6" t="s">
        <v>60</v>
      </c>
      <c r="P1156" s="6" t="n">
        <v>9</v>
      </c>
      <c r="Q1156" s="6" t="n">
        <v>-15.84</v>
      </c>
      <c r="R1156" s="20" t="n">
        <f aca="false">(L1156-K1156)/K1156</f>
        <v>0.0921699186183898</v>
      </c>
    </row>
    <row r="1157" customFormat="false" ht="15" hidden="false" customHeight="false" outlineLevel="0" collapsed="false">
      <c r="A1157" s="6" t="s">
        <v>1319</v>
      </c>
      <c r="B1157" s="6" t="n">
        <v>31</v>
      </c>
      <c r="C1157" s="6" t="s">
        <v>159</v>
      </c>
      <c r="D1157" s="6" t="s">
        <v>140</v>
      </c>
      <c r="E1157" s="6" t="s">
        <v>91</v>
      </c>
      <c r="F1157" s="6" t="s">
        <v>141</v>
      </c>
      <c r="G1157" s="6" t="n">
        <v>6</v>
      </c>
      <c r="H1157" s="6" t="s">
        <v>80</v>
      </c>
      <c r="I1157" s="6" t="s">
        <v>81</v>
      </c>
      <c r="J1157" s="6" t="s">
        <v>60</v>
      </c>
      <c r="K1157" s="6" t="n">
        <v>65201</v>
      </c>
      <c r="L1157" s="6" t="n">
        <v>69338</v>
      </c>
      <c r="M1157" s="6" t="s">
        <v>146</v>
      </c>
      <c r="N1157" s="6" t="n">
        <v>40</v>
      </c>
      <c r="O1157" s="6" t="s">
        <v>60</v>
      </c>
      <c r="P1157" s="6" t="n">
        <v>5</v>
      </c>
      <c r="Q1157" s="6" t="n">
        <v>27.65</v>
      </c>
      <c r="R1157" s="20" t="n">
        <f aca="false">(L1157-K1157)/K1157</f>
        <v>0.0634499470867011</v>
      </c>
    </row>
    <row r="1158" customFormat="false" ht="15" hidden="false" customHeight="false" outlineLevel="0" collapsed="false">
      <c r="A1158" s="6" t="s">
        <v>1320</v>
      </c>
      <c r="B1158" s="6" t="n">
        <v>32</v>
      </c>
      <c r="C1158" s="6" t="s">
        <v>139</v>
      </c>
      <c r="D1158" s="6" t="s">
        <v>144</v>
      </c>
      <c r="E1158" s="6" t="s">
        <v>89</v>
      </c>
      <c r="F1158" s="6" t="s">
        <v>153</v>
      </c>
      <c r="G1158" s="6" t="n">
        <v>6</v>
      </c>
      <c r="H1158" s="6" t="s">
        <v>80</v>
      </c>
      <c r="I1158" s="6" t="s">
        <v>82</v>
      </c>
      <c r="J1158" s="6" t="s">
        <v>58</v>
      </c>
      <c r="K1158" s="6" t="n">
        <v>59299</v>
      </c>
      <c r="L1158" s="6" t="n">
        <v>62777</v>
      </c>
      <c r="M1158" s="6" t="s">
        <v>142</v>
      </c>
      <c r="N1158" s="6" t="n">
        <v>52</v>
      </c>
      <c r="O1158" s="6" t="s">
        <v>60</v>
      </c>
      <c r="P1158" s="6" t="n">
        <v>4</v>
      </c>
      <c r="Q1158" s="6" t="n">
        <v>-8.63</v>
      </c>
      <c r="R1158" s="20" t="n">
        <f aca="false">(L1158-K1158)/K1158</f>
        <v>0.058651916558458</v>
      </c>
    </row>
    <row r="1159" customFormat="false" ht="15" hidden="false" customHeight="false" outlineLevel="0" collapsed="false">
      <c r="A1159" s="6" t="s">
        <v>1321</v>
      </c>
      <c r="B1159" s="6" t="n">
        <v>28</v>
      </c>
      <c r="C1159" s="6" t="s">
        <v>159</v>
      </c>
      <c r="D1159" s="6" t="s">
        <v>148</v>
      </c>
      <c r="E1159" s="6" t="s">
        <v>87</v>
      </c>
      <c r="F1159" s="6" t="s">
        <v>155</v>
      </c>
      <c r="G1159" s="6" t="n">
        <v>5</v>
      </c>
      <c r="H1159" s="6" t="s">
        <v>81</v>
      </c>
      <c r="I1159" s="6" t="s">
        <v>81</v>
      </c>
      <c r="J1159" s="6" t="s">
        <v>60</v>
      </c>
      <c r="K1159" s="6" t="n">
        <v>42881</v>
      </c>
      <c r="L1159" s="6" t="n">
        <v>42717</v>
      </c>
      <c r="M1159" s="6" t="s">
        <v>146</v>
      </c>
      <c r="N1159" s="6" t="n">
        <v>42</v>
      </c>
      <c r="O1159" s="6" t="s">
        <v>58</v>
      </c>
      <c r="P1159" s="6" t="n">
        <v>6</v>
      </c>
      <c r="Q1159" s="6" t="n">
        <v>-9.3</v>
      </c>
      <c r="R1159" s="20" t="n">
        <f aca="false">(L1159-K1159)/K1159</f>
        <v>-0.00382453767402812</v>
      </c>
    </row>
    <row r="1160" customFormat="false" ht="15" hidden="false" customHeight="false" outlineLevel="0" collapsed="false">
      <c r="A1160" s="6" t="s">
        <v>1322</v>
      </c>
      <c r="B1160" s="6" t="n">
        <v>55</v>
      </c>
      <c r="C1160" s="6" t="s">
        <v>159</v>
      </c>
      <c r="D1160" s="6" t="s">
        <v>135</v>
      </c>
      <c r="E1160" s="6" t="s">
        <v>92</v>
      </c>
      <c r="F1160" s="6" t="s">
        <v>192</v>
      </c>
      <c r="G1160" s="6" t="n">
        <v>31</v>
      </c>
      <c r="H1160" s="6" t="s">
        <v>80</v>
      </c>
      <c r="I1160" s="6" t="s">
        <v>81</v>
      </c>
      <c r="J1160" s="6" t="s">
        <v>58</v>
      </c>
      <c r="K1160" s="6" t="n">
        <v>37833</v>
      </c>
      <c r="L1160" s="6" t="n">
        <v>36791</v>
      </c>
      <c r="M1160" s="6" t="s">
        <v>146</v>
      </c>
      <c r="N1160" s="6" t="n">
        <v>39</v>
      </c>
      <c r="O1160" s="6" t="s">
        <v>58</v>
      </c>
      <c r="P1160" s="6" t="n">
        <v>5</v>
      </c>
      <c r="Q1160" s="6" t="n">
        <v>-16.07</v>
      </c>
      <c r="R1160" s="20" t="n">
        <f aca="false">(L1160-K1160)/K1160</f>
        <v>-0.0275420928818756</v>
      </c>
    </row>
    <row r="1161" customFormat="false" ht="15" hidden="false" customHeight="false" outlineLevel="0" collapsed="false">
      <c r="A1161" s="6" t="s">
        <v>1323</v>
      </c>
      <c r="B1161" s="6" t="n">
        <v>22</v>
      </c>
      <c r="C1161" s="6" t="s">
        <v>159</v>
      </c>
      <c r="D1161" s="6" t="s">
        <v>140</v>
      </c>
      <c r="E1161" s="6" t="s">
        <v>90</v>
      </c>
      <c r="F1161" s="6" t="s">
        <v>145</v>
      </c>
      <c r="G1161" s="6" t="n">
        <v>0</v>
      </c>
      <c r="H1161" s="6" t="s">
        <v>82</v>
      </c>
      <c r="I1161" s="6" t="s">
        <v>81</v>
      </c>
      <c r="J1161" s="6" t="s">
        <v>60</v>
      </c>
      <c r="K1161" s="6" t="n">
        <v>116784</v>
      </c>
      <c r="L1161" s="6" t="n">
        <v>150069</v>
      </c>
      <c r="M1161" s="6" t="s">
        <v>146</v>
      </c>
      <c r="N1161" s="6" t="n">
        <v>38</v>
      </c>
      <c r="O1161" s="6" t="s">
        <v>60</v>
      </c>
      <c r="P1161" s="6" t="n">
        <v>9</v>
      </c>
      <c r="Q1161" s="6" t="n">
        <v>3.28</v>
      </c>
      <c r="R1161" s="20" t="n">
        <f aca="false">(L1161-K1161)/K1161</f>
        <v>0.285013357994246</v>
      </c>
    </row>
    <row r="1162" customFormat="false" ht="15" hidden="false" customHeight="false" outlineLevel="0" collapsed="false">
      <c r="A1162" s="6" t="s">
        <v>1324</v>
      </c>
      <c r="B1162" s="6" t="n">
        <v>33</v>
      </c>
      <c r="C1162" s="6" t="s">
        <v>134</v>
      </c>
      <c r="D1162" s="6" t="s">
        <v>144</v>
      </c>
      <c r="E1162" s="6" t="s">
        <v>89</v>
      </c>
      <c r="F1162" s="6" t="s">
        <v>151</v>
      </c>
      <c r="G1162" s="6" t="n">
        <v>8</v>
      </c>
      <c r="H1162" s="6" t="s">
        <v>81</v>
      </c>
      <c r="I1162" s="6" t="s">
        <v>82</v>
      </c>
      <c r="J1162" s="6" t="s">
        <v>58</v>
      </c>
      <c r="K1162" s="6" t="n">
        <v>41345</v>
      </c>
      <c r="L1162" s="6" t="n">
        <v>47042</v>
      </c>
      <c r="M1162" s="6" t="s">
        <v>142</v>
      </c>
      <c r="N1162" s="6" t="n">
        <v>48</v>
      </c>
      <c r="O1162" s="6" t="s">
        <v>60</v>
      </c>
      <c r="P1162" s="6" t="n">
        <v>6</v>
      </c>
      <c r="Q1162" s="6" t="n">
        <v>-3.25</v>
      </c>
      <c r="R1162" s="20" t="n">
        <f aca="false">(L1162-K1162)/K1162</f>
        <v>0.137791752327972</v>
      </c>
    </row>
    <row r="1163" customFormat="false" ht="15" hidden="false" customHeight="false" outlineLevel="0" collapsed="false">
      <c r="A1163" s="6" t="s">
        <v>1325</v>
      </c>
      <c r="B1163" s="6" t="n">
        <v>26</v>
      </c>
      <c r="C1163" s="6" t="s">
        <v>134</v>
      </c>
      <c r="D1163" s="6" t="s">
        <v>140</v>
      </c>
      <c r="E1163" s="6" t="s">
        <v>88</v>
      </c>
      <c r="F1163" s="6" t="s">
        <v>157</v>
      </c>
      <c r="G1163" s="6" t="n">
        <v>2</v>
      </c>
      <c r="H1163" s="6" t="s">
        <v>82</v>
      </c>
      <c r="I1163" s="6" t="s">
        <v>82</v>
      </c>
      <c r="J1163" s="6" t="s">
        <v>60</v>
      </c>
      <c r="K1163" s="6" t="n">
        <v>65771</v>
      </c>
      <c r="L1163" s="6" t="n">
        <v>57814</v>
      </c>
      <c r="M1163" s="6" t="s">
        <v>146</v>
      </c>
      <c r="N1163" s="6" t="n">
        <v>47</v>
      </c>
      <c r="O1163" s="6" t="s">
        <v>60</v>
      </c>
      <c r="P1163" s="6" t="n">
        <v>8</v>
      </c>
      <c r="Q1163" s="6" t="n">
        <v>31.52</v>
      </c>
      <c r="R1163" s="20" t="n">
        <f aca="false">(L1163-K1163)/K1163</f>
        <v>-0.120980371288258</v>
      </c>
    </row>
    <row r="1164" customFormat="false" ht="15" hidden="false" customHeight="false" outlineLevel="0" collapsed="false">
      <c r="A1164" s="6" t="s">
        <v>1326</v>
      </c>
      <c r="B1164" s="6" t="n">
        <v>47</v>
      </c>
      <c r="C1164" s="6" t="s">
        <v>134</v>
      </c>
      <c r="D1164" s="6" t="s">
        <v>148</v>
      </c>
      <c r="E1164" s="6" t="s">
        <v>90</v>
      </c>
      <c r="F1164" s="6" t="s">
        <v>202</v>
      </c>
      <c r="G1164" s="6" t="n">
        <v>24</v>
      </c>
      <c r="H1164" s="6" t="s">
        <v>82</v>
      </c>
      <c r="I1164" s="6" t="s">
        <v>82</v>
      </c>
      <c r="J1164" s="6" t="s">
        <v>58</v>
      </c>
      <c r="K1164" s="6" t="n">
        <v>79573</v>
      </c>
      <c r="L1164" s="6" t="n">
        <v>94951</v>
      </c>
      <c r="M1164" s="6" t="s">
        <v>146</v>
      </c>
      <c r="N1164" s="6" t="n">
        <v>53</v>
      </c>
      <c r="O1164" s="6" t="s">
        <v>60</v>
      </c>
      <c r="P1164" s="6" t="n">
        <v>5</v>
      </c>
      <c r="Q1164" s="6" t="n">
        <v>-6.01</v>
      </c>
      <c r="R1164" s="20" t="n">
        <f aca="false">(L1164-K1164)/K1164</f>
        <v>0.193256506603999</v>
      </c>
    </row>
    <row r="1165" customFormat="false" ht="15" hidden="false" customHeight="false" outlineLevel="0" collapsed="false">
      <c r="A1165" s="6" t="s">
        <v>1327</v>
      </c>
      <c r="B1165" s="6" t="n">
        <v>50</v>
      </c>
      <c r="C1165" s="6" t="s">
        <v>139</v>
      </c>
      <c r="D1165" s="6" t="s">
        <v>148</v>
      </c>
      <c r="E1165" s="6" t="s">
        <v>92</v>
      </c>
      <c r="F1165" s="6" t="s">
        <v>192</v>
      </c>
      <c r="G1165" s="6" t="n">
        <v>24</v>
      </c>
      <c r="H1165" s="6" t="s">
        <v>82</v>
      </c>
      <c r="I1165" s="6" t="s">
        <v>80</v>
      </c>
      <c r="J1165" s="6" t="s">
        <v>60</v>
      </c>
      <c r="K1165" s="6" t="n">
        <v>34944</v>
      </c>
      <c r="L1165" s="6" t="n">
        <v>28293</v>
      </c>
      <c r="M1165" s="6" t="s">
        <v>142</v>
      </c>
      <c r="N1165" s="6" t="n">
        <v>45</v>
      </c>
      <c r="O1165" s="6" t="s">
        <v>60</v>
      </c>
      <c r="P1165" s="6" t="n">
        <v>5</v>
      </c>
      <c r="Q1165" s="6" t="n">
        <v>2.36</v>
      </c>
      <c r="R1165" s="20" t="n">
        <f aca="false">(L1165-K1165)/K1165</f>
        <v>-0.190333104395604</v>
      </c>
    </row>
    <row r="1166" customFormat="false" ht="15" hidden="false" customHeight="false" outlineLevel="0" collapsed="false">
      <c r="A1166" s="6" t="s">
        <v>1328</v>
      </c>
      <c r="B1166" s="6" t="n">
        <v>31</v>
      </c>
      <c r="C1166" s="6" t="s">
        <v>139</v>
      </c>
      <c r="D1166" s="6" t="s">
        <v>135</v>
      </c>
      <c r="E1166" s="6" t="s">
        <v>92</v>
      </c>
      <c r="F1166" s="6" t="s">
        <v>222</v>
      </c>
      <c r="G1166" s="6" t="n">
        <v>7</v>
      </c>
      <c r="H1166" s="6" t="s">
        <v>82</v>
      </c>
      <c r="I1166" s="6" t="s">
        <v>82</v>
      </c>
      <c r="J1166" s="6" t="s">
        <v>58</v>
      </c>
      <c r="K1166" s="6" t="n">
        <v>61629</v>
      </c>
      <c r="L1166" s="6" t="n">
        <v>64658</v>
      </c>
      <c r="M1166" s="6" t="s">
        <v>146</v>
      </c>
      <c r="N1166" s="6" t="n">
        <v>44</v>
      </c>
      <c r="O1166" s="6" t="s">
        <v>60</v>
      </c>
      <c r="P1166" s="6" t="n">
        <v>4</v>
      </c>
      <c r="Q1166" s="6" t="n">
        <v>-2.99</v>
      </c>
      <c r="R1166" s="20" t="n">
        <f aca="false">(L1166-K1166)/K1166</f>
        <v>0.0491489396225803</v>
      </c>
    </row>
    <row r="1167" customFormat="false" ht="15" hidden="false" customHeight="false" outlineLevel="0" collapsed="false">
      <c r="A1167" s="6" t="s">
        <v>1329</v>
      </c>
      <c r="B1167" s="6" t="n">
        <v>22</v>
      </c>
      <c r="C1167" s="6" t="s">
        <v>159</v>
      </c>
      <c r="D1167" s="6" t="s">
        <v>140</v>
      </c>
      <c r="E1167" s="6" t="s">
        <v>88</v>
      </c>
      <c r="F1167" s="6" t="s">
        <v>234</v>
      </c>
      <c r="G1167" s="6" t="n">
        <v>0</v>
      </c>
      <c r="H1167" s="6" t="s">
        <v>81</v>
      </c>
      <c r="I1167" s="6" t="s">
        <v>82</v>
      </c>
      <c r="J1167" s="6" t="s">
        <v>60</v>
      </c>
      <c r="K1167" s="6" t="n">
        <v>118697</v>
      </c>
      <c r="L1167" s="6" t="n">
        <v>120447</v>
      </c>
      <c r="M1167" s="6" t="s">
        <v>142</v>
      </c>
      <c r="N1167" s="6" t="n">
        <v>41</v>
      </c>
      <c r="O1167" s="6" t="s">
        <v>60</v>
      </c>
      <c r="P1167" s="6" t="n">
        <v>9</v>
      </c>
      <c r="Q1167" s="6" t="n">
        <v>-1.73</v>
      </c>
      <c r="R1167" s="20" t="n">
        <f aca="false">(L1167-K1167)/K1167</f>
        <v>0.0147434223274388</v>
      </c>
    </row>
    <row r="1168" customFormat="false" ht="15" hidden="false" customHeight="false" outlineLevel="0" collapsed="false">
      <c r="A1168" s="6" t="s">
        <v>1330</v>
      </c>
      <c r="B1168" s="6" t="n">
        <v>48</v>
      </c>
      <c r="C1168" s="6" t="s">
        <v>139</v>
      </c>
      <c r="D1168" s="6" t="s">
        <v>148</v>
      </c>
      <c r="E1168" s="6" t="s">
        <v>90</v>
      </c>
      <c r="F1168" s="6" t="s">
        <v>145</v>
      </c>
      <c r="G1168" s="6" t="n">
        <v>26</v>
      </c>
      <c r="H1168" s="6" t="s">
        <v>80</v>
      </c>
      <c r="I1168" s="6" t="s">
        <v>81</v>
      </c>
      <c r="J1168" s="6" t="s">
        <v>60</v>
      </c>
      <c r="K1168" s="6" t="n">
        <v>45893</v>
      </c>
      <c r="L1168" s="6" t="n">
        <v>46760</v>
      </c>
      <c r="M1168" s="6" t="s">
        <v>146</v>
      </c>
      <c r="N1168" s="6" t="n">
        <v>43</v>
      </c>
      <c r="O1168" s="6" t="s">
        <v>60</v>
      </c>
      <c r="P1168" s="6" t="n">
        <v>6</v>
      </c>
      <c r="Q1168" s="6" t="n">
        <v>29.08</v>
      </c>
      <c r="R1168" s="20" t="n">
        <f aca="false">(L1168-K1168)/K1168</f>
        <v>0.0188917699867082</v>
      </c>
    </row>
    <row r="1169" customFormat="false" ht="15" hidden="false" customHeight="false" outlineLevel="0" collapsed="false">
      <c r="A1169" s="6" t="s">
        <v>1331</v>
      </c>
      <c r="B1169" s="6" t="n">
        <v>40</v>
      </c>
      <c r="C1169" s="6" t="s">
        <v>159</v>
      </c>
      <c r="D1169" s="6" t="s">
        <v>148</v>
      </c>
      <c r="E1169" s="6" t="s">
        <v>93</v>
      </c>
      <c r="F1169" s="6" t="s">
        <v>164</v>
      </c>
      <c r="G1169" s="6" t="n">
        <v>15</v>
      </c>
      <c r="H1169" s="6" t="s">
        <v>82</v>
      </c>
      <c r="I1169" s="6" t="s">
        <v>82</v>
      </c>
      <c r="J1169" s="6" t="s">
        <v>60</v>
      </c>
      <c r="K1169" s="6" t="n">
        <v>91607</v>
      </c>
      <c r="L1169" s="6" t="n">
        <v>91931</v>
      </c>
      <c r="M1169" s="6" t="s">
        <v>146</v>
      </c>
      <c r="N1169" s="6" t="n">
        <v>52</v>
      </c>
      <c r="O1169" s="6" t="s">
        <v>60</v>
      </c>
      <c r="P1169" s="6" t="n">
        <v>6</v>
      </c>
      <c r="Q1169" s="6" t="n">
        <v>9.89</v>
      </c>
      <c r="R1169" s="20" t="n">
        <f aca="false">(L1169-K1169)/K1169</f>
        <v>0.003536847620815</v>
      </c>
    </row>
    <row r="1170" customFormat="false" ht="15" hidden="false" customHeight="false" outlineLevel="0" collapsed="false">
      <c r="A1170" s="6" t="s">
        <v>1332</v>
      </c>
      <c r="B1170" s="6" t="n">
        <v>30</v>
      </c>
      <c r="C1170" s="6" t="s">
        <v>134</v>
      </c>
      <c r="D1170" s="6" t="s">
        <v>148</v>
      </c>
      <c r="E1170" s="6" t="s">
        <v>93</v>
      </c>
      <c r="F1170" s="6" t="s">
        <v>164</v>
      </c>
      <c r="G1170" s="6" t="n">
        <v>6</v>
      </c>
      <c r="H1170" s="6" t="s">
        <v>80</v>
      </c>
      <c r="I1170" s="6" t="s">
        <v>80</v>
      </c>
      <c r="J1170" s="6" t="s">
        <v>60</v>
      </c>
      <c r="K1170" s="6" t="n">
        <v>45407</v>
      </c>
      <c r="L1170" s="6" t="n">
        <v>46118</v>
      </c>
      <c r="M1170" s="6" t="s">
        <v>142</v>
      </c>
      <c r="N1170" s="6" t="n">
        <v>39</v>
      </c>
      <c r="O1170" s="6" t="s">
        <v>58</v>
      </c>
      <c r="P1170" s="6" t="n">
        <v>3</v>
      </c>
      <c r="Q1170" s="6" t="n">
        <v>-6.16</v>
      </c>
      <c r="R1170" s="20" t="n">
        <f aca="false">(L1170-K1170)/K1170</f>
        <v>0.0156583786640826</v>
      </c>
    </row>
    <row r="1171" customFormat="false" ht="15" hidden="false" customHeight="false" outlineLevel="0" collapsed="false">
      <c r="A1171" s="6" t="s">
        <v>1333</v>
      </c>
      <c r="B1171" s="6" t="n">
        <v>58</v>
      </c>
      <c r="C1171" s="6" t="s">
        <v>159</v>
      </c>
      <c r="D1171" s="6" t="s">
        <v>148</v>
      </c>
      <c r="E1171" s="6" t="s">
        <v>88</v>
      </c>
      <c r="F1171" s="6" t="s">
        <v>234</v>
      </c>
      <c r="G1171" s="6" t="n">
        <v>34</v>
      </c>
      <c r="H1171" s="6" t="s">
        <v>80</v>
      </c>
      <c r="I1171" s="6" t="s">
        <v>82</v>
      </c>
      <c r="J1171" s="6" t="s">
        <v>60</v>
      </c>
      <c r="K1171" s="6" t="n">
        <v>56613</v>
      </c>
      <c r="L1171" s="6" t="n">
        <v>57414</v>
      </c>
      <c r="M1171" s="6" t="s">
        <v>142</v>
      </c>
      <c r="N1171" s="6" t="n">
        <v>42</v>
      </c>
      <c r="O1171" s="6" t="s">
        <v>60</v>
      </c>
      <c r="P1171" s="6" t="n">
        <v>7</v>
      </c>
      <c r="Q1171" s="6" t="n">
        <v>15.76</v>
      </c>
      <c r="R1171" s="20" t="n">
        <f aca="false">(L1171-K1171)/K1171</f>
        <v>0.0141486937629166</v>
      </c>
    </row>
    <row r="1172" customFormat="false" ht="15" hidden="false" customHeight="false" outlineLevel="0" collapsed="false">
      <c r="A1172" s="6" t="s">
        <v>1334</v>
      </c>
      <c r="B1172" s="6" t="n">
        <v>54</v>
      </c>
      <c r="C1172" s="6" t="s">
        <v>159</v>
      </c>
      <c r="D1172" s="6" t="s">
        <v>148</v>
      </c>
      <c r="E1172" s="6" t="s">
        <v>93</v>
      </c>
      <c r="F1172" s="6" t="s">
        <v>181</v>
      </c>
      <c r="G1172" s="6" t="n">
        <v>31</v>
      </c>
      <c r="H1172" s="6" t="s">
        <v>82</v>
      </c>
      <c r="I1172" s="6" t="s">
        <v>81</v>
      </c>
      <c r="J1172" s="6" t="s">
        <v>60</v>
      </c>
      <c r="K1172" s="6" t="n">
        <v>75853</v>
      </c>
      <c r="L1172" s="6" t="n">
        <v>82259</v>
      </c>
      <c r="M1172" s="6" t="s">
        <v>146</v>
      </c>
      <c r="N1172" s="6" t="n">
        <v>45</v>
      </c>
      <c r="O1172" s="6" t="s">
        <v>58</v>
      </c>
      <c r="P1172" s="6" t="n">
        <v>3</v>
      </c>
      <c r="Q1172" s="6" t="n">
        <v>-19.75</v>
      </c>
      <c r="R1172" s="20" t="n">
        <f aca="false">(L1172-K1172)/K1172</f>
        <v>0.0844528232238672</v>
      </c>
    </row>
    <row r="1173" customFormat="false" ht="15" hidden="false" customHeight="false" outlineLevel="0" collapsed="false">
      <c r="A1173" s="6" t="s">
        <v>1335</v>
      </c>
      <c r="B1173" s="6" t="n">
        <v>31</v>
      </c>
      <c r="C1173" s="6" t="s">
        <v>134</v>
      </c>
      <c r="D1173" s="6" t="s">
        <v>135</v>
      </c>
      <c r="E1173" s="6" t="s">
        <v>87</v>
      </c>
      <c r="F1173" s="6" t="s">
        <v>155</v>
      </c>
      <c r="G1173" s="6" t="n">
        <v>6</v>
      </c>
      <c r="H1173" s="6" t="s">
        <v>81</v>
      </c>
      <c r="I1173" s="6" t="s">
        <v>80</v>
      </c>
      <c r="J1173" s="6" t="s">
        <v>60</v>
      </c>
      <c r="K1173" s="6" t="n">
        <v>107400</v>
      </c>
      <c r="L1173" s="6" t="n">
        <v>102391</v>
      </c>
      <c r="M1173" s="6" t="s">
        <v>142</v>
      </c>
      <c r="N1173" s="6" t="n">
        <v>36</v>
      </c>
      <c r="O1173" s="6" t="s">
        <v>60</v>
      </c>
      <c r="P1173" s="6" t="n">
        <v>3</v>
      </c>
      <c r="Q1173" s="6" t="n">
        <v>33.31</v>
      </c>
      <c r="R1173" s="20" t="n">
        <f aca="false">(L1173-K1173)/K1173</f>
        <v>-0.0466387337057728</v>
      </c>
    </row>
    <row r="1174" customFormat="false" ht="15" hidden="false" customHeight="false" outlineLevel="0" collapsed="false">
      <c r="A1174" s="6" t="s">
        <v>1336</v>
      </c>
      <c r="B1174" s="6" t="n">
        <v>40</v>
      </c>
      <c r="C1174" s="6" t="s">
        <v>134</v>
      </c>
      <c r="D1174" s="6" t="s">
        <v>144</v>
      </c>
      <c r="E1174" s="6" t="s">
        <v>88</v>
      </c>
      <c r="F1174" s="6" t="s">
        <v>179</v>
      </c>
      <c r="G1174" s="6" t="n">
        <v>18</v>
      </c>
      <c r="H1174" s="6" t="s">
        <v>82</v>
      </c>
      <c r="I1174" s="6" t="s">
        <v>80</v>
      </c>
      <c r="J1174" s="6" t="s">
        <v>60</v>
      </c>
      <c r="K1174" s="6" t="n">
        <v>86866</v>
      </c>
      <c r="L1174" s="6" t="n">
        <v>114411</v>
      </c>
      <c r="M1174" s="6" t="s">
        <v>142</v>
      </c>
      <c r="N1174" s="6" t="n">
        <v>35</v>
      </c>
      <c r="O1174" s="6" t="s">
        <v>58</v>
      </c>
      <c r="P1174" s="6" t="n">
        <v>4</v>
      </c>
      <c r="Q1174" s="6" t="n">
        <v>8.63</v>
      </c>
      <c r="R1174" s="20" t="n">
        <f aca="false">(L1174-K1174)/K1174</f>
        <v>0.317097598600143</v>
      </c>
    </row>
    <row r="1175" customFormat="false" ht="15" hidden="false" customHeight="false" outlineLevel="0" collapsed="false">
      <c r="A1175" s="6" t="s">
        <v>1337</v>
      </c>
      <c r="B1175" s="6" t="n">
        <v>42</v>
      </c>
      <c r="C1175" s="6" t="s">
        <v>159</v>
      </c>
      <c r="D1175" s="6" t="s">
        <v>140</v>
      </c>
      <c r="E1175" s="6" t="s">
        <v>90</v>
      </c>
      <c r="F1175" s="6" t="s">
        <v>236</v>
      </c>
      <c r="G1175" s="6" t="n">
        <v>20</v>
      </c>
      <c r="H1175" s="6" t="s">
        <v>80</v>
      </c>
      <c r="I1175" s="6" t="s">
        <v>82</v>
      </c>
      <c r="J1175" s="6" t="s">
        <v>60</v>
      </c>
      <c r="K1175" s="6" t="n">
        <v>67563</v>
      </c>
      <c r="L1175" s="6" t="n">
        <v>71761</v>
      </c>
      <c r="M1175" s="6" t="s">
        <v>142</v>
      </c>
      <c r="N1175" s="6" t="n">
        <v>39</v>
      </c>
      <c r="O1175" s="6" t="s">
        <v>58</v>
      </c>
      <c r="P1175" s="6" t="n">
        <v>3</v>
      </c>
      <c r="Q1175" s="6" t="n">
        <v>39.99</v>
      </c>
      <c r="R1175" s="20" t="n">
        <f aca="false">(L1175-K1175)/K1175</f>
        <v>0.0621346002989802</v>
      </c>
    </row>
    <row r="1176" customFormat="false" ht="15" hidden="false" customHeight="false" outlineLevel="0" collapsed="false">
      <c r="A1176" s="6" t="s">
        <v>1338</v>
      </c>
      <c r="B1176" s="6" t="n">
        <v>43</v>
      </c>
      <c r="C1176" s="6" t="s">
        <v>159</v>
      </c>
      <c r="D1176" s="6" t="s">
        <v>140</v>
      </c>
      <c r="E1176" s="6" t="s">
        <v>90</v>
      </c>
      <c r="F1176" s="6" t="s">
        <v>236</v>
      </c>
      <c r="G1176" s="6" t="n">
        <v>21</v>
      </c>
      <c r="H1176" s="6" t="s">
        <v>81</v>
      </c>
      <c r="I1176" s="6" t="s">
        <v>82</v>
      </c>
      <c r="J1176" s="6" t="s">
        <v>60</v>
      </c>
      <c r="K1176" s="6" t="n">
        <v>57862</v>
      </c>
      <c r="L1176" s="6" t="n">
        <v>53576</v>
      </c>
      <c r="M1176" s="6" t="s">
        <v>142</v>
      </c>
      <c r="N1176" s="6" t="n">
        <v>43</v>
      </c>
      <c r="O1176" s="6" t="s">
        <v>58</v>
      </c>
      <c r="P1176" s="6" t="n">
        <v>8</v>
      </c>
      <c r="Q1176" s="6" t="n">
        <v>-19.91</v>
      </c>
      <c r="R1176" s="20" t="n">
        <f aca="false">(L1176-K1176)/K1176</f>
        <v>-0.0740727938889081</v>
      </c>
    </row>
    <row r="1177" customFormat="false" ht="15" hidden="false" customHeight="false" outlineLevel="0" collapsed="false">
      <c r="A1177" s="6" t="s">
        <v>1339</v>
      </c>
      <c r="B1177" s="6" t="n">
        <v>55</v>
      </c>
      <c r="C1177" s="6" t="s">
        <v>159</v>
      </c>
      <c r="D1177" s="6" t="s">
        <v>144</v>
      </c>
      <c r="E1177" s="6" t="s">
        <v>92</v>
      </c>
      <c r="F1177" s="6" t="s">
        <v>136</v>
      </c>
      <c r="G1177" s="6" t="n">
        <v>33</v>
      </c>
      <c r="H1177" s="6" t="s">
        <v>82</v>
      </c>
      <c r="I1177" s="6" t="s">
        <v>81</v>
      </c>
      <c r="J1177" s="6" t="s">
        <v>60</v>
      </c>
      <c r="K1177" s="6" t="n">
        <v>81259</v>
      </c>
      <c r="L1177" s="6" t="n">
        <v>68087</v>
      </c>
      <c r="M1177" s="6" t="s">
        <v>146</v>
      </c>
      <c r="N1177" s="6" t="n">
        <v>40</v>
      </c>
      <c r="O1177" s="6" t="s">
        <v>58</v>
      </c>
      <c r="P1177" s="6" t="n">
        <v>7</v>
      </c>
      <c r="Q1177" s="6" t="n">
        <v>15.89</v>
      </c>
      <c r="R1177" s="20" t="n">
        <f aca="false">(L1177-K1177)/K1177</f>
        <v>-0.162098967498985</v>
      </c>
    </row>
    <row r="1178" customFormat="false" ht="15" hidden="false" customHeight="false" outlineLevel="0" collapsed="false">
      <c r="A1178" s="6" t="s">
        <v>1340</v>
      </c>
      <c r="B1178" s="6" t="n">
        <v>52</v>
      </c>
      <c r="C1178" s="6" t="s">
        <v>159</v>
      </c>
      <c r="D1178" s="6" t="s">
        <v>148</v>
      </c>
      <c r="E1178" s="6" t="s">
        <v>87</v>
      </c>
      <c r="F1178" s="6" t="s">
        <v>149</v>
      </c>
      <c r="G1178" s="6" t="n">
        <v>29</v>
      </c>
      <c r="H1178" s="6" t="s">
        <v>82</v>
      </c>
      <c r="I1178" s="6" t="s">
        <v>81</v>
      </c>
      <c r="J1178" s="6" t="s">
        <v>58</v>
      </c>
      <c r="K1178" s="6" t="n">
        <v>80617</v>
      </c>
      <c r="L1178" s="6" t="n">
        <v>111658</v>
      </c>
      <c r="M1178" s="6" t="s">
        <v>146</v>
      </c>
      <c r="N1178" s="6" t="n">
        <v>49</v>
      </c>
      <c r="O1178" s="6" t="s">
        <v>58</v>
      </c>
      <c r="P1178" s="6" t="n">
        <v>4</v>
      </c>
      <c r="Q1178" s="6" t="n">
        <v>-6.06</v>
      </c>
      <c r="R1178" s="20" t="n">
        <f aca="false">(L1178-K1178)/K1178</f>
        <v>0.385042856965652</v>
      </c>
    </row>
    <row r="1179" customFormat="false" ht="15" hidden="false" customHeight="false" outlineLevel="0" collapsed="false">
      <c r="A1179" s="6" t="s">
        <v>1341</v>
      </c>
      <c r="B1179" s="6" t="n">
        <v>57</v>
      </c>
      <c r="C1179" s="6" t="s">
        <v>159</v>
      </c>
      <c r="D1179" s="6" t="s">
        <v>135</v>
      </c>
      <c r="E1179" s="6" t="s">
        <v>92</v>
      </c>
      <c r="F1179" s="6" t="s">
        <v>136</v>
      </c>
      <c r="G1179" s="6" t="n">
        <v>31</v>
      </c>
      <c r="H1179" s="6" t="s">
        <v>82</v>
      </c>
      <c r="I1179" s="6" t="s">
        <v>81</v>
      </c>
      <c r="J1179" s="6" t="s">
        <v>60</v>
      </c>
      <c r="K1179" s="6" t="n">
        <v>93171</v>
      </c>
      <c r="L1179" s="6" t="n">
        <v>110096</v>
      </c>
      <c r="M1179" s="6" t="s">
        <v>146</v>
      </c>
      <c r="N1179" s="6" t="n">
        <v>50</v>
      </c>
      <c r="O1179" s="6" t="s">
        <v>58</v>
      </c>
      <c r="P1179" s="6" t="n">
        <v>5</v>
      </c>
      <c r="Q1179" s="6" t="n">
        <v>-10.12</v>
      </c>
      <c r="R1179" s="20" t="n">
        <f aca="false">(L1179-K1179)/K1179</f>
        <v>0.18165523607131</v>
      </c>
    </row>
    <row r="1180" customFormat="false" ht="15" hidden="false" customHeight="false" outlineLevel="0" collapsed="false">
      <c r="A1180" s="6" t="s">
        <v>1342</v>
      </c>
      <c r="B1180" s="6" t="n">
        <v>59</v>
      </c>
      <c r="C1180" s="6" t="s">
        <v>134</v>
      </c>
      <c r="D1180" s="6" t="s">
        <v>144</v>
      </c>
      <c r="E1180" s="6" t="s">
        <v>88</v>
      </c>
      <c r="F1180" s="6" t="s">
        <v>234</v>
      </c>
      <c r="G1180" s="6" t="n">
        <v>36</v>
      </c>
      <c r="H1180" s="6" t="s">
        <v>81</v>
      </c>
      <c r="I1180" s="6" t="s">
        <v>80</v>
      </c>
      <c r="J1180" s="6" t="s">
        <v>58</v>
      </c>
      <c r="K1180" s="6" t="n">
        <v>63892</v>
      </c>
      <c r="L1180" s="6" t="n">
        <v>66193</v>
      </c>
      <c r="M1180" s="6" t="s">
        <v>142</v>
      </c>
      <c r="N1180" s="6" t="n">
        <v>44</v>
      </c>
      <c r="O1180" s="6" t="s">
        <v>58</v>
      </c>
      <c r="P1180" s="6" t="n">
        <v>9</v>
      </c>
      <c r="Q1180" s="6" t="n">
        <v>39.36</v>
      </c>
      <c r="R1180" s="20" t="n">
        <f aca="false">(L1180-K1180)/K1180</f>
        <v>0.0360138984536405</v>
      </c>
    </row>
    <row r="1181" customFormat="false" ht="15" hidden="false" customHeight="false" outlineLevel="0" collapsed="false">
      <c r="A1181" s="6" t="s">
        <v>1343</v>
      </c>
      <c r="B1181" s="6" t="n">
        <v>39</v>
      </c>
      <c r="C1181" s="6" t="s">
        <v>134</v>
      </c>
      <c r="D1181" s="6" t="s">
        <v>144</v>
      </c>
      <c r="E1181" s="6" t="s">
        <v>90</v>
      </c>
      <c r="F1181" s="6" t="s">
        <v>236</v>
      </c>
      <c r="G1181" s="6" t="n">
        <v>17</v>
      </c>
      <c r="H1181" s="6" t="s">
        <v>80</v>
      </c>
      <c r="I1181" s="6" t="s">
        <v>80</v>
      </c>
      <c r="J1181" s="6" t="s">
        <v>60</v>
      </c>
      <c r="K1181" s="6" t="n">
        <v>91716</v>
      </c>
      <c r="L1181" s="6" t="n">
        <v>94052</v>
      </c>
      <c r="M1181" s="6" t="s">
        <v>142</v>
      </c>
      <c r="N1181" s="6" t="n">
        <v>54</v>
      </c>
      <c r="O1181" s="6" t="s">
        <v>58</v>
      </c>
      <c r="P1181" s="6" t="n">
        <v>4</v>
      </c>
      <c r="Q1181" s="6" t="n">
        <v>-1.04</v>
      </c>
      <c r="R1181" s="20" t="n">
        <f aca="false">(L1181-K1181)/K1181</f>
        <v>0.0254699289109861</v>
      </c>
    </row>
    <row r="1182" customFormat="false" ht="15" hidden="false" customHeight="false" outlineLevel="0" collapsed="false">
      <c r="A1182" s="6" t="s">
        <v>1344</v>
      </c>
      <c r="B1182" s="6" t="n">
        <v>44</v>
      </c>
      <c r="C1182" s="6" t="s">
        <v>134</v>
      </c>
      <c r="D1182" s="6" t="s">
        <v>140</v>
      </c>
      <c r="E1182" s="6" t="s">
        <v>89</v>
      </c>
      <c r="F1182" s="6" t="s">
        <v>162</v>
      </c>
      <c r="G1182" s="6" t="n">
        <v>22</v>
      </c>
      <c r="H1182" s="6" t="s">
        <v>80</v>
      </c>
      <c r="I1182" s="6" t="s">
        <v>81</v>
      </c>
      <c r="J1182" s="6" t="s">
        <v>60</v>
      </c>
      <c r="K1182" s="6" t="n">
        <v>69291</v>
      </c>
      <c r="L1182" s="6" t="n">
        <v>74784</v>
      </c>
      <c r="M1182" s="6" t="s">
        <v>146</v>
      </c>
      <c r="N1182" s="6" t="n">
        <v>41</v>
      </c>
      <c r="O1182" s="6" t="s">
        <v>58</v>
      </c>
      <c r="P1182" s="6" t="n">
        <v>7</v>
      </c>
      <c r="Q1182" s="6" t="n">
        <v>13.86</v>
      </c>
      <c r="R1182" s="20" t="n">
        <f aca="false">(L1182-K1182)/K1182</f>
        <v>0.0792743646360999</v>
      </c>
    </row>
    <row r="1183" customFormat="false" ht="15" hidden="false" customHeight="false" outlineLevel="0" collapsed="false">
      <c r="A1183" s="6" t="s">
        <v>1345</v>
      </c>
      <c r="B1183" s="6" t="n">
        <v>31</v>
      </c>
      <c r="C1183" s="6" t="s">
        <v>134</v>
      </c>
      <c r="D1183" s="6" t="s">
        <v>148</v>
      </c>
      <c r="E1183" s="6" t="s">
        <v>88</v>
      </c>
      <c r="F1183" s="6" t="s">
        <v>179</v>
      </c>
      <c r="G1183" s="6" t="n">
        <v>6</v>
      </c>
      <c r="H1183" s="6" t="s">
        <v>81</v>
      </c>
      <c r="I1183" s="6" t="s">
        <v>82</v>
      </c>
      <c r="J1183" s="6" t="s">
        <v>58</v>
      </c>
      <c r="K1183" s="6" t="n">
        <v>76144</v>
      </c>
      <c r="L1183" s="6" t="n">
        <v>70963</v>
      </c>
      <c r="M1183" s="6" t="s">
        <v>142</v>
      </c>
      <c r="N1183" s="6" t="n">
        <v>49</v>
      </c>
      <c r="O1183" s="6" t="s">
        <v>58</v>
      </c>
      <c r="P1183" s="6" t="n">
        <v>3</v>
      </c>
      <c r="Q1183" s="6" t="n">
        <v>21.3</v>
      </c>
      <c r="R1183" s="20" t="n">
        <f aca="false">(L1183-K1183)/K1183</f>
        <v>-0.0680421306997268</v>
      </c>
    </row>
    <row r="1184" customFormat="false" ht="15" hidden="false" customHeight="false" outlineLevel="0" collapsed="false">
      <c r="A1184" s="6" t="s">
        <v>1346</v>
      </c>
      <c r="B1184" s="6" t="n">
        <v>49</v>
      </c>
      <c r="C1184" s="6" t="s">
        <v>134</v>
      </c>
      <c r="D1184" s="6" t="s">
        <v>140</v>
      </c>
      <c r="E1184" s="6" t="s">
        <v>92</v>
      </c>
      <c r="F1184" s="6" t="s">
        <v>192</v>
      </c>
      <c r="G1184" s="6" t="n">
        <v>23</v>
      </c>
      <c r="H1184" s="6" t="s">
        <v>81</v>
      </c>
      <c r="I1184" s="6" t="s">
        <v>82</v>
      </c>
      <c r="J1184" s="6" t="s">
        <v>60</v>
      </c>
      <c r="K1184" s="6" t="n">
        <v>111552</v>
      </c>
      <c r="L1184" s="6" t="n">
        <v>118027</v>
      </c>
      <c r="M1184" s="6" t="s">
        <v>142</v>
      </c>
      <c r="N1184" s="6" t="n">
        <v>45</v>
      </c>
      <c r="O1184" s="6" t="s">
        <v>60</v>
      </c>
      <c r="P1184" s="6" t="n">
        <v>6</v>
      </c>
      <c r="Q1184" s="6" t="n">
        <v>-16.57</v>
      </c>
      <c r="R1184" s="20" t="n">
        <f aca="false">(L1184-K1184)/K1184</f>
        <v>0.0580446787148594</v>
      </c>
    </row>
    <row r="1185" customFormat="false" ht="15" hidden="false" customHeight="false" outlineLevel="0" collapsed="false">
      <c r="A1185" s="6" t="s">
        <v>1347</v>
      </c>
      <c r="B1185" s="6" t="n">
        <v>53</v>
      </c>
      <c r="C1185" s="6" t="s">
        <v>134</v>
      </c>
      <c r="D1185" s="6" t="s">
        <v>144</v>
      </c>
      <c r="E1185" s="6" t="s">
        <v>93</v>
      </c>
      <c r="F1185" s="6" t="s">
        <v>164</v>
      </c>
      <c r="G1185" s="6" t="n">
        <v>29</v>
      </c>
      <c r="H1185" s="6" t="s">
        <v>80</v>
      </c>
      <c r="I1185" s="6" t="s">
        <v>81</v>
      </c>
      <c r="J1185" s="6" t="s">
        <v>58</v>
      </c>
      <c r="K1185" s="6" t="n">
        <v>85612</v>
      </c>
      <c r="L1185" s="6" t="n">
        <v>86895</v>
      </c>
      <c r="M1185" s="6" t="s">
        <v>146</v>
      </c>
      <c r="N1185" s="6" t="n">
        <v>49</v>
      </c>
      <c r="O1185" s="6" t="s">
        <v>58</v>
      </c>
      <c r="P1185" s="6" t="n">
        <v>3</v>
      </c>
      <c r="Q1185" s="6" t="n">
        <v>27.98</v>
      </c>
      <c r="R1185" s="20" t="n">
        <f aca="false">(L1185-K1185)/K1185</f>
        <v>0.0149862168854833</v>
      </c>
    </row>
    <row r="1186" customFormat="false" ht="15" hidden="false" customHeight="false" outlineLevel="0" collapsed="false">
      <c r="A1186" s="6" t="s">
        <v>1348</v>
      </c>
      <c r="B1186" s="6" t="n">
        <v>31</v>
      </c>
      <c r="C1186" s="6" t="s">
        <v>159</v>
      </c>
      <c r="D1186" s="6" t="s">
        <v>135</v>
      </c>
      <c r="E1186" s="6" t="s">
        <v>88</v>
      </c>
      <c r="F1186" s="6" t="s">
        <v>234</v>
      </c>
      <c r="G1186" s="6" t="n">
        <v>5</v>
      </c>
      <c r="H1186" s="6" t="s">
        <v>81</v>
      </c>
      <c r="I1186" s="6" t="s">
        <v>81</v>
      </c>
      <c r="J1186" s="6" t="s">
        <v>58</v>
      </c>
      <c r="K1186" s="6" t="n">
        <v>36458</v>
      </c>
      <c r="L1186" s="6" t="n">
        <v>34777</v>
      </c>
      <c r="M1186" s="6" t="s">
        <v>146</v>
      </c>
      <c r="N1186" s="6" t="n">
        <v>51</v>
      </c>
      <c r="O1186" s="6" t="s">
        <v>58</v>
      </c>
      <c r="P1186" s="6" t="n">
        <v>5</v>
      </c>
      <c r="Q1186" s="6" t="n">
        <v>-14.01</v>
      </c>
      <c r="R1186" s="20" t="n">
        <f aca="false">(L1186-K1186)/K1186</f>
        <v>-0.0461078501289155</v>
      </c>
    </row>
    <row r="1187" customFormat="false" ht="15" hidden="false" customHeight="false" outlineLevel="0" collapsed="false">
      <c r="A1187" s="6" t="s">
        <v>1349</v>
      </c>
      <c r="B1187" s="6" t="n">
        <v>41</v>
      </c>
      <c r="C1187" s="6" t="s">
        <v>159</v>
      </c>
      <c r="D1187" s="6" t="s">
        <v>148</v>
      </c>
      <c r="E1187" s="6" t="s">
        <v>90</v>
      </c>
      <c r="F1187" s="6" t="s">
        <v>236</v>
      </c>
      <c r="G1187" s="6" t="n">
        <v>19</v>
      </c>
      <c r="H1187" s="6" t="s">
        <v>81</v>
      </c>
      <c r="I1187" s="6" t="s">
        <v>80</v>
      </c>
      <c r="J1187" s="6" t="s">
        <v>58</v>
      </c>
      <c r="K1187" s="6" t="n">
        <v>102833</v>
      </c>
      <c r="L1187" s="6" t="n">
        <v>96587</v>
      </c>
      <c r="M1187" s="6" t="s">
        <v>142</v>
      </c>
      <c r="N1187" s="6" t="n">
        <v>37</v>
      </c>
      <c r="O1187" s="6" t="s">
        <v>58</v>
      </c>
      <c r="P1187" s="6" t="n">
        <v>3</v>
      </c>
      <c r="Q1187" s="6" t="n">
        <v>-5.87</v>
      </c>
      <c r="R1187" s="20" t="n">
        <f aca="false">(L1187-K1187)/K1187</f>
        <v>-0.0607392568533447</v>
      </c>
    </row>
    <row r="1188" customFormat="false" ht="15" hidden="false" customHeight="false" outlineLevel="0" collapsed="false">
      <c r="A1188" s="6" t="s">
        <v>1350</v>
      </c>
      <c r="B1188" s="6" t="n">
        <v>43</v>
      </c>
      <c r="C1188" s="6" t="s">
        <v>139</v>
      </c>
      <c r="D1188" s="6" t="s">
        <v>148</v>
      </c>
      <c r="E1188" s="6" t="s">
        <v>87</v>
      </c>
      <c r="F1188" s="6" t="s">
        <v>160</v>
      </c>
      <c r="G1188" s="6" t="n">
        <v>18</v>
      </c>
      <c r="H1188" s="6" t="s">
        <v>80</v>
      </c>
      <c r="I1188" s="6" t="s">
        <v>80</v>
      </c>
      <c r="J1188" s="6" t="s">
        <v>60</v>
      </c>
      <c r="K1188" s="6" t="n">
        <v>30801</v>
      </c>
      <c r="L1188" s="6" t="n">
        <v>33766</v>
      </c>
      <c r="M1188" s="6" t="s">
        <v>142</v>
      </c>
      <c r="N1188" s="6" t="n">
        <v>40</v>
      </c>
      <c r="O1188" s="6" t="s">
        <v>60</v>
      </c>
      <c r="P1188" s="6" t="n">
        <v>4</v>
      </c>
      <c r="Q1188" s="6" t="n">
        <v>37.95</v>
      </c>
      <c r="R1188" s="20" t="n">
        <f aca="false">(L1188-K1188)/K1188</f>
        <v>0.0962631083406383</v>
      </c>
    </row>
    <row r="1189" customFormat="false" ht="15" hidden="false" customHeight="false" outlineLevel="0" collapsed="false">
      <c r="A1189" s="6" t="s">
        <v>1351</v>
      </c>
      <c r="B1189" s="6" t="n">
        <v>23</v>
      </c>
      <c r="C1189" s="6" t="s">
        <v>159</v>
      </c>
      <c r="D1189" s="6" t="s">
        <v>144</v>
      </c>
      <c r="E1189" s="6" t="s">
        <v>87</v>
      </c>
      <c r="F1189" s="6" t="s">
        <v>160</v>
      </c>
      <c r="G1189" s="6" t="n">
        <v>0</v>
      </c>
      <c r="H1189" s="6" t="s">
        <v>81</v>
      </c>
      <c r="I1189" s="6" t="s">
        <v>80</v>
      </c>
      <c r="J1189" s="6" t="s">
        <v>58</v>
      </c>
      <c r="K1189" s="6" t="n">
        <v>55705</v>
      </c>
      <c r="L1189" s="6" t="n">
        <v>52213</v>
      </c>
      <c r="M1189" s="6" t="s">
        <v>142</v>
      </c>
      <c r="N1189" s="6" t="n">
        <v>42</v>
      </c>
      <c r="O1189" s="6" t="s">
        <v>60</v>
      </c>
      <c r="P1189" s="6" t="n">
        <v>4</v>
      </c>
      <c r="Q1189" s="6" t="n">
        <v>37.73</v>
      </c>
      <c r="R1189" s="20" t="n">
        <f aca="false">(L1189-K1189)/K1189</f>
        <v>-0.0626873709720851</v>
      </c>
    </row>
    <row r="1190" customFormat="false" ht="15" hidden="false" customHeight="false" outlineLevel="0" collapsed="false">
      <c r="A1190" s="6" t="s">
        <v>1352</v>
      </c>
      <c r="B1190" s="6" t="n">
        <v>34</v>
      </c>
      <c r="C1190" s="6" t="s">
        <v>139</v>
      </c>
      <c r="D1190" s="6" t="s">
        <v>135</v>
      </c>
      <c r="E1190" s="6" t="s">
        <v>90</v>
      </c>
      <c r="F1190" s="6" t="s">
        <v>145</v>
      </c>
      <c r="G1190" s="6" t="n">
        <v>8</v>
      </c>
      <c r="H1190" s="6" t="s">
        <v>80</v>
      </c>
      <c r="I1190" s="6" t="s">
        <v>82</v>
      </c>
      <c r="J1190" s="6" t="s">
        <v>60</v>
      </c>
      <c r="K1190" s="6" t="n">
        <v>86235</v>
      </c>
      <c r="L1190" s="6" t="n">
        <v>93804</v>
      </c>
      <c r="M1190" s="6" t="s">
        <v>142</v>
      </c>
      <c r="N1190" s="6" t="n">
        <v>52</v>
      </c>
      <c r="O1190" s="6" t="s">
        <v>58</v>
      </c>
      <c r="P1190" s="6" t="n">
        <v>5</v>
      </c>
      <c r="Q1190" s="6" t="n">
        <v>34.25</v>
      </c>
      <c r="R1190" s="20" t="n">
        <f aca="false">(L1190-K1190)/K1190</f>
        <v>0.0877717863976344</v>
      </c>
    </row>
    <row r="1191" customFormat="false" ht="15" hidden="false" customHeight="false" outlineLevel="0" collapsed="false">
      <c r="A1191" s="6" t="s">
        <v>1353</v>
      </c>
      <c r="B1191" s="6" t="n">
        <v>59</v>
      </c>
      <c r="C1191" s="6" t="s">
        <v>139</v>
      </c>
      <c r="D1191" s="6" t="s">
        <v>140</v>
      </c>
      <c r="E1191" s="6" t="s">
        <v>91</v>
      </c>
      <c r="F1191" s="6" t="s">
        <v>141</v>
      </c>
      <c r="G1191" s="6" t="n">
        <v>35</v>
      </c>
      <c r="H1191" s="6" t="s">
        <v>81</v>
      </c>
      <c r="I1191" s="6" t="s">
        <v>80</v>
      </c>
      <c r="J1191" s="6" t="s">
        <v>60</v>
      </c>
      <c r="K1191" s="6" t="n">
        <v>55738</v>
      </c>
      <c r="L1191" s="6" t="n">
        <v>52829</v>
      </c>
      <c r="M1191" s="6" t="s">
        <v>142</v>
      </c>
      <c r="N1191" s="6" t="n">
        <v>52</v>
      </c>
      <c r="O1191" s="6" t="s">
        <v>58</v>
      </c>
      <c r="P1191" s="6" t="n">
        <v>3</v>
      </c>
      <c r="Q1191" s="6" t="n">
        <v>38.08</v>
      </c>
      <c r="R1191" s="20" t="n">
        <f aca="false">(L1191-K1191)/K1191</f>
        <v>-0.0521906060497327</v>
      </c>
    </row>
    <row r="1192" customFormat="false" ht="15" hidden="false" customHeight="false" outlineLevel="0" collapsed="false">
      <c r="A1192" s="6" t="s">
        <v>1354</v>
      </c>
      <c r="B1192" s="6" t="n">
        <v>31</v>
      </c>
      <c r="C1192" s="6" t="s">
        <v>159</v>
      </c>
      <c r="D1192" s="6" t="s">
        <v>144</v>
      </c>
      <c r="E1192" s="6" t="s">
        <v>88</v>
      </c>
      <c r="F1192" s="6" t="s">
        <v>179</v>
      </c>
      <c r="G1192" s="6" t="n">
        <v>8</v>
      </c>
      <c r="H1192" s="6" t="s">
        <v>80</v>
      </c>
      <c r="I1192" s="6" t="s">
        <v>81</v>
      </c>
      <c r="J1192" s="6" t="s">
        <v>58</v>
      </c>
      <c r="K1192" s="6" t="n">
        <v>117193</v>
      </c>
      <c r="L1192" s="6" t="n">
        <v>120376</v>
      </c>
      <c r="M1192" s="6" t="s">
        <v>146</v>
      </c>
      <c r="N1192" s="6" t="n">
        <v>44</v>
      </c>
      <c r="O1192" s="6" t="s">
        <v>58</v>
      </c>
      <c r="P1192" s="6" t="n">
        <v>9</v>
      </c>
      <c r="Q1192" s="6" t="n">
        <v>-0.14</v>
      </c>
      <c r="R1192" s="20" t="n">
        <f aca="false">(L1192-K1192)/K1192</f>
        <v>0.0271603252754004</v>
      </c>
    </row>
    <row r="1193" customFormat="false" ht="15" hidden="false" customHeight="false" outlineLevel="0" collapsed="false">
      <c r="A1193" s="6" t="s">
        <v>1355</v>
      </c>
      <c r="B1193" s="6" t="n">
        <v>25</v>
      </c>
      <c r="C1193" s="6" t="s">
        <v>159</v>
      </c>
      <c r="D1193" s="6" t="s">
        <v>144</v>
      </c>
      <c r="E1193" s="6" t="s">
        <v>87</v>
      </c>
      <c r="F1193" s="6" t="s">
        <v>160</v>
      </c>
      <c r="G1193" s="6" t="n">
        <v>0</v>
      </c>
      <c r="H1193" s="6" t="s">
        <v>82</v>
      </c>
      <c r="I1193" s="6" t="s">
        <v>82</v>
      </c>
      <c r="J1193" s="6" t="s">
        <v>58</v>
      </c>
      <c r="K1193" s="6" t="n">
        <v>81644</v>
      </c>
      <c r="L1193" s="6" t="n">
        <v>84971</v>
      </c>
      <c r="M1193" s="6" t="s">
        <v>146</v>
      </c>
      <c r="N1193" s="6" t="n">
        <v>49</v>
      </c>
      <c r="O1193" s="6" t="s">
        <v>60</v>
      </c>
      <c r="P1193" s="6" t="n">
        <v>9</v>
      </c>
      <c r="Q1193" s="6" t="n">
        <v>31.3</v>
      </c>
      <c r="R1193" s="20" t="n">
        <f aca="false">(L1193-K1193)/K1193</f>
        <v>0.0407500857380824</v>
      </c>
    </row>
    <row r="1194" customFormat="false" ht="15" hidden="false" customHeight="false" outlineLevel="0" collapsed="false">
      <c r="A1194" s="6" t="s">
        <v>1356</v>
      </c>
      <c r="B1194" s="6" t="n">
        <v>38</v>
      </c>
      <c r="C1194" s="6" t="s">
        <v>159</v>
      </c>
      <c r="D1194" s="6" t="s">
        <v>144</v>
      </c>
      <c r="E1194" s="6" t="s">
        <v>90</v>
      </c>
      <c r="F1194" s="6" t="s">
        <v>202</v>
      </c>
      <c r="G1194" s="6" t="n">
        <v>14</v>
      </c>
      <c r="H1194" s="6" t="s">
        <v>81</v>
      </c>
      <c r="I1194" s="6" t="s">
        <v>80</v>
      </c>
      <c r="J1194" s="6" t="s">
        <v>60</v>
      </c>
      <c r="K1194" s="6" t="n">
        <v>73516</v>
      </c>
      <c r="L1194" s="6" t="n">
        <v>79451</v>
      </c>
      <c r="M1194" s="6" t="s">
        <v>142</v>
      </c>
      <c r="N1194" s="6" t="n">
        <v>45</v>
      </c>
      <c r="O1194" s="6" t="s">
        <v>60</v>
      </c>
      <c r="P1194" s="6" t="n">
        <v>8</v>
      </c>
      <c r="Q1194" s="6" t="n">
        <v>-13.57</v>
      </c>
      <c r="R1194" s="20" t="n">
        <f aca="false">(L1194-K1194)/K1194</f>
        <v>0.0807307252842919</v>
      </c>
    </row>
    <row r="1195" customFormat="false" ht="15" hidden="false" customHeight="false" outlineLevel="0" collapsed="false">
      <c r="A1195" s="6" t="s">
        <v>1357</v>
      </c>
      <c r="B1195" s="6" t="n">
        <v>46</v>
      </c>
      <c r="C1195" s="6" t="s">
        <v>134</v>
      </c>
      <c r="D1195" s="6" t="s">
        <v>135</v>
      </c>
      <c r="E1195" s="6" t="s">
        <v>93</v>
      </c>
      <c r="F1195" s="6" t="s">
        <v>164</v>
      </c>
      <c r="G1195" s="6" t="n">
        <v>22</v>
      </c>
      <c r="H1195" s="6" t="s">
        <v>81</v>
      </c>
      <c r="I1195" s="6" t="s">
        <v>81</v>
      </c>
      <c r="J1195" s="6" t="s">
        <v>58</v>
      </c>
      <c r="K1195" s="6" t="n">
        <v>68015</v>
      </c>
      <c r="L1195" s="6" t="n">
        <v>68769</v>
      </c>
      <c r="M1195" s="6" t="s">
        <v>146</v>
      </c>
      <c r="N1195" s="6" t="n">
        <v>53</v>
      </c>
      <c r="O1195" s="6" t="s">
        <v>58</v>
      </c>
      <c r="P1195" s="6" t="n">
        <v>9</v>
      </c>
      <c r="Q1195" s="6" t="n">
        <v>-6.43</v>
      </c>
      <c r="R1195" s="20" t="n">
        <f aca="false">(L1195-K1195)/K1195</f>
        <v>0.0110857898992869</v>
      </c>
    </row>
    <row r="1196" customFormat="false" ht="15" hidden="false" customHeight="false" outlineLevel="0" collapsed="false">
      <c r="A1196" s="6" t="s">
        <v>1358</v>
      </c>
      <c r="B1196" s="6" t="n">
        <v>47</v>
      </c>
      <c r="C1196" s="6" t="s">
        <v>159</v>
      </c>
      <c r="D1196" s="6" t="s">
        <v>144</v>
      </c>
      <c r="E1196" s="6" t="s">
        <v>93</v>
      </c>
      <c r="F1196" s="6" t="s">
        <v>197</v>
      </c>
      <c r="G1196" s="6" t="n">
        <v>24</v>
      </c>
      <c r="H1196" s="6" t="s">
        <v>82</v>
      </c>
      <c r="I1196" s="6" t="s">
        <v>82</v>
      </c>
      <c r="J1196" s="6" t="s">
        <v>58</v>
      </c>
      <c r="K1196" s="6" t="n">
        <v>79832</v>
      </c>
      <c r="L1196" s="6" t="n">
        <v>73475</v>
      </c>
      <c r="M1196" s="6" t="s">
        <v>146</v>
      </c>
      <c r="N1196" s="6" t="n">
        <v>36</v>
      </c>
      <c r="O1196" s="6" t="s">
        <v>58</v>
      </c>
      <c r="P1196" s="6" t="n">
        <v>4</v>
      </c>
      <c r="Q1196" s="6" t="n">
        <v>22.91</v>
      </c>
      <c r="R1196" s="20" t="n">
        <f aca="false">(L1196-K1196)/K1196</f>
        <v>-0.0796297224170759</v>
      </c>
    </row>
    <row r="1197" customFormat="false" ht="15" hidden="false" customHeight="false" outlineLevel="0" collapsed="false">
      <c r="A1197" s="6" t="s">
        <v>1359</v>
      </c>
      <c r="B1197" s="6" t="n">
        <v>37</v>
      </c>
      <c r="C1197" s="6" t="s">
        <v>134</v>
      </c>
      <c r="D1197" s="6" t="s">
        <v>135</v>
      </c>
      <c r="E1197" s="6" t="s">
        <v>90</v>
      </c>
      <c r="F1197" s="6" t="s">
        <v>145</v>
      </c>
      <c r="G1197" s="6" t="n">
        <v>15</v>
      </c>
      <c r="H1197" s="6" t="s">
        <v>81</v>
      </c>
      <c r="I1197" s="6" t="s">
        <v>80</v>
      </c>
      <c r="J1197" s="6" t="s">
        <v>60</v>
      </c>
      <c r="K1197" s="6" t="n">
        <v>38859</v>
      </c>
      <c r="L1197" s="6" t="n">
        <v>38050</v>
      </c>
      <c r="M1197" s="6" t="s">
        <v>142</v>
      </c>
      <c r="N1197" s="6" t="n">
        <v>36</v>
      </c>
      <c r="O1197" s="6" t="s">
        <v>60</v>
      </c>
      <c r="P1197" s="6" t="n">
        <v>5</v>
      </c>
      <c r="Q1197" s="6" t="n">
        <v>5.65</v>
      </c>
      <c r="R1197" s="20" t="n">
        <f aca="false">(L1197-K1197)/K1197</f>
        <v>-0.0208188579222317</v>
      </c>
    </row>
    <row r="1198" customFormat="false" ht="15" hidden="false" customHeight="false" outlineLevel="0" collapsed="false">
      <c r="A1198" s="6" t="s">
        <v>1360</v>
      </c>
      <c r="B1198" s="6" t="n">
        <v>23</v>
      </c>
      <c r="C1198" s="6" t="s">
        <v>134</v>
      </c>
      <c r="D1198" s="6" t="s">
        <v>140</v>
      </c>
      <c r="E1198" s="6" t="s">
        <v>92</v>
      </c>
      <c r="F1198" s="6" t="s">
        <v>136</v>
      </c>
      <c r="G1198" s="6" t="n">
        <v>0</v>
      </c>
      <c r="H1198" s="6" t="s">
        <v>81</v>
      </c>
      <c r="I1198" s="6" t="s">
        <v>81</v>
      </c>
      <c r="J1198" s="6" t="s">
        <v>58</v>
      </c>
      <c r="K1198" s="6" t="n">
        <v>52948</v>
      </c>
      <c r="L1198" s="6" t="n">
        <v>59840</v>
      </c>
      <c r="M1198" s="6" t="s">
        <v>146</v>
      </c>
      <c r="N1198" s="6" t="n">
        <v>38</v>
      </c>
      <c r="O1198" s="6" t="s">
        <v>60</v>
      </c>
      <c r="P1198" s="6" t="n">
        <v>5</v>
      </c>
      <c r="Q1198" s="6" t="n">
        <v>-7.65</v>
      </c>
      <c r="R1198" s="20" t="n">
        <f aca="false">(L1198-K1198)/K1198</f>
        <v>0.1301654453426</v>
      </c>
    </row>
    <row r="1199" customFormat="false" ht="15" hidden="false" customHeight="false" outlineLevel="0" collapsed="false">
      <c r="A1199" s="6" t="s">
        <v>1361</v>
      </c>
      <c r="B1199" s="6" t="n">
        <v>31</v>
      </c>
      <c r="C1199" s="6" t="s">
        <v>139</v>
      </c>
      <c r="D1199" s="6" t="s">
        <v>140</v>
      </c>
      <c r="E1199" s="6" t="s">
        <v>90</v>
      </c>
      <c r="F1199" s="6" t="s">
        <v>145</v>
      </c>
      <c r="G1199" s="6" t="n">
        <v>7</v>
      </c>
      <c r="H1199" s="6" t="s">
        <v>80</v>
      </c>
      <c r="I1199" s="6" t="s">
        <v>81</v>
      </c>
      <c r="J1199" s="6" t="s">
        <v>60</v>
      </c>
      <c r="K1199" s="6" t="n">
        <v>97853</v>
      </c>
      <c r="L1199" s="6" t="n">
        <v>95996</v>
      </c>
      <c r="M1199" s="6" t="s">
        <v>146</v>
      </c>
      <c r="N1199" s="6" t="n">
        <v>50</v>
      </c>
      <c r="O1199" s="6" t="s">
        <v>58</v>
      </c>
      <c r="P1199" s="6" t="n">
        <v>5</v>
      </c>
      <c r="Q1199" s="6" t="n">
        <v>1.49</v>
      </c>
      <c r="R1199" s="20" t="n">
        <f aca="false">(L1199-K1199)/K1199</f>
        <v>-0.0189774457604775</v>
      </c>
    </row>
    <row r="1200" customFormat="false" ht="15" hidden="false" customHeight="false" outlineLevel="0" collapsed="false">
      <c r="A1200" s="6" t="s">
        <v>1362</v>
      </c>
      <c r="B1200" s="6" t="n">
        <v>23</v>
      </c>
      <c r="C1200" s="6" t="s">
        <v>139</v>
      </c>
      <c r="D1200" s="6" t="s">
        <v>140</v>
      </c>
      <c r="E1200" s="6" t="s">
        <v>93</v>
      </c>
      <c r="F1200" s="6" t="s">
        <v>181</v>
      </c>
      <c r="G1200" s="6" t="n">
        <v>0</v>
      </c>
      <c r="H1200" s="6" t="s">
        <v>81</v>
      </c>
      <c r="I1200" s="6" t="s">
        <v>82</v>
      </c>
      <c r="J1200" s="6" t="s">
        <v>60</v>
      </c>
      <c r="K1200" s="6" t="n">
        <v>78380</v>
      </c>
      <c r="L1200" s="6" t="n">
        <v>82550</v>
      </c>
      <c r="M1200" s="6" t="s">
        <v>142</v>
      </c>
      <c r="N1200" s="6" t="n">
        <v>54</v>
      </c>
      <c r="O1200" s="6" t="s">
        <v>60</v>
      </c>
      <c r="P1200" s="6" t="n">
        <v>9</v>
      </c>
      <c r="Q1200" s="6" t="n">
        <v>8.62</v>
      </c>
      <c r="R1200" s="20" t="n">
        <f aca="false">(L1200-K1200)/K1200</f>
        <v>0.0532023475376372</v>
      </c>
    </row>
    <row r="1201" customFormat="false" ht="15" hidden="false" customHeight="false" outlineLevel="0" collapsed="false">
      <c r="A1201" s="6" t="s">
        <v>1363</v>
      </c>
      <c r="B1201" s="6" t="n">
        <v>35</v>
      </c>
      <c r="C1201" s="6" t="s">
        <v>139</v>
      </c>
      <c r="D1201" s="6" t="s">
        <v>144</v>
      </c>
      <c r="E1201" s="6" t="s">
        <v>89</v>
      </c>
      <c r="F1201" s="6" t="s">
        <v>153</v>
      </c>
      <c r="G1201" s="6" t="n">
        <v>12</v>
      </c>
      <c r="H1201" s="6" t="s">
        <v>82</v>
      </c>
      <c r="I1201" s="6" t="s">
        <v>80</v>
      </c>
      <c r="J1201" s="6" t="s">
        <v>60</v>
      </c>
      <c r="K1201" s="6" t="n">
        <v>46304</v>
      </c>
      <c r="L1201" s="6" t="n">
        <v>61942</v>
      </c>
      <c r="M1201" s="6" t="s">
        <v>142</v>
      </c>
      <c r="N1201" s="6" t="n">
        <v>44</v>
      </c>
      <c r="O1201" s="6" t="s">
        <v>58</v>
      </c>
      <c r="P1201" s="6" t="n">
        <v>4</v>
      </c>
      <c r="Q1201" s="6" t="n">
        <v>28.4</v>
      </c>
      <c r="R1201" s="20" t="n">
        <f aca="false">(L1201-K1201)/K1201</f>
        <v>0.337724602626123</v>
      </c>
    </row>
    <row r="1202" customFormat="false" ht="15" hidden="false" customHeight="false" outlineLevel="0" collapsed="false">
      <c r="A1202" s="6" t="s">
        <v>1364</v>
      </c>
      <c r="B1202" s="6" t="n">
        <v>39</v>
      </c>
      <c r="C1202" s="6" t="s">
        <v>139</v>
      </c>
      <c r="D1202" s="6" t="s">
        <v>135</v>
      </c>
      <c r="E1202" s="6" t="s">
        <v>89</v>
      </c>
      <c r="F1202" s="6" t="s">
        <v>153</v>
      </c>
      <c r="G1202" s="6" t="n">
        <v>17</v>
      </c>
      <c r="H1202" s="6" t="s">
        <v>82</v>
      </c>
      <c r="I1202" s="6" t="s">
        <v>81</v>
      </c>
      <c r="J1202" s="6" t="s">
        <v>58</v>
      </c>
      <c r="K1202" s="6" t="n">
        <v>74990</v>
      </c>
      <c r="L1202" s="6" t="n">
        <v>90613</v>
      </c>
      <c r="M1202" s="6" t="s">
        <v>146</v>
      </c>
      <c r="N1202" s="6" t="n">
        <v>42</v>
      </c>
      <c r="O1202" s="6" t="s">
        <v>60</v>
      </c>
      <c r="P1202" s="6" t="n">
        <v>9</v>
      </c>
      <c r="Q1202" s="6" t="n">
        <v>31.53</v>
      </c>
      <c r="R1202" s="20" t="n">
        <f aca="false">(L1202-K1202)/K1202</f>
        <v>0.208334444592612</v>
      </c>
    </row>
    <row r="1203" customFormat="false" ht="15" hidden="false" customHeight="false" outlineLevel="0" collapsed="false">
      <c r="A1203" s="6" t="s">
        <v>1365</v>
      </c>
      <c r="B1203" s="6" t="n">
        <v>24</v>
      </c>
      <c r="C1203" s="6" t="s">
        <v>159</v>
      </c>
      <c r="D1203" s="6" t="s">
        <v>135</v>
      </c>
      <c r="E1203" s="6" t="s">
        <v>92</v>
      </c>
      <c r="F1203" s="6" t="s">
        <v>222</v>
      </c>
      <c r="G1203" s="6" t="n">
        <v>0</v>
      </c>
      <c r="H1203" s="6" t="s">
        <v>80</v>
      </c>
      <c r="I1203" s="6" t="s">
        <v>81</v>
      </c>
      <c r="J1203" s="6" t="s">
        <v>60</v>
      </c>
      <c r="K1203" s="6" t="n">
        <v>80411</v>
      </c>
      <c r="L1203" s="6" t="n">
        <v>77021</v>
      </c>
      <c r="M1203" s="6" t="s">
        <v>146</v>
      </c>
      <c r="N1203" s="6" t="n">
        <v>51</v>
      </c>
      <c r="O1203" s="6" t="s">
        <v>58</v>
      </c>
      <c r="P1203" s="6" t="n">
        <v>8</v>
      </c>
      <c r="Q1203" s="6" t="n">
        <v>-6.14</v>
      </c>
      <c r="R1203" s="20" t="n">
        <f aca="false">(L1203-K1203)/K1203</f>
        <v>-0.0421584111626519</v>
      </c>
    </row>
    <row r="1204" customFormat="false" ht="15" hidden="false" customHeight="false" outlineLevel="0" collapsed="false">
      <c r="A1204" s="6" t="s">
        <v>1366</v>
      </c>
      <c r="B1204" s="6" t="n">
        <v>30</v>
      </c>
      <c r="C1204" s="6" t="s">
        <v>139</v>
      </c>
      <c r="D1204" s="6" t="s">
        <v>144</v>
      </c>
      <c r="E1204" s="6" t="s">
        <v>89</v>
      </c>
      <c r="F1204" s="6" t="s">
        <v>151</v>
      </c>
      <c r="G1204" s="6" t="n">
        <v>4</v>
      </c>
      <c r="H1204" s="6" t="s">
        <v>82</v>
      </c>
      <c r="I1204" s="6" t="s">
        <v>82</v>
      </c>
      <c r="J1204" s="6" t="s">
        <v>60</v>
      </c>
      <c r="K1204" s="6" t="n">
        <v>111867</v>
      </c>
      <c r="L1204" s="6" t="n">
        <v>155127</v>
      </c>
      <c r="M1204" s="6" t="s">
        <v>146</v>
      </c>
      <c r="N1204" s="6" t="n">
        <v>37</v>
      </c>
      <c r="O1204" s="6" t="s">
        <v>60</v>
      </c>
      <c r="P1204" s="6" t="n">
        <v>7</v>
      </c>
      <c r="Q1204" s="6" t="n">
        <v>-7.97</v>
      </c>
      <c r="R1204" s="20" t="n">
        <f aca="false">(L1204-K1204)/K1204</f>
        <v>0.38670921719542</v>
      </c>
    </row>
    <row r="1205" customFormat="false" ht="15" hidden="false" customHeight="false" outlineLevel="0" collapsed="false">
      <c r="A1205" s="6" t="s">
        <v>1367</v>
      </c>
      <c r="B1205" s="6" t="n">
        <v>32</v>
      </c>
      <c r="C1205" s="6" t="s">
        <v>134</v>
      </c>
      <c r="D1205" s="6" t="s">
        <v>144</v>
      </c>
      <c r="E1205" s="6" t="s">
        <v>90</v>
      </c>
      <c r="F1205" s="6" t="s">
        <v>145</v>
      </c>
      <c r="G1205" s="6" t="n">
        <v>7</v>
      </c>
      <c r="H1205" s="6" t="s">
        <v>82</v>
      </c>
      <c r="I1205" s="6" t="s">
        <v>82</v>
      </c>
      <c r="J1205" s="6" t="s">
        <v>60</v>
      </c>
      <c r="K1205" s="6" t="n">
        <v>36791</v>
      </c>
      <c r="L1205" s="6" t="n">
        <v>44274</v>
      </c>
      <c r="M1205" s="6" t="s">
        <v>137</v>
      </c>
      <c r="N1205" s="6" t="n">
        <v>40</v>
      </c>
      <c r="O1205" s="6" t="s">
        <v>60</v>
      </c>
      <c r="P1205" s="6" t="n">
        <v>9</v>
      </c>
      <c r="Q1205" s="6" t="n">
        <v>11.87</v>
      </c>
      <c r="R1205" s="20" t="n">
        <f aca="false">(L1205-K1205)/K1205</f>
        <v>0.203392133945802</v>
      </c>
    </row>
    <row r="1206" customFormat="false" ht="15" hidden="false" customHeight="false" outlineLevel="0" collapsed="false">
      <c r="A1206" s="6" t="s">
        <v>1368</v>
      </c>
      <c r="B1206" s="6" t="n">
        <v>51</v>
      </c>
      <c r="C1206" s="6" t="s">
        <v>139</v>
      </c>
      <c r="D1206" s="6" t="s">
        <v>148</v>
      </c>
      <c r="E1206" s="6" t="s">
        <v>93</v>
      </c>
      <c r="F1206" s="6" t="s">
        <v>197</v>
      </c>
      <c r="G1206" s="6" t="n">
        <v>26</v>
      </c>
      <c r="H1206" s="6" t="s">
        <v>82</v>
      </c>
      <c r="I1206" s="6" t="s">
        <v>82</v>
      </c>
      <c r="J1206" s="6" t="s">
        <v>58</v>
      </c>
      <c r="K1206" s="6" t="n">
        <v>39967</v>
      </c>
      <c r="L1206" s="6" t="n">
        <v>36102</v>
      </c>
      <c r="M1206" s="6" t="s">
        <v>137</v>
      </c>
      <c r="N1206" s="6" t="n">
        <v>38</v>
      </c>
      <c r="O1206" s="6" t="s">
        <v>60</v>
      </c>
      <c r="P1206" s="6" t="n">
        <v>5</v>
      </c>
      <c r="Q1206" s="6" t="n">
        <v>31.03</v>
      </c>
      <c r="R1206" s="20" t="n">
        <f aca="false">(L1206-K1206)/K1206</f>
        <v>-0.0967047814446919</v>
      </c>
    </row>
    <row r="1207" customFormat="false" ht="15" hidden="false" customHeight="false" outlineLevel="0" collapsed="false">
      <c r="A1207" s="6" t="s">
        <v>1369</v>
      </c>
      <c r="B1207" s="6" t="n">
        <v>34</v>
      </c>
      <c r="C1207" s="6" t="s">
        <v>139</v>
      </c>
      <c r="D1207" s="6" t="s">
        <v>135</v>
      </c>
      <c r="E1207" s="6" t="s">
        <v>91</v>
      </c>
      <c r="F1207" s="6" t="s">
        <v>141</v>
      </c>
      <c r="G1207" s="6" t="n">
        <v>8</v>
      </c>
      <c r="H1207" s="6" t="s">
        <v>81</v>
      </c>
      <c r="I1207" s="6" t="s">
        <v>80</v>
      </c>
      <c r="J1207" s="6" t="s">
        <v>58</v>
      </c>
      <c r="K1207" s="6" t="n">
        <v>49971</v>
      </c>
      <c r="L1207" s="6" t="n">
        <v>54705</v>
      </c>
      <c r="M1207" s="6" t="s">
        <v>142</v>
      </c>
      <c r="N1207" s="6" t="n">
        <v>40</v>
      </c>
      <c r="O1207" s="6" t="s">
        <v>60</v>
      </c>
      <c r="P1207" s="6" t="n">
        <v>4</v>
      </c>
      <c r="Q1207" s="6" t="n">
        <v>21.88</v>
      </c>
      <c r="R1207" s="20" t="n">
        <f aca="false">(L1207-K1207)/K1207</f>
        <v>0.0947349462688359</v>
      </c>
    </row>
    <row r="1208" customFormat="false" ht="15" hidden="false" customHeight="false" outlineLevel="0" collapsed="false">
      <c r="A1208" s="6" t="s">
        <v>1370</v>
      </c>
      <c r="B1208" s="6" t="n">
        <v>34</v>
      </c>
      <c r="C1208" s="6" t="s">
        <v>159</v>
      </c>
      <c r="D1208" s="6" t="s">
        <v>148</v>
      </c>
      <c r="E1208" s="6" t="s">
        <v>90</v>
      </c>
      <c r="F1208" s="6" t="s">
        <v>236</v>
      </c>
      <c r="G1208" s="6" t="n">
        <v>9</v>
      </c>
      <c r="H1208" s="6" t="s">
        <v>80</v>
      </c>
      <c r="I1208" s="6" t="s">
        <v>81</v>
      </c>
      <c r="J1208" s="6" t="s">
        <v>60</v>
      </c>
      <c r="K1208" s="6" t="n">
        <v>114793</v>
      </c>
      <c r="L1208" s="6" t="n">
        <v>111270</v>
      </c>
      <c r="M1208" s="6" t="s">
        <v>146</v>
      </c>
      <c r="N1208" s="6" t="n">
        <v>47</v>
      </c>
      <c r="O1208" s="6" t="s">
        <v>60</v>
      </c>
      <c r="P1208" s="6" t="n">
        <v>7</v>
      </c>
      <c r="Q1208" s="6" t="n">
        <v>36.86</v>
      </c>
      <c r="R1208" s="20" t="n">
        <f aca="false">(L1208-K1208)/K1208</f>
        <v>-0.0306900246530712</v>
      </c>
    </row>
    <row r="1209" customFormat="false" ht="15" hidden="false" customHeight="false" outlineLevel="0" collapsed="false">
      <c r="A1209" s="6" t="s">
        <v>1371</v>
      </c>
      <c r="B1209" s="6" t="n">
        <v>49</v>
      </c>
      <c r="C1209" s="6" t="s">
        <v>139</v>
      </c>
      <c r="D1209" s="6" t="s">
        <v>135</v>
      </c>
      <c r="E1209" s="6" t="s">
        <v>87</v>
      </c>
      <c r="F1209" s="6" t="s">
        <v>155</v>
      </c>
      <c r="G1209" s="6" t="n">
        <v>23</v>
      </c>
      <c r="H1209" s="6" t="s">
        <v>82</v>
      </c>
      <c r="I1209" s="6" t="s">
        <v>82</v>
      </c>
      <c r="J1209" s="6" t="s">
        <v>60</v>
      </c>
      <c r="K1209" s="6" t="n">
        <v>65393</v>
      </c>
      <c r="L1209" s="6" t="n">
        <v>71851</v>
      </c>
      <c r="M1209" s="6" t="s">
        <v>137</v>
      </c>
      <c r="N1209" s="6" t="n">
        <v>43</v>
      </c>
      <c r="O1209" s="6" t="s">
        <v>58</v>
      </c>
      <c r="P1209" s="6" t="n">
        <v>3</v>
      </c>
      <c r="Q1209" s="6" t="n">
        <v>-1.4</v>
      </c>
      <c r="R1209" s="20" t="n">
        <f aca="false">(L1209-K1209)/K1209</f>
        <v>0.0987567476641231</v>
      </c>
    </row>
    <row r="1210" customFormat="false" ht="15" hidden="false" customHeight="false" outlineLevel="0" collapsed="false">
      <c r="A1210" s="6" t="s">
        <v>1372</v>
      </c>
      <c r="B1210" s="6" t="n">
        <v>35</v>
      </c>
      <c r="C1210" s="6" t="s">
        <v>139</v>
      </c>
      <c r="D1210" s="6" t="s">
        <v>140</v>
      </c>
      <c r="E1210" s="6" t="s">
        <v>90</v>
      </c>
      <c r="F1210" s="6" t="s">
        <v>202</v>
      </c>
      <c r="G1210" s="6" t="n">
        <v>9</v>
      </c>
      <c r="H1210" s="6" t="s">
        <v>81</v>
      </c>
      <c r="I1210" s="6" t="s">
        <v>80</v>
      </c>
      <c r="J1210" s="6" t="s">
        <v>58</v>
      </c>
      <c r="K1210" s="6" t="n">
        <v>84639</v>
      </c>
      <c r="L1210" s="6" t="n">
        <v>77367</v>
      </c>
      <c r="M1210" s="6" t="s">
        <v>142</v>
      </c>
      <c r="N1210" s="6" t="n">
        <v>51</v>
      </c>
      <c r="O1210" s="6" t="s">
        <v>60</v>
      </c>
      <c r="P1210" s="6" t="n">
        <v>8</v>
      </c>
      <c r="Q1210" s="6" t="n">
        <v>13.98</v>
      </c>
      <c r="R1210" s="20" t="n">
        <f aca="false">(L1210-K1210)/K1210</f>
        <v>-0.0859178392939425</v>
      </c>
    </row>
    <row r="1211" customFormat="false" ht="15" hidden="false" customHeight="false" outlineLevel="0" collapsed="false">
      <c r="A1211" s="6" t="s">
        <v>1373</v>
      </c>
      <c r="B1211" s="6" t="n">
        <v>34</v>
      </c>
      <c r="C1211" s="6" t="s">
        <v>134</v>
      </c>
      <c r="D1211" s="6" t="s">
        <v>148</v>
      </c>
      <c r="E1211" s="6" t="s">
        <v>93</v>
      </c>
      <c r="F1211" s="6" t="s">
        <v>197</v>
      </c>
      <c r="G1211" s="6" t="n">
        <v>10</v>
      </c>
      <c r="H1211" s="6" t="s">
        <v>81</v>
      </c>
      <c r="I1211" s="6" t="s">
        <v>82</v>
      </c>
      <c r="J1211" s="6" t="s">
        <v>60</v>
      </c>
      <c r="K1211" s="6" t="n">
        <v>66142</v>
      </c>
      <c r="L1211" s="6" t="n">
        <v>59927</v>
      </c>
      <c r="M1211" s="6" t="s">
        <v>142</v>
      </c>
      <c r="N1211" s="6" t="n">
        <v>45</v>
      </c>
      <c r="O1211" s="6" t="s">
        <v>58</v>
      </c>
      <c r="P1211" s="6" t="n">
        <v>6</v>
      </c>
      <c r="Q1211" s="6" t="n">
        <v>25.16</v>
      </c>
      <c r="R1211" s="20" t="n">
        <f aca="false">(L1211-K1211)/K1211</f>
        <v>-0.0939645006198785</v>
      </c>
    </row>
    <row r="1212" customFormat="false" ht="15" hidden="false" customHeight="false" outlineLevel="0" collapsed="false">
      <c r="A1212" s="6" t="s">
        <v>1374</v>
      </c>
      <c r="B1212" s="6" t="n">
        <v>24</v>
      </c>
      <c r="C1212" s="6" t="s">
        <v>139</v>
      </c>
      <c r="D1212" s="6" t="s">
        <v>148</v>
      </c>
      <c r="E1212" s="6" t="s">
        <v>90</v>
      </c>
      <c r="F1212" s="6" t="s">
        <v>202</v>
      </c>
      <c r="G1212" s="6" t="n">
        <v>0</v>
      </c>
      <c r="H1212" s="6" t="s">
        <v>81</v>
      </c>
      <c r="I1212" s="6" t="s">
        <v>80</v>
      </c>
      <c r="J1212" s="6" t="s">
        <v>60</v>
      </c>
      <c r="K1212" s="6" t="n">
        <v>35387</v>
      </c>
      <c r="L1212" s="6" t="n">
        <v>41270</v>
      </c>
      <c r="M1212" s="6" t="s">
        <v>142</v>
      </c>
      <c r="N1212" s="6" t="n">
        <v>51</v>
      </c>
      <c r="O1212" s="6" t="s">
        <v>60</v>
      </c>
      <c r="P1212" s="6" t="n">
        <v>9</v>
      </c>
      <c r="Q1212" s="6" t="n">
        <v>18.48</v>
      </c>
      <c r="R1212" s="20" t="n">
        <f aca="false">(L1212-K1212)/K1212</f>
        <v>0.166247492016842</v>
      </c>
    </row>
    <row r="1213" customFormat="false" ht="15" hidden="false" customHeight="false" outlineLevel="0" collapsed="false">
      <c r="A1213" s="6" t="s">
        <v>1375</v>
      </c>
      <c r="B1213" s="6" t="n">
        <v>54</v>
      </c>
      <c r="C1213" s="6" t="s">
        <v>139</v>
      </c>
      <c r="D1213" s="6" t="s">
        <v>148</v>
      </c>
      <c r="E1213" s="6" t="s">
        <v>88</v>
      </c>
      <c r="F1213" s="6" t="s">
        <v>157</v>
      </c>
      <c r="G1213" s="6" t="n">
        <v>30</v>
      </c>
      <c r="H1213" s="6" t="s">
        <v>82</v>
      </c>
      <c r="I1213" s="6" t="s">
        <v>82</v>
      </c>
      <c r="J1213" s="6" t="s">
        <v>60</v>
      </c>
      <c r="K1213" s="6" t="n">
        <v>41595</v>
      </c>
      <c r="L1213" s="6" t="n">
        <v>49301</v>
      </c>
      <c r="M1213" s="6" t="s">
        <v>146</v>
      </c>
      <c r="N1213" s="6" t="n">
        <v>48</v>
      </c>
      <c r="O1213" s="6" t="s">
        <v>58</v>
      </c>
      <c r="P1213" s="6" t="n">
        <v>8</v>
      </c>
      <c r="Q1213" s="6" t="n">
        <v>-2.11</v>
      </c>
      <c r="R1213" s="20" t="n">
        <f aca="false">(L1213-K1213)/K1213</f>
        <v>0.185262651761029</v>
      </c>
    </row>
    <row r="1214" customFormat="false" ht="15" hidden="false" customHeight="false" outlineLevel="0" collapsed="false">
      <c r="A1214" s="6" t="s">
        <v>1376</v>
      </c>
      <c r="B1214" s="6" t="n">
        <v>54</v>
      </c>
      <c r="C1214" s="6" t="s">
        <v>134</v>
      </c>
      <c r="D1214" s="6" t="s">
        <v>148</v>
      </c>
      <c r="E1214" s="6" t="s">
        <v>89</v>
      </c>
      <c r="F1214" s="6" t="s">
        <v>153</v>
      </c>
      <c r="G1214" s="6" t="n">
        <v>28</v>
      </c>
      <c r="H1214" s="6" t="s">
        <v>81</v>
      </c>
      <c r="I1214" s="6" t="s">
        <v>80</v>
      </c>
      <c r="J1214" s="6" t="s">
        <v>58</v>
      </c>
      <c r="K1214" s="6" t="n">
        <v>65645</v>
      </c>
      <c r="L1214" s="6" t="n">
        <v>67240</v>
      </c>
      <c r="M1214" s="6" t="s">
        <v>142</v>
      </c>
      <c r="N1214" s="6" t="n">
        <v>44</v>
      </c>
      <c r="O1214" s="6" t="s">
        <v>58</v>
      </c>
      <c r="P1214" s="6" t="n">
        <v>8</v>
      </c>
      <c r="Q1214" s="6" t="n">
        <v>-13.26</v>
      </c>
      <c r="R1214" s="20" t="n">
        <f aca="false">(L1214-K1214)/K1214</f>
        <v>0.0242973569959631</v>
      </c>
    </row>
    <row r="1215" customFormat="false" ht="15" hidden="false" customHeight="false" outlineLevel="0" collapsed="false">
      <c r="A1215" s="6" t="s">
        <v>1377</v>
      </c>
      <c r="B1215" s="6" t="n">
        <v>59</v>
      </c>
      <c r="C1215" s="6" t="s">
        <v>134</v>
      </c>
      <c r="D1215" s="6" t="s">
        <v>144</v>
      </c>
      <c r="E1215" s="6" t="s">
        <v>89</v>
      </c>
      <c r="F1215" s="6" t="s">
        <v>162</v>
      </c>
      <c r="G1215" s="6" t="n">
        <v>37</v>
      </c>
      <c r="H1215" s="6" t="s">
        <v>81</v>
      </c>
      <c r="I1215" s="6" t="s">
        <v>82</v>
      </c>
      <c r="J1215" s="6" t="s">
        <v>58</v>
      </c>
      <c r="K1215" s="6" t="n">
        <v>92709</v>
      </c>
      <c r="L1215" s="6" t="n">
        <v>91573</v>
      </c>
      <c r="M1215" s="6" t="s">
        <v>142</v>
      </c>
      <c r="N1215" s="6" t="n">
        <v>54</v>
      </c>
      <c r="O1215" s="6" t="s">
        <v>60</v>
      </c>
      <c r="P1215" s="6" t="n">
        <v>8</v>
      </c>
      <c r="Q1215" s="6" t="n">
        <v>-9.95</v>
      </c>
      <c r="R1215" s="20" t="n">
        <f aca="false">(L1215-K1215)/K1215</f>
        <v>-0.0122533950317661</v>
      </c>
    </row>
    <row r="1216" customFormat="false" ht="15" hidden="false" customHeight="false" outlineLevel="0" collapsed="false">
      <c r="A1216" s="6" t="s">
        <v>1378</v>
      </c>
      <c r="B1216" s="6" t="n">
        <v>45</v>
      </c>
      <c r="C1216" s="6" t="s">
        <v>139</v>
      </c>
      <c r="D1216" s="6" t="s">
        <v>144</v>
      </c>
      <c r="E1216" s="6" t="s">
        <v>87</v>
      </c>
      <c r="F1216" s="6" t="s">
        <v>160</v>
      </c>
      <c r="G1216" s="6" t="n">
        <v>23</v>
      </c>
      <c r="H1216" s="6" t="s">
        <v>81</v>
      </c>
      <c r="I1216" s="6" t="s">
        <v>81</v>
      </c>
      <c r="J1216" s="6" t="s">
        <v>58</v>
      </c>
      <c r="K1216" s="6" t="n">
        <v>76930</v>
      </c>
      <c r="L1216" s="6" t="n">
        <v>73717</v>
      </c>
      <c r="M1216" s="6" t="s">
        <v>146</v>
      </c>
      <c r="N1216" s="6" t="n">
        <v>42</v>
      </c>
      <c r="O1216" s="6" t="s">
        <v>58</v>
      </c>
      <c r="P1216" s="6" t="n">
        <v>3</v>
      </c>
      <c r="Q1216" s="6" t="n">
        <v>12.2</v>
      </c>
      <c r="R1216" s="20" t="n">
        <f aca="false">(L1216-K1216)/K1216</f>
        <v>-0.0417652411282985</v>
      </c>
    </row>
    <row r="1217" customFormat="false" ht="15" hidden="false" customHeight="false" outlineLevel="0" collapsed="false">
      <c r="A1217" s="6" t="s">
        <v>1379</v>
      </c>
      <c r="B1217" s="6" t="n">
        <v>30</v>
      </c>
      <c r="C1217" s="6" t="s">
        <v>134</v>
      </c>
      <c r="D1217" s="6" t="s">
        <v>135</v>
      </c>
      <c r="E1217" s="6" t="s">
        <v>87</v>
      </c>
      <c r="F1217" s="6" t="s">
        <v>160</v>
      </c>
      <c r="G1217" s="6" t="n">
        <v>7</v>
      </c>
      <c r="H1217" s="6" t="s">
        <v>82</v>
      </c>
      <c r="I1217" s="6" t="s">
        <v>82</v>
      </c>
      <c r="J1217" s="6" t="s">
        <v>60</v>
      </c>
      <c r="K1217" s="6" t="n">
        <v>77928</v>
      </c>
      <c r="L1217" s="6" t="n">
        <v>76519</v>
      </c>
      <c r="M1217" s="6" t="s">
        <v>146</v>
      </c>
      <c r="N1217" s="6" t="n">
        <v>42</v>
      </c>
      <c r="O1217" s="6" t="s">
        <v>60</v>
      </c>
      <c r="P1217" s="6" t="n">
        <v>8</v>
      </c>
      <c r="Q1217" s="6" t="n">
        <v>5.77</v>
      </c>
      <c r="R1217" s="20" t="n">
        <f aca="false">(L1217-K1217)/K1217</f>
        <v>-0.0180807925264347</v>
      </c>
    </row>
    <row r="1218" customFormat="false" ht="15" hidden="false" customHeight="false" outlineLevel="0" collapsed="false">
      <c r="A1218" s="6" t="s">
        <v>1380</v>
      </c>
      <c r="B1218" s="6" t="n">
        <v>36</v>
      </c>
      <c r="C1218" s="6" t="s">
        <v>134</v>
      </c>
      <c r="D1218" s="6" t="s">
        <v>140</v>
      </c>
      <c r="E1218" s="6" t="s">
        <v>91</v>
      </c>
      <c r="F1218" s="6" t="s">
        <v>141</v>
      </c>
      <c r="G1218" s="6" t="n">
        <v>14</v>
      </c>
      <c r="H1218" s="6" t="s">
        <v>80</v>
      </c>
      <c r="I1218" s="6" t="s">
        <v>81</v>
      </c>
      <c r="J1218" s="6" t="s">
        <v>58</v>
      </c>
      <c r="K1218" s="6" t="n">
        <v>114629</v>
      </c>
      <c r="L1218" s="6" t="n">
        <v>120828</v>
      </c>
      <c r="M1218" s="6" t="s">
        <v>146</v>
      </c>
      <c r="N1218" s="6" t="n">
        <v>38</v>
      </c>
      <c r="O1218" s="6" t="s">
        <v>58</v>
      </c>
      <c r="P1218" s="6" t="n">
        <v>4</v>
      </c>
      <c r="Q1218" s="6" t="n">
        <v>-10.42</v>
      </c>
      <c r="R1218" s="20" t="n">
        <f aca="false">(L1218-K1218)/K1218</f>
        <v>0.0540788107721432</v>
      </c>
    </row>
    <row r="1219" customFormat="false" ht="15" hidden="false" customHeight="false" outlineLevel="0" collapsed="false">
      <c r="A1219" s="6" t="s">
        <v>1381</v>
      </c>
      <c r="B1219" s="6" t="n">
        <v>39</v>
      </c>
      <c r="C1219" s="6" t="s">
        <v>139</v>
      </c>
      <c r="D1219" s="6" t="s">
        <v>135</v>
      </c>
      <c r="E1219" s="6" t="s">
        <v>90</v>
      </c>
      <c r="F1219" s="6" t="s">
        <v>202</v>
      </c>
      <c r="G1219" s="6" t="n">
        <v>15</v>
      </c>
      <c r="H1219" s="6" t="s">
        <v>80</v>
      </c>
      <c r="I1219" s="6" t="s">
        <v>80</v>
      </c>
      <c r="J1219" s="6" t="s">
        <v>58</v>
      </c>
      <c r="K1219" s="6" t="n">
        <v>70969</v>
      </c>
      <c r="L1219" s="6" t="n">
        <v>71099</v>
      </c>
      <c r="M1219" s="6" t="s">
        <v>142</v>
      </c>
      <c r="N1219" s="6" t="n">
        <v>45</v>
      </c>
      <c r="O1219" s="6" t="s">
        <v>58</v>
      </c>
      <c r="P1219" s="6" t="n">
        <v>3</v>
      </c>
      <c r="Q1219" s="6" t="n">
        <v>17.29</v>
      </c>
      <c r="R1219" s="20" t="n">
        <f aca="false">(L1219-K1219)/K1219</f>
        <v>0.00183178570925334</v>
      </c>
    </row>
    <row r="1220" customFormat="false" ht="15" hidden="false" customHeight="false" outlineLevel="0" collapsed="false">
      <c r="A1220" s="6" t="s">
        <v>1382</v>
      </c>
      <c r="B1220" s="6" t="n">
        <v>26</v>
      </c>
      <c r="C1220" s="6" t="s">
        <v>139</v>
      </c>
      <c r="D1220" s="6" t="s">
        <v>148</v>
      </c>
      <c r="E1220" s="6" t="s">
        <v>92</v>
      </c>
      <c r="F1220" s="6" t="s">
        <v>136</v>
      </c>
      <c r="G1220" s="6" t="n">
        <v>2</v>
      </c>
      <c r="H1220" s="6" t="s">
        <v>82</v>
      </c>
      <c r="I1220" s="6" t="s">
        <v>82</v>
      </c>
      <c r="J1220" s="6" t="s">
        <v>60</v>
      </c>
      <c r="K1220" s="6" t="n">
        <v>59047</v>
      </c>
      <c r="L1220" s="6" t="n">
        <v>60587</v>
      </c>
      <c r="M1220" s="6" t="s">
        <v>146</v>
      </c>
      <c r="N1220" s="6" t="n">
        <v>39</v>
      </c>
      <c r="O1220" s="6" t="s">
        <v>58</v>
      </c>
      <c r="P1220" s="6" t="n">
        <v>9</v>
      </c>
      <c r="Q1220" s="6" t="n">
        <v>12.01</v>
      </c>
      <c r="R1220" s="20" t="n">
        <f aca="false">(L1220-K1220)/K1220</f>
        <v>0.0260809185902755</v>
      </c>
    </row>
    <row r="1221" customFormat="false" ht="15" hidden="false" customHeight="false" outlineLevel="0" collapsed="false">
      <c r="A1221" s="6" t="s">
        <v>1383</v>
      </c>
      <c r="B1221" s="6" t="n">
        <v>33</v>
      </c>
      <c r="C1221" s="6" t="s">
        <v>159</v>
      </c>
      <c r="D1221" s="6" t="s">
        <v>135</v>
      </c>
      <c r="E1221" s="6" t="s">
        <v>92</v>
      </c>
      <c r="F1221" s="6" t="s">
        <v>136</v>
      </c>
      <c r="G1221" s="6" t="n">
        <v>8</v>
      </c>
      <c r="H1221" s="6" t="s">
        <v>81</v>
      </c>
      <c r="I1221" s="6" t="s">
        <v>81</v>
      </c>
      <c r="J1221" s="6" t="s">
        <v>60</v>
      </c>
      <c r="K1221" s="6" t="n">
        <v>60628</v>
      </c>
      <c r="L1221" s="6" t="n">
        <v>59121</v>
      </c>
      <c r="M1221" s="6" t="s">
        <v>146</v>
      </c>
      <c r="N1221" s="6" t="n">
        <v>41</v>
      </c>
      <c r="O1221" s="6" t="s">
        <v>60</v>
      </c>
      <c r="P1221" s="6" t="n">
        <v>4</v>
      </c>
      <c r="Q1221" s="6" t="n">
        <v>28.35</v>
      </c>
      <c r="R1221" s="20" t="n">
        <f aca="false">(L1221-K1221)/K1221</f>
        <v>-0.0248565019462954</v>
      </c>
    </row>
    <row r="1222" customFormat="false" ht="15" hidden="false" customHeight="false" outlineLevel="0" collapsed="false">
      <c r="A1222" s="6" t="s">
        <v>1384</v>
      </c>
      <c r="B1222" s="6" t="n">
        <v>23</v>
      </c>
      <c r="C1222" s="6" t="s">
        <v>159</v>
      </c>
      <c r="D1222" s="6" t="s">
        <v>148</v>
      </c>
      <c r="E1222" s="6" t="s">
        <v>88</v>
      </c>
      <c r="F1222" s="6" t="s">
        <v>179</v>
      </c>
      <c r="G1222" s="6" t="n">
        <v>0</v>
      </c>
      <c r="H1222" s="6" t="s">
        <v>80</v>
      </c>
      <c r="I1222" s="6" t="s">
        <v>80</v>
      </c>
      <c r="J1222" s="6" t="s">
        <v>58</v>
      </c>
      <c r="K1222" s="6" t="n">
        <v>89860</v>
      </c>
      <c r="L1222" s="6" t="n">
        <v>85857</v>
      </c>
      <c r="M1222" s="6" t="s">
        <v>142</v>
      </c>
      <c r="N1222" s="6" t="n">
        <v>53</v>
      </c>
      <c r="O1222" s="6" t="s">
        <v>58</v>
      </c>
      <c r="P1222" s="6" t="n">
        <v>6</v>
      </c>
      <c r="Q1222" s="6" t="n">
        <v>34.15</v>
      </c>
      <c r="R1222" s="20" t="n">
        <f aca="false">(L1222-K1222)/K1222</f>
        <v>-0.0445470732250167</v>
      </c>
    </row>
    <row r="1223" customFormat="false" ht="15" hidden="false" customHeight="false" outlineLevel="0" collapsed="false">
      <c r="A1223" s="6" t="s">
        <v>1385</v>
      </c>
      <c r="B1223" s="6" t="n">
        <v>38</v>
      </c>
      <c r="C1223" s="6" t="s">
        <v>134</v>
      </c>
      <c r="D1223" s="6" t="s">
        <v>135</v>
      </c>
      <c r="E1223" s="6" t="s">
        <v>92</v>
      </c>
      <c r="F1223" s="6" t="s">
        <v>192</v>
      </c>
      <c r="G1223" s="6" t="n">
        <v>13</v>
      </c>
      <c r="H1223" s="6" t="s">
        <v>81</v>
      </c>
      <c r="I1223" s="6" t="s">
        <v>80</v>
      </c>
      <c r="J1223" s="6" t="s">
        <v>60</v>
      </c>
      <c r="K1223" s="6" t="n">
        <v>119792</v>
      </c>
      <c r="L1223" s="6" t="n">
        <v>118943</v>
      </c>
      <c r="M1223" s="6" t="s">
        <v>142</v>
      </c>
      <c r="N1223" s="6" t="n">
        <v>47</v>
      </c>
      <c r="O1223" s="6" t="s">
        <v>60</v>
      </c>
      <c r="P1223" s="6" t="n">
        <v>9</v>
      </c>
      <c r="Q1223" s="6" t="n">
        <v>31.53</v>
      </c>
      <c r="R1223" s="20" t="n">
        <f aca="false">(L1223-K1223)/K1223</f>
        <v>-0.00708728462668626</v>
      </c>
    </row>
    <row r="1224" customFormat="false" ht="15" hidden="false" customHeight="false" outlineLevel="0" collapsed="false">
      <c r="A1224" s="6" t="s">
        <v>1386</v>
      </c>
      <c r="B1224" s="6" t="n">
        <v>36</v>
      </c>
      <c r="C1224" s="6" t="s">
        <v>134</v>
      </c>
      <c r="D1224" s="6" t="s">
        <v>148</v>
      </c>
      <c r="E1224" s="6" t="s">
        <v>93</v>
      </c>
      <c r="F1224" s="6" t="s">
        <v>164</v>
      </c>
      <c r="G1224" s="6" t="n">
        <v>12</v>
      </c>
      <c r="H1224" s="6" t="s">
        <v>80</v>
      </c>
      <c r="I1224" s="6" t="s">
        <v>80</v>
      </c>
      <c r="J1224" s="6" t="s">
        <v>60</v>
      </c>
      <c r="K1224" s="6" t="n">
        <v>45659</v>
      </c>
      <c r="L1224" s="6" t="n">
        <v>50117</v>
      </c>
      <c r="M1224" s="6" t="s">
        <v>142</v>
      </c>
      <c r="N1224" s="6" t="n">
        <v>38</v>
      </c>
      <c r="O1224" s="6" t="s">
        <v>60</v>
      </c>
      <c r="P1224" s="6" t="n">
        <v>5</v>
      </c>
      <c r="Q1224" s="6" t="n">
        <v>3.01</v>
      </c>
      <c r="R1224" s="20" t="n">
        <f aca="false">(L1224-K1224)/K1224</f>
        <v>0.0976368295407258</v>
      </c>
    </row>
    <row r="1225" customFormat="false" ht="15" hidden="false" customHeight="false" outlineLevel="0" collapsed="false">
      <c r="A1225" s="6" t="s">
        <v>1387</v>
      </c>
      <c r="B1225" s="6" t="n">
        <v>31</v>
      </c>
      <c r="C1225" s="6" t="s">
        <v>139</v>
      </c>
      <c r="D1225" s="6" t="s">
        <v>140</v>
      </c>
      <c r="E1225" s="6" t="s">
        <v>90</v>
      </c>
      <c r="F1225" s="6" t="s">
        <v>236</v>
      </c>
      <c r="G1225" s="6" t="n">
        <v>6</v>
      </c>
      <c r="H1225" s="6" t="s">
        <v>81</v>
      </c>
      <c r="I1225" s="6" t="s">
        <v>80</v>
      </c>
      <c r="J1225" s="6" t="s">
        <v>58</v>
      </c>
      <c r="K1225" s="6" t="n">
        <v>57624</v>
      </c>
      <c r="L1225" s="6" t="n">
        <v>59713</v>
      </c>
      <c r="M1225" s="6" t="s">
        <v>142</v>
      </c>
      <c r="N1225" s="6" t="n">
        <v>52</v>
      </c>
      <c r="O1225" s="6" t="s">
        <v>58</v>
      </c>
      <c r="P1225" s="6" t="n">
        <v>8</v>
      </c>
      <c r="Q1225" s="6" t="n">
        <v>31.81</v>
      </c>
      <c r="R1225" s="20" t="n">
        <f aca="false">(L1225-K1225)/K1225</f>
        <v>0.0362522560044426</v>
      </c>
    </row>
    <row r="1226" customFormat="false" ht="15" hidden="false" customHeight="false" outlineLevel="0" collapsed="false">
      <c r="A1226" s="6" t="s">
        <v>1388</v>
      </c>
      <c r="B1226" s="6" t="n">
        <v>58</v>
      </c>
      <c r="C1226" s="6" t="s">
        <v>134</v>
      </c>
      <c r="D1226" s="6" t="s">
        <v>144</v>
      </c>
      <c r="E1226" s="6" t="s">
        <v>89</v>
      </c>
      <c r="F1226" s="6" t="s">
        <v>162</v>
      </c>
      <c r="G1226" s="6" t="n">
        <v>33</v>
      </c>
      <c r="H1226" s="6" t="s">
        <v>82</v>
      </c>
      <c r="I1226" s="6" t="s">
        <v>82</v>
      </c>
      <c r="J1226" s="6" t="s">
        <v>60</v>
      </c>
      <c r="K1226" s="6" t="n">
        <v>54843</v>
      </c>
      <c r="L1226" s="6" t="n">
        <v>63315</v>
      </c>
      <c r="M1226" s="6" t="s">
        <v>137</v>
      </c>
      <c r="N1226" s="6" t="n">
        <v>43</v>
      </c>
      <c r="O1226" s="6" t="s">
        <v>58</v>
      </c>
      <c r="P1226" s="6" t="n">
        <v>8</v>
      </c>
      <c r="Q1226" s="6" t="n">
        <v>10.35</v>
      </c>
      <c r="R1226" s="20" t="n">
        <f aca="false">(L1226-K1226)/K1226</f>
        <v>0.154477326185657</v>
      </c>
    </row>
    <row r="1227" customFormat="false" ht="15" hidden="false" customHeight="false" outlineLevel="0" collapsed="false">
      <c r="A1227" s="6" t="s">
        <v>1389</v>
      </c>
      <c r="B1227" s="6" t="n">
        <v>46</v>
      </c>
      <c r="C1227" s="6" t="s">
        <v>159</v>
      </c>
      <c r="D1227" s="6" t="s">
        <v>140</v>
      </c>
      <c r="E1227" s="6" t="s">
        <v>89</v>
      </c>
      <c r="F1227" s="6" t="s">
        <v>162</v>
      </c>
      <c r="G1227" s="6" t="n">
        <v>22</v>
      </c>
      <c r="H1227" s="6" t="s">
        <v>82</v>
      </c>
      <c r="I1227" s="6" t="s">
        <v>80</v>
      </c>
      <c r="J1227" s="6" t="s">
        <v>60</v>
      </c>
      <c r="K1227" s="6" t="n">
        <v>43663</v>
      </c>
      <c r="L1227" s="6" t="n">
        <v>35463</v>
      </c>
      <c r="M1227" s="6" t="s">
        <v>142</v>
      </c>
      <c r="N1227" s="6" t="n">
        <v>42</v>
      </c>
      <c r="O1227" s="6" t="s">
        <v>60</v>
      </c>
      <c r="P1227" s="6" t="n">
        <v>7</v>
      </c>
      <c r="Q1227" s="6" t="n">
        <v>-7.69</v>
      </c>
      <c r="R1227" s="20" t="n">
        <f aca="false">(L1227-K1227)/K1227</f>
        <v>-0.187802029178023</v>
      </c>
    </row>
    <row r="1228" customFormat="false" ht="15" hidden="false" customHeight="false" outlineLevel="0" collapsed="false">
      <c r="A1228" s="6" t="s">
        <v>1390</v>
      </c>
      <c r="B1228" s="6" t="n">
        <v>26</v>
      </c>
      <c r="C1228" s="6" t="s">
        <v>139</v>
      </c>
      <c r="D1228" s="6" t="s">
        <v>148</v>
      </c>
      <c r="E1228" s="6" t="s">
        <v>90</v>
      </c>
      <c r="F1228" s="6" t="s">
        <v>236</v>
      </c>
      <c r="G1228" s="6" t="n">
        <v>4</v>
      </c>
      <c r="H1228" s="6" t="s">
        <v>81</v>
      </c>
      <c r="I1228" s="6" t="s">
        <v>81</v>
      </c>
      <c r="J1228" s="6" t="s">
        <v>58</v>
      </c>
      <c r="K1228" s="6" t="n">
        <v>54722</v>
      </c>
      <c r="L1228" s="6" t="n">
        <v>57192</v>
      </c>
      <c r="M1228" s="6" t="s">
        <v>146</v>
      </c>
      <c r="N1228" s="6" t="n">
        <v>52</v>
      </c>
      <c r="O1228" s="6" t="s">
        <v>60</v>
      </c>
      <c r="P1228" s="6" t="n">
        <v>3</v>
      </c>
      <c r="Q1228" s="6" t="n">
        <v>9.43</v>
      </c>
      <c r="R1228" s="20" t="n">
        <f aca="false">(L1228-K1228)/K1228</f>
        <v>0.0451372391359965</v>
      </c>
    </row>
    <row r="1229" customFormat="false" ht="15" hidden="false" customHeight="false" outlineLevel="0" collapsed="false">
      <c r="A1229" s="6" t="s">
        <v>1391</v>
      </c>
      <c r="B1229" s="6" t="n">
        <v>23</v>
      </c>
      <c r="C1229" s="6" t="s">
        <v>159</v>
      </c>
      <c r="D1229" s="6" t="s">
        <v>148</v>
      </c>
      <c r="E1229" s="6" t="s">
        <v>91</v>
      </c>
      <c r="F1229" s="6" t="s">
        <v>206</v>
      </c>
      <c r="G1229" s="6" t="n">
        <v>1</v>
      </c>
      <c r="H1229" s="6" t="s">
        <v>80</v>
      </c>
      <c r="I1229" s="6" t="s">
        <v>82</v>
      </c>
      <c r="J1229" s="6" t="s">
        <v>60</v>
      </c>
      <c r="K1229" s="6" t="n">
        <v>94857</v>
      </c>
      <c r="L1229" s="6" t="n">
        <v>103073</v>
      </c>
      <c r="M1229" s="6" t="s">
        <v>142</v>
      </c>
      <c r="N1229" s="6" t="n">
        <v>49</v>
      </c>
      <c r="O1229" s="6" t="s">
        <v>58</v>
      </c>
      <c r="P1229" s="6" t="n">
        <v>6</v>
      </c>
      <c r="Q1229" s="6" t="n">
        <v>36.6</v>
      </c>
      <c r="R1229" s="20" t="n">
        <f aca="false">(L1229-K1229)/K1229</f>
        <v>0.0866145882749824</v>
      </c>
    </row>
    <row r="1230" customFormat="false" ht="15" hidden="false" customHeight="false" outlineLevel="0" collapsed="false">
      <c r="A1230" s="6" t="s">
        <v>1392</v>
      </c>
      <c r="B1230" s="6" t="n">
        <v>37</v>
      </c>
      <c r="C1230" s="6" t="s">
        <v>139</v>
      </c>
      <c r="D1230" s="6" t="s">
        <v>148</v>
      </c>
      <c r="E1230" s="6" t="s">
        <v>89</v>
      </c>
      <c r="F1230" s="6" t="s">
        <v>151</v>
      </c>
      <c r="G1230" s="6" t="n">
        <v>11</v>
      </c>
      <c r="H1230" s="6" t="s">
        <v>80</v>
      </c>
      <c r="I1230" s="6" t="s">
        <v>81</v>
      </c>
      <c r="J1230" s="6" t="s">
        <v>58</v>
      </c>
      <c r="K1230" s="6" t="n">
        <v>41415</v>
      </c>
      <c r="L1230" s="6" t="n">
        <v>42140</v>
      </c>
      <c r="M1230" s="6" t="s">
        <v>146</v>
      </c>
      <c r="N1230" s="6" t="n">
        <v>42</v>
      </c>
      <c r="O1230" s="6" t="s">
        <v>58</v>
      </c>
      <c r="P1230" s="6" t="n">
        <v>4</v>
      </c>
      <c r="Q1230" s="6" t="n">
        <v>0.27</v>
      </c>
      <c r="R1230" s="20" t="n">
        <f aca="false">(L1230-K1230)/K1230</f>
        <v>0.0175057346372087</v>
      </c>
    </row>
    <row r="1231" customFormat="false" ht="15" hidden="false" customHeight="false" outlineLevel="0" collapsed="false">
      <c r="A1231" s="6" t="s">
        <v>1393</v>
      </c>
      <c r="B1231" s="6" t="n">
        <v>23</v>
      </c>
      <c r="C1231" s="6" t="s">
        <v>134</v>
      </c>
      <c r="D1231" s="6" t="s">
        <v>144</v>
      </c>
      <c r="E1231" s="6" t="s">
        <v>91</v>
      </c>
      <c r="F1231" s="6" t="s">
        <v>141</v>
      </c>
      <c r="G1231" s="6" t="n">
        <v>0</v>
      </c>
      <c r="H1231" s="6" t="s">
        <v>80</v>
      </c>
      <c r="I1231" s="6" t="s">
        <v>80</v>
      </c>
      <c r="J1231" s="6" t="s">
        <v>60</v>
      </c>
      <c r="K1231" s="6" t="n">
        <v>32402</v>
      </c>
      <c r="L1231" s="6" t="n">
        <v>33317</v>
      </c>
      <c r="M1231" s="6" t="s">
        <v>142</v>
      </c>
      <c r="N1231" s="6" t="n">
        <v>38</v>
      </c>
      <c r="O1231" s="6" t="s">
        <v>58</v>
      </c>
      <c r="P1231" s="6" t="n">
        <v>8</v>
      </c>
      <c r="Q1231" s="6" t="n">
        <v>-19.2</v>
      </c>
      <c r="R1231" s="20" t="n">
        <f aca="false">(L1231-K1231)/K1231</f>
        <v>0.0282389975927412</v>
      </c>
    </row>
    <row r="1232" customFormat="false" ht="15" hidden="false" customHeight="false" outlineLevel="0" collapsed="false">
      <c r="A1232" s="6" t="s">
        <v>1394</v>
      </c>
      <c r="B1232" s="6" t="n">
        <v>50</v>
      </c>
      <c r="C1232" s="6" t="s">
        <v>159</v>
      </c>
      <c r="D1232" s="6" t="s">
        <v>148</v>
      </c>
      <c r="E1232" s="6" t="s">
        <v>92</v>
      </c>
      <c r="F1232" s="6" t="s">
        <v>192</v>
      </c>
      <c r="G1232" s="6" t="n">
        <v>28</v>
      </c>
      <c r="H1232" s="6" t="s">
        <v>80</v>
      </c>
      <c r="I1232" s="6" t="s">
        <v>82</v>
      </c>
      <c r="J1232" s="6" t="s">
        <v>58</v>
      </c>
      <c r="K1232" s="6" t="n">
        <v>104051</v>
      </c>
      <c r="L1232" s="6" t="n">
        <v>107806</v>
      </c>
      <c r="M1232" s="6" t="s">
        <v>142</v>
      </c>
      <c r="N1232" s="6" t="n">
        <v>51</v>
      </c>
      <c r="O1232" s="6" t="s">
        <v>60</v>
      </c>
      <c r="P1232" s="6" t="n">
        <v>4</v>
      </c>
      <c r="Q1232" s="6" t="n">
        <v>18.24</v>
      </c>
      <c r="R1232" s="20" t="n">
        <f aca="false">(L1232-K1232)/K1232</f>
        <v>0.0360880721953657</v>
      </c>
    </row>
    <row r="1233" customFormat="false" ht="15" hidden="false" customHeight="false" outlineLevel="0" collapsed="false">
      <c r="A1233" s="6" t="s">
        <v>1395</v>
      </c>
      <c r="B1233" s="6" t="n">
        <v>38</v>
      </c>
      <c r="C1233" s="6" t="s">
        <v>139</v>
      </c>
      <c r="D1233" s="6" t="s">
        <v>148</v>
      </c>
      <c r="E1233" s="6" t="s">
        <v>91</v>
      </c>
      <c r="F1233" s="6" t="s">
        <v>208</v>
      </c>
      <c r="G1233" s="6" t="n">
        <v>13</v>
      </c>
      <c r="H1233" s="6" t="s">
        <v>81</v>
      </c>
      <c r="I1233" s="6" t="s">
        <v>80</v>
      </c>
      <c r="J1233" s="6" t="s">
        <v>60</v>
      </c>
      <c r="K1233" s="6" t="n">
        <v>79932</v>
      </c>
      <c r="L1233" s="6" t="n">
        <v>83549</v>
      </c>
      <c r="M1233" s="6" t="s">
        <v>142</v>
      </c>
      <c r="N1233" s="6" t="n">
        <v>47</v>
      </c>
      <c r="O1233" s="6" t="s">
        <v>58</v>
      </c>
      <c r="P1233" s="6" t="n">
        <v>5</v>
      </c>
      <c r="Q1233" s="6" t="n">
        <v>18.89</v>
      </c>
      <c r="R1233" s="20" t="n">
        <f aca="false">(L1233-K1233)/K1233</f>
        <v>0.045250963318821</v>
      </c>
    </row>
    <row r="1234" customFormat="false" ht="15" hidden="false" customHeight="false" outlineLevel="0" collapsed="false">
      <c r="A1234" s="6" t="s">
        <v>1396</v>
      </c>
      <c r="B1234" s="6" t="n">
        <v>43</v>
      </c>
      <c r="C1234" s="6" t="s">
        <v>139</v>
      </c>
      <c r="D1234" s="6" t="s">
        <v>135</v>
      </c>
      <c r="E1234" s="6" t="s">
        <v>90</v>
      </c>
      <c r="F1234" s="6" t="s">
        <v>202</v>
      </c>
      <c r="G1234" s="6" t="n">
        <v>20</v>
      </c>
      <c r="H1234" s="6" t="s">
        <v>81</v>
      </c>
      <c r="I1234" s="6" t="s">
        <v>82</v>
      </c>
      <c r="J1234" s="6" t="s">
        <v>58</v>
      </c>
      <c r="K1234" s="6" t="n">
        <v>70232</v>
      </c>
      <c r="L1234" s="6" t="n">
        <v>84164</v>
      </c>
      <c r="M1234" s="6" t="s">
        <v>142</v>
      </c>
      <c r="N1234" s="6" t="n">
        <v>35</v>
      </c>
      <c r="O1234" s="6" t="s">
        <v>60</v>
      </c>
      <c r="P1234" s="6" t="n">
        <v>3</v>
      </c>
      <c r="Q1234" s="6" t="n">
        <v>8.92</v>
      </c>
      <c r="R1234" s="20" t="n">
        <f aca="false">(L1234-K1234)/K1234</f>
        <v>0.198371112883016</v>
      </c>
    </row>
    <row r="1235" customFormat="false" ht="15" hidden="false" customHeight="false" outlineLevel="0" collapsed="false">
      <c r="A1235" s="6" t="s">
        <v>1397</v>
      </c>
      <c r="B1235" s="6" t="n">
        <v>52</v>
      </c>
      <c r="C1235" s="6" t="s">
        <v>134</v>
      </c>
      <c r="D1235" s="6" t="s">
        <v>148</v>
      </c>
      <c r="E1235" s="6" t="s">
        <v>93</v>
      </c>
      <c r="F1235" s="6" t="s">
        <v>164</v>
      </c>
      <c r="G1235" s="6" t="n">
        <v>27</v>
      </c>
      <c r="H1235" s="6" t="s">
        <v>81</v>
      </c>
      <c r="I1235" s="6" t="s">
        <v>81</v>
      </c>
      <c r="J1235" s="6" t="s">
        <v>60</v>
      </c>
      <c r="K1235" s="6" t="n">
        <v>93294</v>
      </c>
      <c r="L1235" s="6" t="n">
        <v>92923</v>
      </c>
      <c r="M1235" s="6" t="s">
        <v>146</v>
      </c>
      <c r="N1235" s="6" t="n">
        <v>49</v>
      </c>
      <c r="O1235" s="6" t="s">
        <v>58</v>
      </c>
      <c r="P1235" s="6" t="n">
        <v>8</v>
      </c>
      <c r="Q1235" s="6" t="n">
        <v>30.3</v>
      </c>
      <c r="R1235" s="20" t="n">
        <f aca="false">(L1235-K1235)/K1235</f>
        <v>-0.00397667588483718</v>
      </c>
    </row>
    <row r="1236" customFormat="false" ht="15" hidden="false" customHeight="false" outlineLevel="0" collapsed="false">
      <c r="A1236" s="6" t="s">
        <v>1398</v>
      </c>
      <c r="B1236" s="6" t="n">
        <v>27</v>
      </c>
      <c r="C1236" s="6" t="s">
        <v>134</v>
      </c>
      <c r="D1236" s="6" t="s">
        <v>140</v>
      </c>
      <c r="E1236" s="6" t="s">
        <v>91</v>
      </c>
      <c r="F1236" s="6" t="s">
        <v>141</v>
      </c>
      <c r="G1236" s="6" t="n">
        <v>2</v>
      </c>
      <c r="H1236" s="6" t="s">
        <v>82</v>
      </c>
      <c r="I1236" s="6" t="s">
        <v>82</v>
      </c>
      <c r="J1236" s="6" t="s">
        <v>60</v>
      </c>
      <c r="K1236" s="6" t="n">
        <v>88420</v>
      </c>
      <c r="L1236" s="6" t="n">
        <v>123694</v>
      </c>
      <c r="M1236" s="6" t="s">
        <v>137</v>
      </c>
      <c r="N1236" s="6" t="n">
        <v>54</v>
      </c>
      <c r="O1236" s="6" t="s">
        <v>60</v>
      </c>
      <c r="P1236" s="6" t="n">
        <v>9</v>
      </c>
      <c r="Q1236" s="6" t="n">
        <v>39.77</v>
      </c>
      <c r="R1236" s="20" t="n">
        <f aca="false">(L1236-K1236)/K1236</f>
        <v>0.398936892105858</v>
      </c>
    </row>
    <row r="1237" customFormat="false" ht="15" hidden="false" customHeight="false" outlineLevel="0" collapsed="false">
      <c r="A1237" s="6" t="s">
        <v>1399</v>
      </c>
      <c r="B1237" s="6" t="n">
        <v>52</v>
      </c>
      <c r="C1237" s="6" t="s">
        <v>159</v>
      </c>
      <c r="D1237" s="6" t="s">
        <v>148</v>
      </c>
      <c r="E1237" s="6" t="s">
        <v>90</v>
      </c>
      <c r="F1237" s="6" t="s">
        <v>236</v>
      </c>
      <c r="G1237" s="6" t="n">
        <v>29</v>
      </c>
      <c r="H1237" s="6" t="s">
        <v>80</v>
      </c>
      <c r="I1237" s="6" t="s">
        <v>81</v>
      </c>
      <c r="J1237" s="6" t="s">
        <v>58</v>
      </c>
      <c r="K1237" s="6" t="n">
        <v>62872</v>
      </c>
      <c r="L1237" s="6" t="n">
        <v>62036</v>
      </c>
      <c r="M1237" s="6" t="s">
        <v>146</v>
      </c>
      <c r="N1237" s="6" t="n">
        <v>41</v>
      </c>
      <c r="O1237" s="6" t="s">
        <v>58</v>
      </c>
      <c r="P1237" s="6" t="n">
        <v>6</v>
      </c>
      <c r="Q1237" s="6" t="n">
        <v>32.89</v>
      </c>
      <c r="R1237" s="20" t="n">
        <f aca="false">(L1237-K1237)/K1237</f>
        <v>-0.0132968571065021</v>
      </c>
    </row>
    <row r="1238" customFormat="false" ht="15" hidden="false" customHeight="false" outlineLevel="0" collapsed="false">
      <c r="A1238" s="6" t="s">
        <v>1400</v>
      </c>
      <c r="B1238" s="6" t="n">
        <v>51</v>
      </c>
      <c r="C1238" s="6" t="s">
        <v>134</v>
      </c>
      <c r="D1238" s="6" t="s">
        <v>140</v>
      </c>
      <c r="E1238" s="6" t="s">
        <v>93</v>
      </c>
      <c r="F1238" s="6" t="s">
        <v>181</v>
      </c>
      <c r="G1238" s="6" t="n">
        <v>25</v>
      </c>
      <c r="H1238" s="6" t="s">
        <v>81</v>
      </c>
      <c r="I1238" s="6" t="s">
        <v>82</v>
      </c>
      <c r="J1238" s="6" t="s">
        <v>58</v>
      </c>
      <c r="K1238" s="6" t="n">
        <v>77734</v>
      </c>
      <c r="L1238" s="6" t="n">
        <v>72411</v>
      </c>
      <c r="M1238" s="6" t="s">
        <v>142</v>
      </c>
      <c r="N1238" s="6" t="n">
        <v>54</v>
      </c>
      <c r="O1238" s="6" t="s">
        <v>58</v>
      </c>
      <c r="P1238" s="6" t="n">
        <v>7</v>
      </c>
      <c r="Q1238" s="6" t="n">
        <v>21.3</v>
      </c>
      <c r="R1238" s="20" t="n">
        <f aca="false">(L1238-K1238)/K1238</f>
        <v>-0.0684771142614557</v>
      </c>
    </row>
    <row r="1239" customFormat="false" ht="15" hidden="false" customHeight="false" outlineLevel="0" collapsed="false">
      <c r="A1239" s="6" t="s">
        <v>1401</v>
      </c>
      <c r="B1239" s="6" t="n">
        <v>33</v>
      </c>
      <c r="C1239" s="6" t="s">
        <v>139</v>
      </c>
      <c r="D1239" s="6" t="s">
        <v>135</v>
      </c>
      <c r="E1239" s="6" t="s">
        <v>88</v>
      </c>
      <c r="F1239" s="6" t="s">
        <v>179</v>
      </c>
      <c r="G1239" s="6" t="n">
        <v>8</v>
      </c>
      <c r="H1239" s="6" t="s">
        <v>80</v>
      </c>
      <c r="I1239" s="6" t="s">
        <v>81</v>
      </c>
      <c r="J1239" s="6" t="s">
        <v>60</v>
      </c>
      <c r="K1239" s="6" t="n">
        <v>113694</v>
      </c>
      <c r="L1239" s="6" t="n">
        <v>109131</v>
      </c>
      <c r="M1239" s="6" t="s">
        <v>146</v>
      </c>
      <c r="N1239" s="6" t="n">
        <v>47</v>
      </c>
      <c r="O1239" s="6" t="s">
        <v>60</v>
      </c>
      <c r="P1239" s="6" t="n">
        <v>7</v>
      </c>
      <c r="Q1239" s="6" t="n">
        <v>21.55</v>
      </c>
      <c r="R1239" s="20" t="n">
        <f aca="false">(L1239-K1239)/K1239</f>
        <v>-0.0401340440128767</v>
      </c>
    </row>
    <row r="1240" customFormat="false" ht="15" hidden="false" customHeight="false" outlineLevel="0" collapsed="false">
      <c r="A1240" s="6" t="s">
        <v>1402</v>
      </c>
      <c r="B1240" s="6" t="n">
        <v>43</v>
      </c>
      <c r="C1240" s="6" t="s">
        <v>139</v>
      </c>
      <c r="D1240" s="6" t="s">
        <v>135</v>
      </c>
      <c r="E1240" s="6" t="s">
        <v>88</v>
      </c>
      <c r="F1240" s="6" t="s">
        <v>157</v>
      </c>
      <c r="G1240" s="6" t="n">
        <v>19</v>
      </c>
      <c r="H1240" s="6" t="s">
        <v>82</v>
      </c>
      <c r="I1240" s="6" t="s">
        <v>81</v>
      </c>
      <c r="J1240" s="6" t="s">
        <v>60</v>
      </c>
      <c r="K1240" s="6" t="n">
        <v>116457</v>
      </c>
      <c r="L1240" s="6" t="n">
        <v>98925</v>
      </c>
      <c r="M1240" s="6" t="s">
        <v>146</v>
      </c>
      <c r="N1240" s="6" t="n">
        <v>51</v>
      </c>
      <c r="O1240" s="6" t="s">
        <v>58</v>
      </c>
      <c r="P1240" s="6" t="n">
        <v>3</v>
      </c>
      <c r="Q1240" s="6" t="n">
        <v>25.94</v>
      </c>
      <c r="R1240" s="20" t="n">
        <f aca="false">(L1240-K1240)/K1240</f>
        <v>-0.150544836291507</v>
      </c>
    </row>
    <row r="1241" customFormat="false" ht="15" hidden="false" customHeight="false" outlineLevel="0" collapsed="false">
      <c r="A1241" s="6" t="s">
        <v>1403</v>
      </c>
      <c r="B1241" s="6" t="n">
        <v>39</v>
      </c>
      <c r="C1241" s="6" t="s">
        <v>139</v>
      </c>
      <c r="D1241" s="6" t="s">
        <v>140</v>
      </c>
      <c r="E1241" s="6" t="s">
        <v>91</v>
      </c>
      <c r="F1241" s="6" t="s">
        <v>141</v>
      </c>
      <c r="G1241" s="6" t="n">
        <v>16</v>
      </c>
      <c r="H1241" s="6" t="s">
        <v>81</v>
      </c>
      <c r="I1241" s="6" t="s">
        <v>82</v>
      </c>
      <c r="J1241" s="6" t="s">
        <v>60</v>
      </c>
      <c r="K1241" s="6" t="n">
        <v>109431</v>
      </c>
      <c r="L1241" s="6" t="n">
        <v>120526</v>
      </c>
      <c r="M1241" s="6" t="s">
        <v>142</v>
      </c>
      <c r="N1241" s="6" t="n">
        <v>44</v>
      </c>
      <c r="O1241" s="6" t="s">
        <v>60</v>
      </c>
      <c r="P1241" s="6" t="n">
        <v>5</v>
      </c>
      <c r="Q1241" s="6" t="n">
        <v>-10.27</v>
      </c>
      <c r="R1241" s="20" t="n">
        <f aca="false">(L1241-K1241)/K1241</f>
        <v>0.101388089298279</v>
      </c>
    </row>
    <row r="1242" customFormat="false" ht="15" hidden="false" customHeight="false" outlineLevel="0" collapsed="false">
      <c r="A1242" s="6" t="s">
        <v>1404</v>
      </c>
      <c r="B1242" s="6" t="n">
        <v>30</v>
      </c>
      <c r="C1242" s="6" t="s">
        <v>139</v>
      </c>
      <c r="D1242" s="6" t="s">
        <v>148</v>
      </c>
      <c r="E1242" s="6" t="s">
        <v>89</v>
      </c>
      <c r="F1242" s="6" t="s">
        <v>151</v>
      </c>
      <c r="G1242" s="6" t="n">
        <v>8</v>
      </c>
      <c r="H1242" s="6" t="s">
        <v>82</v>
      </c>
      <c r="I1242" s="6" t="s">
        <v>82</v>
      </c>
      <c r="J1242" s="6" t="s">
        <v>60</v>
      </c>
      <c r="K1242" s="6" t="n">
        <v>37436</v>
      </c>
      <c r="L1242" s="6" t="n">
        <v>47339</v>
      </c>
      <c r="M1242" s="6" t="s">
        <v>137</v>
      </c>
      <c r="N1242" s="6" t="n">
        <v>54</v>
      </c>
      <c r="O1242" s="6" t="s">
        <v>58</v>
      </c>
      <c r="P1242" s="6" t="n">
        <v>4</v>
      </c>
      <c r="Q1242" s="6" t="n">
        <v>19.37</v>
      </c>
      <c r="R1242" s="20" t="n">
        <f aca="false">(L1242-K1242)/K1242</f>
        <v>0.264531467037077</v>
      </c>
    </row>
    <row r="1243" customFormat="false" ht="15" hidden="false" customHeight="false" outlineLevel="0" collapsed="false">
      <c r="A1243" s="6" t="s">
        <v>1405</v>
      </c>
      <c r="B1243" s="6" t="n">
        <v>53</v>
      </c>
      <c r="C1243" s="6" t="s">
        <v>159</v>
      </c>
      <c r="D1243" s="6" t="s">
        <v>140</v>
      </c>
      <c r="E1243" s="6" t="s">
        <v>87</v>
      </c>
      <c r="F1243" s="6" t="s">
        <v>155</v>
      </c>
      <c r="G1243" s="6" t="n">
        <v>31</v>
      </c>
      <c r="H1243" s="6" t="s">
        <v>81</v>
      </c>
      <c r="I1243" s="6" t="s">
        <v>81</v>
      </c>
      <c r="J1243" s="6" t="s">
        <v>60</v>
      </c>
      <c r="K1243" s="6" t="n">
        <v>113106</v>
      </c>
      <c r="L1243" s="6" t="n">
        <v>123040</v>
      </c>
      <c r="M1243" s="6" t="s">
        <v>146</v>
      </c>
      <c r="N1243" s="6" t="n">
        <v>47</v>
      </c>
      <c r="O1243" s="6" t="s">
        <v>58</v>
      </c>
      <c r="P1243" s="6" t="n">
        <v>7</v>
      </c>
      <c r="Q1243" s="6" t="n">
        <v>33.47</v>
      </c>
      <c r="R1243" s="20" t="n">
        <f aca="false">(L1243-K1243)/K1243</f>
        <v>0.0878291160504306</v>
      </c>
    </row>
    <row r="1244" customFormat="false" ht="15" hidden="false" customHeight="false" outlineLevel="0" collapsed="false">
      <c r="A1244" s="6" t="s">
        <v>1406</v>
      </c>
      <c r="B1244" s="6" t="n">
        <v>54</v>
      </c>
      <c r="C1244" s="6" t="s">
        <v>134</v>
      </c>
      <c r="D1244" s="6" t="s">
        <v>148</v>
      </c>
      <c r="E1244" s="6" t="s">
        <v>89</v>
      </c>
      <c r="F1244" s="6" t="s">
        <v>153</v>
      </c>
      <c r="G1244" s="6" t="n">
        <v>29</v>
      </c>
      <c r="H1244" s="6" t="s">
        <v>82</v>
      </c>
      <c r="I1244" s="6" t="s">
        <v>81</v>
      </c>
      <c r="J1244" s="6" t="s">
        <v>60</v>
      </c>
      <c r="K1244" s="6" t="n">
        <v>117122</v>
      </c>
      <c r="L1244" s="6" t="n">
        <v>101003</v>
      </c>
      <c r="M1244" s="6" t="s">
        <v>146</v>
      </c>
      <c r="N1244" s="6" t="n">
        <v>36</v>
      </c>
      <c r="O1244" s="6" t="s">
        <v>58</v>
      </c>
      <c r="P1244" s="6" t="n">
        <v>9</v>
      </c>
      <c r="Q1244" s="6" t="n">
        <v>37.74</v>
      </c>
      <c r="R1244" s="20" t="n">
        <f aca="false">(L1244-K1244)/K1244</f>
        <v>-0.137625723604447</v>
      </c>
    </row>
    <row r="1245" customFormat="false" ht="15" hidden="false" customHeight="false" outlineLevel="0" collapsed="false">
      <c r="A1245" s="6" t="s">
        <v>1407</v>
      </c>
      <c r="B1245" s="6" t="n">
        <v>35</v>
      </c>
      <c r="C1245" s="6" t="s">
        <v>159</v>
      </c>
      <c r="D1245" s="6" t="s">
        <v>140</v>
      </c>
      <c r="E1245" s="6" t="s">
        <v>91</v>
      </c>
      <c r="F1245" s="6" t="s">
        <v>141</v>
      </c>
      <c r="G1245" s="6" t="n">
        <v>11</v>
      </c>
      <c r="H1245" s="6" t="s">
        <v>82</v>
      </c>
      <c r="I1245" s="6" t="s">
        <v>80</v>
      </c>
      <c r="J1245" s="6" t="s">
        <v>60</v>
      </c>
      <c r="K1245" s="6" t="n">
        <v>87450</v>
      </c>
      <c r="L1245" s="6" t="n">
        <v>86669</v>
      </c>
      <c r="M1245" s="6" t="s">
        <v>142</v>
      </c>
      <c r="N1245" s="6" t="n">
        <v>43</v>
      </c>
      <c r="O1245" s="6" t="s">
        <v>58</v>
      </c>
      <c r="P1245" s="6" t="n">
        <v>7</v>
      </c>
      <c r="Q1245" s="6" t="n">
        <v>23.86</v>
      </c>
      <c r="R1245" s="20" t="n">
        <f aca="false">(L1245-K1245)/K1245</f>
        <v>-0.00893081761006289</v>
      </c>
    </row>
    <row r="1246" customFormat="false" ht="15" hidden="false" customHeight="false" outlineLevel="0" collapsed="false">
      <c r="A1246" s="6" t="s">
        <v>1408</v>
      </c>
      <c r="B1246" s="6" t="n">
        <v>41</v>
      </c>
      <c r="C1246" s="6" t="s">
        <v>159</v>
      </c>
      <c r="D1246" s="6" t="s">
        <v>140</v>
      </c>
      <c r="E1246" s="6" t="s">
        <v>93</v>
      </c>
      <c r="F1246" s="6" t="s">
        <v>164</v>
      </c>
      <c r="G1246" s="6" t="n">
        <v>18</v>
      </c>
      <c r="H1246" s="6" t="s">
        <v>80</v>
      </c>
      <c r="I1246" s="6" t="s">
        <v>80</v>
      </c>
      <c r="J1246" s="6" t="s">
        <v>58</v>
      </c>
      <c r="K1246" s="6" t="n">
        <v>41173</v>
      </c>
      <c r="L1246" s="6" t="n">
        <v>41652</v>
      </c>
      <c r="M1246" s="6" t="s">
        <v>142</v>
      </c>
      <c r="N1246" s="6" t="n">
        <v>53</v>
      </c>
      <c r="O1246" s="6" t="s">
        <v>58</v>
      </c>
      <c r="P1246" s="6" t="n">
        <v>3</v>
      </c>
      <c r="Q1246" s="6" t="n">
        <v>17.75</v>
      </c>
      <c r="R1246" s="20" t="n">
        <f aca="false">(L1246-K1246)/K1246</f>
        <v>0.0116338377091783</v>
      </c>
    </row>
    <row r="1247" customFormat="false" ht="15" hidden="false" customHeight="false" outlineLevel="0" collapsed="false">
      <c r="A1247" s="6" t="s">
        <v>1409</v>
      </c>
      <c r="B1247" s="6" t="n">
        <v>53</v>
      </c>
      <c r="C1247" s="6" t="s">
        <v>134</v>
      </c>
      <c r="D1247" s="6" t="s">
        <v>135</v>
      </c>
      <c r="E1247" s="6" t="s">
        <v>87</v>
      </c>
      <c r="F1247" s="6" t="s">
        <v>160</v>
      </c>
      <c r="G1247" s="6" t="n">
        <v>29</v>
      </c>
      <c r="H1247" s="6" t="s">
        <v>81</v>
      </c>
      <c r="I1247" s="6" t="s">
        <v>82</v>
      </c>
      <c r="J1247" s="6" t="s">
        <v>58</v>
      </c>
      <c r="K1247" s="6" t="n">
        <v>98916</v>
      </c>
      <c r="L1247" s="6" t="n">
        <v>114537</v>
      </c>
      <c r="M1247" s="6" t="s">
        <v>142</v>
      </c>
      <c r="N1247" s="6" t="n">
        <v>47</v>
      </c>
      <c r="O1247" s="6" t="s">
        <v>58</v>
      </c>
      <c r="P1247" s="6" t="n">
        <v>5</v>
      </c>
      <c r="Q1247" s="6" t="n">
        <v>7.5</v>
      </c>
      <c r="R1247" s="20" t="n">
        <f aca="false">(L1247-K1247)/K1247</f>
        <v>0.157921873104452</v>
      </c>
    </row>
    <row r="1248" customFormat="false" ht="15" hidden="false" customHeight="false" outlineLevel="0" collapsed="false">
      <c r="A1248" s="6" t="s">
        <v>1410</v>
      </c>
      <c r="B1248" s="6" t="n">
        <v>33</v>
      </c>
      <c r="C1248" s="6" t="s">
        <v>139</v>
      </c>
      <c r="D1248" s="6" t="s">
        <v>144</v>
      </c>
      <c r="E1248" s="6" t="s">
        <v>89</v>
      </c>
      <c r="F1248" s="6" t="s">
        <v>151</v>
      </c>
      <c r="G1248" s="6" t="n">
        <v>9</v>
      </c>
      <c r="H1248" s="6" t="s">
        <v>82</v>
      </c>
      <c r="I1248" s="6" t="s">
        <v>81</v>
      </c>
      <c r="J1248" s="6" t="s">
        <v>60</v>
      </c>
      <c r="K1248" s="6" t="n">
        <v>30148</v>
      </c>
      <c r="L1248" s="6" t="n">
        <v>37680</v>
      </c>
      <c r="M1248" s="6" t="s">
        <v>146</v>
      </c>
      <c r="N1248" s="6" t="n">
        <v>47</v>
      </c>
      <c r="O1248" s="6" t="s">
        <v>60</v>
      </c>
      <c r="P1248" s="6" t="n">
        <v>6</v>
      </c>
      <c r="Q1248" s="6" t="n">
        <v>-14.19</v>
      </c>
      <c r="R1248" s="20" t="n">
        <f aca="false">(L1248-K1248)/K1248</f>
        <v>0.249834151519172</v>
      </c>
    </row>
    <row r="1249" customFormat="false" ht="15" hidden="false" customHeight="false" outlineLevel="0" collapsed="false">
      <c r="A1249" s="6" t="s">
        <v>1411</v>
      </c>
      <c r="B1249" s="6" t="n">
        <v>39</v>
      </c>
      <c r="C1249" s="6" t="s">
        <v>139</v>
      </c>
      <c r="D1249" s="6" t="s">
        <v>148</v>
      </c>
      <c r="E1249" s="6" t="s">
        <v>87</v>
      </c>
      <c r="F1249" s="6" t="s">
        <v>155</v>
      </c>
      <c r="G1249" s="6" t="n">
        <v>14</v>
      </c>
      <c r="H1249" s="6" t="s">
        <v>81</v>
      </c>
      <c r="I1249" s="6" t="s">
        <v>81</v>
      </c>
      <c r="J1249" s="6" t="s">
        <v>60</v>
      </c>
      <c r="K1249" s="6" t="n">
        <v>61075</v>
      </c>
      <c r="L1249" s="6" t="n">
        <v>64155</v>
      </c>
      <c r="M1249" s="6" t="s">
        <v>146</v>
      </c>
      <c r="N1249" s="6" t="n">
        <v>46</v>
      </c>
      <c r="O1249" s="6" t="s">
        <v>58</v>
      </c>
      <c r="P1249" s="6" t="n">
        <v>7</v>
      </c>
      <c r="Q1249" s="6" t="n">
        <v>-5.98</v>
      </c>
      <c r="R1249" s="20" t="n">
        <f aca="false">(L1249-K1249)/K1249</f>
        <v>0.0504297994269341</v>
      </c>
    </row>
    <row r="1250" customFormat="false" ht="15" hidden="false" customHeight="false" outlineLevel="0" collapsed="false">
      <c r="A1250" s="6" t="s">
        <v>1412</v>
      </c>
      <c r="B1250" s="6" t="n">
        <v>50</v>
      </c>
      <c r="C1250" s="6" t="s">
        <v>134</v>
      </c>
      <c r="D1250" s="6" t="s">
        <v>148</v>
      </c>
      <c r="E1250" s="6" t="s">
        <v>91</v>
      </c>
      <c r="F1250" s="6" t="s">
        <v>141</v>
      </c>
      <c r="G1250" s="6" t="n">
        <v>25</v>
      </c>
      <c r="H1250" s="6" t="s">
        <v>81</v>
      </c>
      <c r="I1250" s="6" t="s">
        <v>81</v>
      </c>
      <c r="J1250" s="6" t="s">
        <v>60</v>
      </c>
      <c r="K1250" s="6" t="n">
        <v>81529</v>
      </c>
      <c r="L1250" s="6" t="n">
        <v>85067</v>
      </c>
      <c r="M1250" s="6" t="s">
        <v>146</v>
      </c>
      <c r="N1250" s="6" t="n">
        <v>36</v>
      </c>
      <c r="O1250" s="6" t="s">
        <v>60</v>
      </c>
      <c r="P1250" s="6" t="n">
        <v>3</v>
      </c>
      <c r="Q1250" s="6" t="n">
        <v>8.28</v>
      </c>
      <c r="R1250" s="20" t="n">
        <f aca="false">(L1250-K1250)/K1250</f>
        <v>0.0433956015650873</v>
      </c>
    </row>
    <row r="1251" customFormat="false" ht="15" hidden="false" customHeight="false" outlineLevel="0" collapsed="false">
      <c r="A1251" s="6" t="s">
        <v>1413</v>
      </c>
      <c r="B1251" s="6" t="n">
        <v>46</v>
      </c>
      <c r="C1251" s="6" t="s">
        <v>159</v>
      </c>
      <c r="D1251" s="6" t="s">
        <v>140</v>
      </c>
      <c r="E1251" s="6" t="s">
        <v>88</v>
      </c>
      <c r="F1251" s="6" t="s">
        <v>157</v>
      </c>
      <c r="G1251" s="6" t="n">
        <v>24</v>
      </c>
      <c r="H1251" s="6" t="s">
        <v>80</v>
      </c>
      <c r="I1251" s="6" t="s">
        <v>82</v>
      </c>
      <c r="J1251" s="6" t="s">
        <v>60</v>
      </c>
      <c r="K1251" s="6" t="n">
        <v>59381</v>
      </c>
      <c r="L1251" s="6" t="n">
        <v>61801</v>
      </c>
      <c r="M1251" s="6" t="s">
        <v>142</v>
      </c>
      <c r="N1251" s="6" t="n">
        <v>52</v>
      </c>
      <c r="O1251" s="6" t="s">
        <v>60</v>
      </c>
      <c r="P1251" s="6" t="n">
        <v>8</v>
      </c>
      <c r="Q1251" s="6" t="n">
        <v>13.59</v>
      </c>
      <c r="R1251" s="20" t="n">
        <f aca="false">(L1251-K1251)/K1251</f>
        <v>0.040753776460484</v>
      </c>
    </row>
    <row r="1252" customFormat="false" ht="15" hidden="false" customHeight="false" outlineLevel="0" collapsed="false">
      <c r="A1252" s="6" t="s">
        <v>1414</v>
      </c>
      <c r="B1252" s="6" t="n">
        <v>22</v>
      </c>
      <c r="C1252" s="6" t="s">
        <v>139</v>
      </c>
      <c r="D1252" s="6" t="s">
        <v>140</v>
      </c>
      <c r="E1252" s="6" t="s">
        <v>93</v>
      </c>
      <c r="F1252" s="6" t="s">
        <v>197</v>
      </c>
      <c r="G1252" s="6" t="n">
        <v>0</v>
      </c>
      <c r="H1252" s="6" t="s">
        <v>82</v>
      </c>
      <c r="I1252" s="6" t="s">
        <v>81</v>
      </c>
      <c r="J1252" s="6" t="s">
        <v>58</v>
      </c>
      <c r="K1252" s="6" t="n">
        <v>102943</v>
      </c>
      <c r="L1252" s="6" t="n">
        <v>132553</v>
      </c>
      <c r="M1252" s="6" t="s">
        <v>146</v>
      </c>
      <c r="N1252" s="6" t="n">
        <v>43</v>
      </c>
      <c r="O1252" s="6" t="s">
        <v>58</v>
      </c>
      <c r="P1252" s="6" t="n">
        <v>7</v>
      </c>
      <c r="Q1252" s="6" t="n">
        <v>12.51</v>
      </c>
      <c r="R1252" s="20" t="n">
        <f aca="false">(L1252-K1252)/K1252</f>
        <v>0.287634904753116</v>
      </c>
    </row>
    <row r="1253" customFormat="false" ht="15" hidden="false" customHeight="false" outlineLevel="0" collapsed="false">
      <c r="A1253" s="6" t="s">
        <v>1415</v>
      </c>
      <c r="B1253" s="6" t="n">
        <v>36</v>
      </c>
      <c r="C1253" s="6" t="s">
        <v>159</v>
      </c>
      <c r="D1253" s="6" t="s">
        <v>140</v>
      </c>
      <c r="E1253" s="6" t="s">
        <v>88</v>
      </c>
      <c r="F1253" s="6" t="s">
        <v>179</v>
      </c>
      <c r="G1253" s="6" t="n">
        <v>13</v>
      </c>
      <c r="H1253" s="6" t="s">
        <v>82</v>
      </c>
      <c r="I1253" s="6" t="s">
        <v>81</v>
      </c>
      <c r="J1253" s="6" t="s">
        <v>60</v>
      </c>
      <c r="K1253" s="6" t="n">
        <v>91358</v>
      </c>
      <c r="L1253" s="6" t="n">
        <v>80514</v>
      </c>
      <c r="M1253" s="6" t="s">
        <v>146</v>
      </c>
      <c r="N1253" s="6" t="n">
        <v>48</v>
      </c>
      <c r="O1253" s="6" t="s">
        <v>58</v>
      </c>
      <c r="P1253" s="6" t="n">
        <v>3</v>
      </c>
      <c r="Q1253" s="6" t="n">
        <v>11.1</v>
      </c>
      <c r="R1253" s="20" t="n">
        <f aca="false">(L1253-K1253)/K1253</f>
        <v>-0.118697869918343</v>
      </c>
    </row>
    <row r="1254" customFormat="false" ht="15" hidden="false" customHeight="false" outlineLevel="0" collapsed="false">
      <c r="A1254" s="6" t="s">
        <v>1416</v>
      </c>
      <c r="B1254" s="6" t="n">
        <v>40</v>
      </c>
      <c r="C1254" s="6" t="s">
        <v>159</v>
      </c>
      <c r="D1254" s="6" t="s">
        <v>144</v>
      </c>
      <c r="E1254" s="6" t="s">
        <v>89</v>
      </c>
      <c r="F1254" s="6" t="s">
        <v>153</v>
      </c>
      <c r="G1254" s="6" t="n">
        <v>14</v>
      </c>
      <c r="H1254" s="6" t="s">
        <v>82</v>
      </c>
      <c r="I1254" s="6" t="s">
        <v>82</v>
      </c>
      <c r="J1254" s="6" t="s">
        <v>60</v>
      </c>
      <c r="K1254" s="6" t="n">
        <v>112806</v>
      </c>
      <c r="L1254" s="6" t="n">
        <v>119931</v>
      </c>
      <c r="M1254" s="6" t="s">
        <v>137</v>
      </c>
      <c r="N1254" s="6" t="n">
        <v>54</v>
      </c>
      <c r="O1254" s="6" t="s">
        <v>60</v>
      </c>
      <c r="P1254" s="6" t="n">
        <v>4</v>
      </c>
      <c r="Q1254" s="6" t="n">
        <v>25.62</v>
      </c>
      <c r="R1254" s="20" t="n">
        <f aca="false">(L1254-K1254)/K1254</f>
        <v>0.0631615339609595</v>
      </c>
    </row>
    <row r="1255" customFormat="false" ht="15" hidden="false" customHeight="false" outlineLevel="0" collapsed="false">
      <c r="A1255" s="6" t="s">
        <v>1417</v>
      </c>
      <c r="B1255" s="6" t="n">
        <v>45</v>
      </c>
      <c r="C1255" s="6" t="s">
        <v>139</v>
      </c>
      <c r="D1255" s="6" t="s">
        <v>135</v>
      </c>
      <c r="E1255" s="6" t="s">
        <v>87</v>
      </c>
      <c r="F1255" s="6" t="s">
        <v>160</v>
      </c>
      <c r="G1255" s="6" t="n">
        <v>22</v>
      </c>
      <c r="H1255" s="6" t="s">
        <v>80</v>
      </c>
      <c r="I1255" s="6" t="s">
        <v>80</v>
      </c>
      <c r="J1255" s="6" t="s">
        <v>58</v>
      </c>
      <c r="K1255" s="6" t="n">
        <v>112215</v>
      </c>
      <c r="L1255" s="6" t="n">
        <v>120983</v>
      </c>
      <c r="M1255" s="6" t="s">
        <v>142</v>
      </c>
      <c r="N1255" s="6" t="n">
        <v>45</v>
      </c>
      <c r="O1255" s="6" t="s">
        <v>58</v>
      </c>
      <c r="P1255" s="6" t="n">
        <v>7</v>
      </c>
      <c r="Q1255" s="6" t="n">
        <v>26.9</v>
      </c>
      <c r="R1255" s="20" t="n">
        <f aca="false">(L1255-K1255)/K1255</f>
        <v>0.0781357216058459</v>
      </c>
    </row>
    <row r="1256" customFormat="false" ht="15" hidden="false" customHeight="false" outlineLevel="0" collapsed="false">
      <c r="A1256" s="6" t="s">
        <v>1418</v>
      </c>
      <c r="B1256" s="6" t="n">
        <v>38</v>
      </c>
      <c r="C1256" s="6" t="s">
        <v>159</v>
      </c>
      <c r="D1256" s="6" t="s">
        <v>148</v>
      </c>
      <c r="E1256" s="6" t="s">
        <v>93</v>
      </c>
      <c r="F1256" s="6" t="s">
        <v>164</v>
      </c>
      <c r="G1256" s="6" t="n">
        <v>13</v>
      </c>
      <c r="H1256" s="6" t="s">
        <v>82</v>
      </c>
      <c r="I1256" s="6" t="s">
        <v>80</v>
      </c>
      <c r="J1256" s="6" t="s">
        <v>60</v>
      </c>
      <c r="K1256" s="6" t="n">
        <v>75382</v>
      </c>
      <c r="L1256" s="6" t="n">
        <v>101566</v>
      </c>
      <c r="M1256" s="6" t="s">
        <v>142</v>
      </c>
      <c r="N1256" s="6" t="n">
        <v>48</v>
      </c>
      <c r="O1256" s="6" t="s">
        <v>60</v>
      </c>
      <c r="P1256" s="6" t="n">
        <v>7</v>
      </c>
      <c r="Q1256" s="6" t="n">
        <v>36.76</v>
      </c>
      <c r="R1256" s="20" t="n">
        <f aca="false">(L1256-K1256)/K1256</f>
        <v>0.347350826457244</v>
      </c>
    </row>
    <row r="1257" customFormat="false" ht="15" hidden="false" customHeight="false" outlineLevel="0" collapsed="false">
      <c r="A1257" s="6" t="s">
        <v>1419</v>
      </c>
      <c r="B1257" s="6" t="n">
        <v>32</v>
      </c>
      <c r="C1257" s="6" t="s">
        <v>159</v>
      </c>
      <c r="D1257" s="6" t="s">
        <v>144</v>
      </c>
      <c r="E1257" s="6" t="s">
        <v>92</v>
      </c>
      <c r="F1257" s="6" t="s">
        <v>192</v>
      </c>
      <c r="G1257" s="6" t="n">
        <v>7</v>
      </c>
      <c r="H1257" s="6" t="s">
        <v>81</v>
      </c>
      <c r="I1257" s="6" t="s">
        <v>82</v>
      </c>
      <c r="J1257" s="6" t="s">
        <v>60</v>
      </c>
      <c r="K1257" s="6" t="n">
        <v>30364</v>
      </c>
      <c r="L1257" s="6" t="n">
        <v>36145</v>
      </c>
      <c r="M1257" s="6" t="s">
        <v>142</v>
      </c>
      <c r="N1257" s="6" t="n">
        <v>43</v>
      </c>
      <c r="O1257" s="6" t="s">
        <v>58</v>
      </c>
      <c r="P1257" s="6" t="n">
        <v>4</v>
      </c>
      <c r="Q1257" s="6" t="n">
        <v>-4.69</v>
      </c>
      <c r="R1257" s="20" t="n">
        <f aca="false">(L1257-K1257)/K1257</f>
        <v>0.190389935449875</v>
      </c>
    </row>
    <row r="1258" customFormat="false" ht="15" hidden="false" customHeight="false" outlineLevel="0" collapsed="false">
      <c r="A1258" s="6" t="s">
        <v>1420</v>
      </c>
      <c r="B1258" s="6" t="n">
        <v>25</v>
      </c>
      <c r="C1258" s="6" t="s">
        <v>159</v>
      </c>
      <c r="D1258" s="6" t="s">
        <v>135</v>
      </c>
      <c r="E1258" s="6" t="s">
        <v>89</v>
      </c>
      <c r="F1258" s="6" t="s">
        <v>151</v>
      </c>
      <c r="G1258" s="6" t="n">
        <v>3</v>
      </c>
      <c r="H1258" s="6" t="s">
        <v>80</v>
      </c>
      <c r="I1258" s="6" t="s">
        <v>81</v>
      </c>
      <c r="J1258" s="6" t="s">
        <v>58</v>
      </c>
      <c r="K1258" s="6" t="n">
        <v>72029</v>
      </c>
      <c r="L1258" s="6" t="n">
        <v>72135</v>
      </c>
      <c r="M1258" s="6" t="s">
        <v>146</v>
      </c>
      <c r="N1258" s="6" t="n">
        <v>35</v>
      </c>
      <c r="O1258" s="6" t="s">
        <v>60</v>
      </c>
      <c r="P1258" s="6" t="n">
        <v>7</v>
      </c>
      <c r="Q1258" s="6" t="n">
        <v>13.7</v>
      </c>
      <c r="R1258" s="20" t="n">
        <f aca="false">(L1258-K1258)/K1258</f>
        <v>0.00147162948256952</v>
      </c>
    </row>
    <row r="1259" customFormat="false" ht="15" hidden="false" customHeight="false" outlineLevel="0" collapsed="false">
      <c r="A1259" s="6" t="s">
        <v>1421</v>
      </c>
      <c r="B1259" s="6" t="n">
        <v>31</v>
      </c>
      <c r="C1259" s="6" t="s">
        <v>159</v>
      </c>
      <c r="D1259" s="6" t="s">
        <v>140</v>
      </c>
      <c r="E1259" s="6" t="s">
        <v>91</v>
      </c>
      <c r="F1259" s="6" t="s">
        <v>141</v>
      </c>
      <c r="G1259" s="6" t="n">
        <v>9</v>
      </c>
      <c r="H1259" s="6" t="s">
        <v>81</v>
      </c>
      <c r="I1259" s="6" t="s">
        <v>82</v>
      </c>
      <c r="J1259" s="6" t="s">
        <v>58</v>
      </c>
      <c r="K1259" s="6" t="n">
        <v>49642</v>
      </c>
      <c r="L1259" s="6" t="n">
        <v>49719</v>
      </c>
      <c r="M1259" s="6" t="s">
        <v>142</v>
      </c>
      <c r="N1259" s="6" t="n">
        <v>37</v>
      </c>
      <c r="O1259" s="6" t="s">
        <v>60</v>
      </c>
      <c r="P1259" s="6" t="n">
        <v>8</v>
      </c>
      <c r="Q1259" s="6" t="n">
        <v>8.41</v>
      </c>
      <c r="R1259" s="20" t="n">
        <f aca="false">(L1259-K1259)/K1259</f>
        <v>0.00155110591837557</v>
      </c>
    </row>
    <row r="1260" customFormat="false" ht="15" hidden="false" customHeight="false" outlineLevel="0" collapsed="false">
      <c r="A1260" s="6" t="s">
        <v>1422</v>
      </c>
      <c r="B1260" s="6" t="n">
        <v>35</v>
      </c>
      <c r="C1260" s="6" t="s">
        <v>134</v>
      </c>
      <c r="D1260" s="6" t="s">
        <v>144</v>
      </c>
      <c r="E1260" s="6" t="s">
        <v>91</v>
      </c>
      <c r="F1260" s="6" t="s">
        <v>208</v>
      </c>
      <c r="G1260" s="6" t="n">
        <v>12</v>
      </c>
      <c r="H1260" s="6" t="s">
        <v>82</v>
      </c>
      <c r="I1260" s="6" t="s">
        <v>82</v>
      </c>
      <c r="J1260" s="6" t="s">
        <v>60</v>
      </c>
      <c r="K1260" s="6" t="n">
        <v>109064</v>
      </c>
      <c r="L1260" s="6" t="n">
        <v>115654</v>
      </c>
      <c r="M1260" s="6" t="s">
        <v>146</v>
      </c>
      <c r="N1260" s="6" t="n">
        <v>50</v>
      </c>
      <c r="O1260" s="6" t="s">
        <v>60</v>
      </c>
      <c r="P1260" s="6" t="n">
        <v>9</v>
      </c>
      <c r="Q1260" s="6" t="n">
        <v>29.17</v>
      </c>
      <c r="R1260" s="20" t="n">
        <f aca="false">(L1260-K1260)/K1260</f>
        <v>0.0604232377319739</v>
      </c>
    </row>
    <row r="1261" customFormat="false" ht="15" hidden="false" customHeight="false" outlineLevel="0" collapsed="false">
      <c r="A1261" s="6" t="s">
        <v>1423</v>
      </c>
      <c r="B1261" s="6" t="n">
        <v>57</v>
      </c>
      <c r="C1261" s="6" t="s">
        <v>134</v>
      </c>
      <c r="D1261" s="6" t="s">
        <v>140</v>
      </c>
      <c r="E1261" s="6" t="s">
        <v>93</v>
      </c>
      <c r="F1261" s="6" t="s">
        <v>164</v>
      </c>
      <c r="G1261" s="6" t="n">
        <v>34</v>
      </c>
      <c r="H1261" s="6" t="s">
        <v>80</v>
      </c>
      <c r="I1261" s="6" t="s">
        <v>81</v>
      </c>
      <c r="J1261" s="6" t="s">
        <v>58</v>
      </c>
      <c r="K1261" s="6" t="n">
        <v>58439</v>
      </c>
      <c r="L1261" s="6" t="n">
        <v>58011</v>
      </c>
      <c r="M1261" s="6" t="s">
        <v>146</v>
      </c>
      <c r="N1261" s="6" t="n">
        <v>41</v>
      </c>
      <c r="O1261" s="6" t="s">
        <v>58</v>
      </c>
      <c r="P1261" s="6" t="n">
        <v>9</v>
      </c>
      <c r="Q1261" s="6" t="n">
        <v>-17.18</v>
      </c>
      <c r="R1261" s="20" t="n">
        <f aca="false">(L1261-K1261)/K1261</f>
        <v>-0.00732387617857937</v>
      </c>
    </row>
    <row r="1262" customFormat="false" ht="15" hidden="false" customHeight="false" outlineLevel="0" collapsed="false">
      <c r="A1262" s="6" t="s">
        <v>1424</v>
      </c>
      <c r="B1262" s="6" t="n">
        <v>36</v>
      </c>
      <c r="C1262" s="6" t="s">
        <v>134</v>
      </c>
      <c r="D1262" s="6" t="s">
        <v>144</v>
      </c>
      <c r="E1262" s="6" t="s">
        <v>91</v>
      </c>
      <c r="F1262" s="6" t="s">
        <v>141</v>
      </c>
      <c r="G1262" s="6" t="n">
        <v>13</v>
      </c>
      <c r="H1262" s="6" t="s">
        <v>80</v>
      </c>
      <c r="I1262" s="6" t="s">
        <v>80</v>
      </c>
      <c r="J1262" s="6" t="s">
        <v>60</v>
      </c>
      <c r="K1262" s="6" t="n">
        <v>52391</v>
      </c>
      <c r="L1262" s="6" t="n">
        <v>52305</v>
      </c>
      <c r="M1262" s="6" t="s">
        <v>142</v>
      </c>
      <c r="N1262" s="6" t="n">
        <v>45</v>
      </c>
      <c r="O1262" s="6" t="s">
        <v>58</v>
      </c>
      <c r="P1262" s="6" t="n">
        <v>4</v>
      </c>
      <c r="Q1262" s="6" t="n">
        <v>6.41</v>
      </c>
      <c r="R1262" s="20" t="n">
        <f aca="false">(L1262-K1262)/K1262</f>
        <v>-0.0016415033116375</v>
      </c>
    </row>
    <row r="1263" customFormat="false" ht="15" hidden="false" customHeight="false" outlineLevel="0" collapsed="false">
      <c r="A1263" s="6" t="s">
        <v>1425</v>
      </c>
      <c r="B1263" s="6" t="n">
        <v>43</v>
      </c>
      <c r="C1263" s="6" t="s">
        <v>139</v>
      </c>
      <c r="D1263" s="6" t="s">
        <v>140</v>
      </c>
      <c r="E1263" s="6" t="s">
        <v>87</v>
      </c>
      <c r="F1263" s="6" t="s">
        <v>155</v>
      </c>
      <c r="G1263" s="6" t="n">
        <v>19</v>
      </c>
      <c r="H1263" s="6" t="s">
        <v>82</v>
      </c>
      <c r="I1263" s="6" t="s">
        <v>80</v>
      </c>
      <c r="J1263" s="6" t="s">
        <v>60</v>
      </c>
      <c r="K1263" s="6" t="n">
        <v>92537</v>
      </c>
      <c r="L1263" s="6" t="n">
        <v>95957</v>
      </c>
      <c r="M1263" s="6" t="s">
        <v>142</v>
      </c>
      <c r="N1263" s="6" t="n">
        <v>49</v>
      </c>
      <c r="O1263" s="6" t="s">
        <v>60</v>
      </c>
      <c r="P1263" s="6" t="n">
        <v>4</v>
      </c>
      <c r="Q1263" s="6" t="n">
        <v>-4.76</v>
      </c>
      <c r="R1263" s="20" t="n">
        <f aca="false">(L1263-K1263)/K1263</f>
        <v>0.0369581896970941</v>
      </c>
    </row>
    <row r="1264" customFormat="false" ht="15" hidden="false" customHeight="false" outlineLevel="0" collapsed="false">
      <c r="A1264" s="6" t="s">
        <v>1426</v>
      </c>
      <c r="B1264" s="6" t="n">
        <v>42</v>
      </c>
      <c r="C1264" s="6" t="s">
        <v>139</v>
      </c>
      <c r="D1264" s="6" t="s">
        <v>148</v>
      </c>
      <c r="E1264" s="6" t="s">
        <v>92</v>
      </c>
      <c r="F1264" s="6" t="s">
        <v>222</v>
      </c>
      <c r="G1264" s="6" t="n">
        <v>16</v>
      </c>
      <c r="H1264" s="6" t="s">
        <v>81</v>
      </c>
      <c r="I1264" s="6" t="s">
        <v>81</v>
      </c>
      <c r="J1264" s="6" t="s">
        <v>60</v>
      </c>
      <c r="K1264" s="6" t="n">
        <v>54714</v>
      </c>
      <c r="L1264" s="6" t="n">
        <v>54590</v>
      </c>
      <c r="M1264" s="6" t="s">
        <v>146</v>
      </c>
      <c r="N1264" s="6" t="n">
        <v>40</v>
      </c>
      <c r="O1264" s="6" t="s">
        <v>60</v>
      </c>
      <c r="P1264" s="6" t="n">
        <v>7</v>
      </c>
      <c r="Q1264" s="6" t="n">
        <v>29.02</v>
      </c>
      <c r="R1264" s="20" t="n">
        <f aca="false">(L1264-K1264)/K1264</f>
        <v>-0.00226633037248236</v>
      </c>
    </row>
    <row r="1265" customFormat="false" ht="15" hidden="false" customHeight="false" outlineLevel="0" collapsed="false">
      <c r="A1265" s="6" t="s">
        <v>1427</v>
      </c>
      <c r="B1265" s="6" t="n">
        <v>43</v>
      </c>
      <c r="C1265" s="6" t="s">
        <v>134</v>
      </c>
      <c r="D1265" s="6" t="s">
        <v>148</v>
      </c>
      <c r="E1265" s="6" t="s">
        <v>89</v>
      </c>
      <c r="F1265" s="6" t="s">
        <v>151</v>
      </c>
      <c r="G1265" s="6" t="n">
        <v>17</v>
      </c>
      <c r="H1265" s="6" t="s">
        <v>82</v>
      </c>
      <c r="I1265" s="6" t="s">
        <v>82</v>
      </c>
      <c r="J1265" s="6" t="s">
        <v>58</v>
      </c>
      <c r="K1265" s="6" t="n">
        <v>69770</v>
      </c>
      <c r="L1265" s="6" t="n">
        <v>71984</v>
      </c>
      <c r="M1265" s="6" t="s">
        <v>146</v>
      </c>
      <c r="N1265" s="6" t="n">
        <v>49</v>
      </c>
      <c r="O1265" s="6" t="s">
        <v>58</v>
      </c>
      <c r="P1265" s="6" t="n">
        <v>4</v>
      </c>
      <c r="Q1265" s="6" t="n">
        <v>9.09</v>
      </c>
      <c r="R1265" s="20" t="n">
        <f aca="false">(L1265-K1265)/K1265</f>
        <v>0.031732836462663</v>
      </c>
    </row>
    <row r="1266" customFormat="false" ht="15" hidden="false" customHeight="false" outlineLevel="0" collapsed="false">
      <c r="A1266" s="6" t="s">
        <v>1428</v>
      </c>
      <c r="B1266" s="6" t="n">
        <v>26</v>
      </c>
      <c r="C1266" s="6" t="s">
        <v>139</v>
      </c>
      <c r="D1266" s="6" t="s">
        <v>135</v>
      </c>
      <c r="E1266" s="6" t="s">
        <v>91</v>
      </c>
      <c r="F1266" s="6" t="s">
        <v>208</v>
      </c>
      <c r="G1266" s="6" t="n">
        <v>3</v>
      </c>
      <c r="H1266" s="6" t="s">
        <v>80</v>
      </c>
      <c r="I1266" s="6" t="s">
        <v>82</v>
      </c>
      <c r="J1266" s="6" t="s">
        <v>60</v>
      </c>
      <c r="K1266" s="6" t="n">
        <v>108627</v>
      </c>
      <c r="L1266" s="6" t="n">
        <v>105204</v>
      </c>
      <c r="M1266" s="6" t="s">
        <v>142</v>
      </c>
      <c r="N1266" s="6" t="n">
        <v>44</v>
      </c>
      <c r="O1266" s="6" t="s">
        <v>58</v>
      </c>
      <c r="P1266" s="6" t="n">
        <v>4</v>
      </c>
      <c r="Q1266" s="6" t="n">
        <v>-11.15</v>
      </c>
      <c r="R1266" s="20" t="n">
        <f aca="false">(L1266-K1266)/K1266</f>
        <v>-0.0315115026650833</v>
      </c>
    </row>
    <row r="1267" customFormat="false" ht="15" hidden="false" customHeight="false" outlineLevel="0" collapsed="false">
      <c r="A1267" s="6" t="s">
        <v>1429</v>
      </c>
      <c r="B1267" s="6" t="n">
        <v>38</v>
      </c>
      <c r="C1267" s="6" t="s">
        <v>159</v>
      </c>
      <c r="D1267" s="6" t="s">
        <v>148</v>
      </c>
      <c r="E1267" s="6" t="s">
        <v>87</v>
      </c>
      <c r="F1267" s="6" t="s">
        <v>160</v>
      </c>
      <c r="G1267" s="6" t="n">
        <v>12</v>
      </c>
      <c r="H1267" s="6" t="s">
        <v>82</v>
      </c>
      <c r="I1267" s="6" t="s">
        <v>81</v>
      </c>
      <c r="J1267" s="6" t="s">
        <v>60</v>
      </c>
      <c r="K1267" s="6" t="n">
        <v>85355</v>
      </c>
      <c r="L1267" s="6" t="n">
        <v>107390</v>
      </c>
      <c r="M1267" s="6" t="s">
        <v>146</v>
      </c>
      <c r="N1267" s="6" t="n">
        <v>35</v>
      </c>
      <c r="O1267" s="6" t="s">
        <v>60</v>
      </c>
      <c r="P1267" s="6" t="n">
        <v>8</v>
      </c>
      <c r="Q1267" s="6" t="n">
        <v>39.56</v>
      </c>
      <c r="R1267" s="20" t="n">
        <f aca="false">(L1267-K1267)/K1267</f>
        <v>0.258157108546658</v>
      </c>
    </row>
    <row r="1268" customFormat="false" ht="15" hidden="false" customHeight="false" outlineLevel="0" collapsed="false">
      <c r="A1268" s="6" t="s">
        <v>1430</v>
      </c>
      <c r="B1268" s="6" t="n">
        <v>46</v>
      </c>
      <c r="C1268" s="6" t="s">
        <v>134</v>
      </c>
      <c r="D1268" s="6" t="s">
        <v>140</v>
      </c>
      <c r="E1268" s="6" t="s">
        <v>91</v>
      </c>
      <c r="F1268" s="6" t="s">
        <v>206</v>
      </c>
      <c r="G1268" s="6" t="n">
        <v>23</v>
      </c>
      <c r="H1268" s="6" t="s">
        <v>81</v>
      </c>
      <c r="I1268" s="6" t="s">
        <v>82</v>
      </c>
      <c r="J1268" s="6" t="s">
        <v>60</v>
      </c>
      <c r="K1268" s="6" t="n">
        <v>71420</v>
      </c>
      <c r="L1268" s="6" t="n">
        <v>67288</v>
      </c>
      <c r="M1268" s="6" t="s">
        <v>142</v>
      </c>
      <c r="N1268" s="6" t="n">
        <v>43</v>
      </c>
      <c r="O1268" s="6" t="s">
        <v>60</v>
      </c>
      <c r="P1268" s="6" t="n">
        <v>8</v>
      </c>
      <c r="Q1268" s="6" t="n">
        <v>17.35</v>
      </c>
      <c r="R1268" s="20" t="n">
        <f aca="false">(L1268-K1268)/K1268</f>
        <v>-0.0578549425931112</v>
      </c>
    </row>
    <row r="1269" customFormat="false" ht="15" hidden="false" customHeight="false" outlineLevel="0" collapsed="false">
      <c r="A1269" s="6" t="s">
        <v>1431</v>
      </c>
      <c r="B1269" s="6" t="n">
        <v>29</v>
      </c>
      <c r="C1269" s="6" t="s">
        <v>159</v>
      </c>
      <c r="D1269" s="6" t="s">
        <v>148</v>
      </c>
      <c r="E1269" s="6" t="s">
        <v>93</v>
      </c>
      <c r="F1269" s="6" t="s">
        <v>197</v>
      </c>
      <c r="G1269" s="6" t="n">
        <v>7</v>
      </c>
      <c r="H1269" s="6" t="s">
        <v>81</v>
      </c>
      <c r="I1269" s="6" t="s">
        <v>80</v>
      </c>
      <c r="J1269" s="6" t="s">
        <v>58</v>
      </c>
      <c r="K1269" s="6" t="n">
        <v>99687</v>
      </c>
      <c r="L1269" s="6" t="n">
        <v>114913</v>
      </c>
      <c r="M1269" s="6" t="s">
        <v>142</v>
      </c>
      <c r="N1269" s="6" t="n">
        <v>40</v>
      </c>
      <c r="O1269" s="6" t="s">
        <v>60</v>
      </c>
      <c r="P1269" s="6" t="n">
        <v>3</v>
      </c>
      <c r="Q1269" s="6" t="n">
        <v>23.34</v>
      </c>
      <c r="R1269" s="20" t="n">
        <f aca="false">(L1269-K1269)/K1269</f>
        <v>0.1527380701596</v>
      </c>
    </row>
    <row r="1270" customFormat="false" ht="15" hidden="false" customHeight="false" outlineLevel="0" collapsed="false">
      <c r="A1270" s="6" t="s">
        <v>1432</v>
      </c>
      <c r="B1270" s="6" t="n">
        <v>22</v>
      </c>
      <c r="C1270" s="6" t="s">
        <v>134</v>
      </c>
      <c r="D1270" s="6" t="s">
        <v>148</v>
      </c>
      <c r="E1270" s="6" t="s">
        <v>88</v>
      </c>
      <c r="F1270" s="6" t="s">
        <v>234</v>
      </c>
      <c r="G1270" s="6" t="n">
        <v>0</v>
      </c>
      <c r="H1270" s="6" t="s">
        <v>81</v>
      </c>
      <c r="I1270" s="6" t="s">
        <v>82</v>
      </c>
      <c r="J1270" s="6" t="s">
        <v>60</v>
      </c>
      <c r="K1270" s="6" t="n">
        <v>95792</v>
      </c>
      <c r="L1270" s="6" t="n">
        <v>90831</v>
      </c>
      <c r="M1270" s="6" t="s">
        <v>142</v>
      </c>
      <c r="N1270" s="6" t="n">
        <v>51</v>
      </c>
      <c r="O1270" s="6" t="s">
        <v>60</v>
      </c>
      <c r="P1270" s="6" t="n">
        <v>5</v>
      </c>
      <c r="Q1270" s="6" t="n">
        <v>38.7</v>
      </c>
      <c r="R1270" s="20" t="n">
        <f aca="false">(L1270-K1270)/K1270</f>
        <v>-0.0517892934691832</v>
      </c>
    </row>
    <row r="1271" customFormat="false" ht="15" hidden="false" customHeight="false" outlineLevel="0" collapsed="false">
      <c r="A1271" s="6" t="s">
        <v>1433</v>
      </c>
      <c r="B1271" s="6" t="n">
        <v>50</v>
      </c>
      <c r="C1271" s="6" t="s">
        <v>139</v>
      </c>
      <c r="D1271" s="6" t="s">
        <v>144</v>
      </c>
      <c r="E1271" s="6" t="s">
        <v>92</v>
      </c>
      <c r="F1271" s="6" t="s">
        <v>222</v>
      </c>
      <c r="G1271" s="6" t="n">
        <v>27</v>
      </c>
      <c r="H1271" s="6" t="s">
        <v>81</v>
      </c>
      <c r="I1271" s="6" t="s">
        <v>82</v>
      </c>
      <c r="J1271" s="6" t="s">
        <v>60</v>
      </c>
      <c r="K1271" s="6" t="n">
        <v>84273</v>
      </c>
      <c r="L1271" s="6" t="n">
        <v>96112</v>
      </c>
      <c r="M1271" s="6" t="s">
        <v>142</v>
      </c>
      <c r="N1271" s="6" t="n">
        <v>48</v>
      </c>
      <c r="O1271" s="6" t="s">
        <v>58</v>
      </c>
      <c r="P1271" s="6" t="n">
        <v>6</v>
      </c>
      <c r="Q1271" s="6" t="n">
        <v>17.83</v>
      </c>
      <c r="R1271" s="20" t="n">
        <f aca="false">(L1271-K1271)/K1271</f>
        <v>0.140483903504088</v>
      </c>
    </row>
    <row r="1272" customFormat="false" ht="15" hidden="false" customHeight="false" outlineLevel="0" collapsed="false">
      <c r="A1272" s="6" t="s">
        <v>1434</v>
      </c>
      <c r="B1272" s="6" t="n">
        <v>38</v>
      </c>
      <c r="C1272" s="6" t="s">
        <v>134</v>
      </c>
      <c r="D1272" s="6" t="s">
        <v>144</v>
      </c>
      <c r="E1272" s="6" t="s">
        <v>91</v>
      </c>
      <c r="F1272" s="6" t="s">
        <v>141</v>
      </c>
      <c r="G1272" s="6" t="n">
        <v>16</v>
      </c>
      <c r="H1272" s="6" t="s">
        <v>82</v>
      </c>
      <c r="I1272" s="6" t="s">
        <v>80</v>
      </c>
      <c r="J1272" s="6" t="s">
        <v>58</v>
      </c>
      <c r="K1272" s="6" t="n">
        <v>117483</v>
      </c>
      <c r="L1272" s="6" t="n">
        <v>158394</v>
      </c>
      <c r="M1272" s="6" t="s">
        <v>142</v>
      </c>
      <c r="N1272" s="6" t="n">
        <v>52</v>
      </c>
      <c r="O1272" s="6" t="s">
        <v>60</v>
      </c>
      <c r="P1272" s="6" t="n">
        <v>6</v>
      </c>
      <c r="Q1272" s="6" t="n">
        <v>29.98</v>
      </c>
      <c r="R1272" s="20" t="n">
        <f aca="false">(L1272-K1272)/K1272</f>
        <v>0.348229105487602</v>
      </c>
    </row>
    <row r="1273" customFormat="false" ht="15" hidden="false" customHeight="false" outlineLevel="0" collapsed="false">
      <c r="A1273" s="6" t="s">
        <v>1435</v>
      </c>
      <c r="B1273" s="6" t="n">
        <v>38</v>
      </c>
      <c r="C1273" s="6" t="s">
        <v>139</v>
      </c>
      <c r="D1273" s="6" t="s">
        <v>144</v>
      </c>
      <c r="E1273" s="6" t="s">
        <v>92</v>
      </c>
      <c r="F1273" s="6" t="s">
        <v>222</v>
      </c>
      <c r="G1273" s="6" t="n">
        <v>15</v>
      </c>
      <c r="H1273" s="6" t="s">
        <v>82</v>
      </c>
      <c r="I1273" s="6" t="s">
        <v>81</v>
      </c>
      <c r="J1273" s="6" t="s">
        <v>58</v>
      </c>
      <c r="K1273" s="6" t="n">
        <v>62813</v>
      </c>
      <c r="L1273" s="6" t="n">
        <v>66902</v>
      </c>
      <c r="M1273" s="6" t="s">
        <v>146</v>
      </c>
      <c r="N1273" s="6" t="n">
        <v>45</v>
      </c>
      <c r="O1273" s="6" t="s">
        <v>60</v>
      </c>
      <c r="P1273" s="6" t="n">
        <v>9</v>
      </c>
      <c r="Q1273" s="6" t="n">
        <v>26.24</v>
      </c>
      <c r="R1273" s="20" t="n">
        <f aca="false">(L1273-K1273)/K1273</f>
        <v>0.0650979892697372</v>
      </c>
    </row>
    <row r="1274" customFormat="false" ht="15" hidden="false" customHeight="false" outlineLevel="0" collapsed="false">
      <c r="A1274" s="6" t="s">
        <v>1436</v>
      </c>
      <c r="B1274" s="6" t="n">
        <v>41</v>
      </c>
      <c r="C1274" s="6" t="s">
        <v>159</v>
      </c>
      <c r="D1274" s="6" t="s">
        <v>140</v>
      </c>
      <c r="E1274" s="6" t="s">
        <v>89</v>
      </c>
      <c r="F1274" s="6" t="s">
        <v>151</v>
      </c>
      <c r="G1274" s="6" t="n">
        <v>15</v>
      </c>
      <c r="H1274" s="6" t="s">
        <v>82</v>
      </c>
      <c r="I1274" s="6" t="s">
        <v>82</v>
      </c>
      <c r="J1274" s="6" t="s">
        <v>58</v>
      </c>
      <c r="K1274" s="6" t="n">
        <v>33775</v>
      </c>
      <c r="L1274" s="6" t="n">
        <v>27816</v>
      </c>
      <c r="M1274" s="6" t="s">
        <v>146</v>
      </c>
      <c r="N1274" s="6" t="n">
        <v>35</v>
      </c>
      <c r="O1274" s="6" t="s">
        <v>58</v>
      </c>
      <c r="P1274" s="6" t="n">
        <v>3</v>
      </c>
      <c r="Q1274" s="6" t="n">
        <v>19.29</v>
      </c>
      <c r="R1274" s="20" t="n">
        <f aca="false">(L1274-K1274)/K1274</f>
        <v>-0.176432272390822</v>
      </c>
    </row>
    <row r="1275" customFormat="false" ht="15" hidden="false" customHeight="false" outlineLevel="0" collapsed="false">
      <c r="A1275" s="6" t="s">
        <v>1437</v>
      </c>
      <c r="B1275" s="6" t="n">
        <v>43</v>
      </c>
      <c r="C1275" s="6" t="s">
        <v>139</v>
      </c>
      <c r="D1275" s="6" t="s">
        <v>135</v>
      </c>
      <c r="E1275" s="6" t="s">
        <v>88</v>
      </c>
      <c r="F1275" s="6" t="s">
        <v>157</v>
      </c>
      <c r="G1275" s="6" t="n">
        <v>18</v>
      </c>
      <c r="H1275" s="6" t="s">
        <v>82</v>
      </c>
      <c r="I1275" s="6" t="s">
        <v>81</v>
      </c>
      <c r="J1275" s="6" t="s">
        <v>58</v>
      </c>
      <c r="K1275" s="6" t="n">
        <v>85184</v>
      </c>
      <c r="L1275" s="6" t="n">
        <v>99206</v>
      </c>
      <c r="M1275" s="6" t="s">
        <v>146</v>
      </c>
      <c r="N1275" s="6" t="n">
        <v>49</v>
      </c>
      <c r="O1275" s="6" t="s">
        <v>60</v>
      </c>
      <c r="P1275" s="6" t="n">
        <v>8</v>
      </c>
      <c r="Q1275" s="6" t="n">
        <v>4.16</v>
      </c>
      <c r="R1275" s="20" t="n">
        <f aca="false">(L1275-K1275)/K1275</f>
        <v>0.16460837716003</v>
      </c>
    </row>
    <row r="1276" customFormat="false" ht="15" hidden="false" customHeight="false" outlineLevel="0" collapsed="false">
      <c r="A1276" s="6" t="s">
        <v>1438</v>
      </c>
      <c r="B1276" s="6" t="n">
        <v>48</v>
      </c>
      <c r="C1276" s="6" t="s">
        <v>139</v>
      </c>
      <c r="D1276" s="6" t="s">
        <v>148</v>
      </c>
      <c r="E1276" s="6" t="s">
        <v>88</v>
      </c>
      <c r="F1276" s="6" t="s">
        <v>234</v>
      </c>
      <c r="G1276" s="6" t="n">
        <v>25</v>
      </c>
      <c r="H1276" s="6" t="s">
        <v>81</v>
      </c>
      <c r="I1276" s="6" t="s">
        <v>82</v>
      </c>
      <c r="J1276" s="6" t="s">
        <v>58</v>
      </c>
      <c r="K1276" s="6" t="n">
        <v>32108</v>
      </c>
      <c r="L1276" s="6" t="n">
        <v>36007</v>
      </c>
      <c r="M1276" s="6" t="s">
        <v>142</v>
      </c>
      <c r="N1276" s="6" t="n">
        <v>48</v>
      </c>
      <c r="O1276" s="6" t="s">
        <v>60</v>
      </c>
      <c r="P1276" s="6" t="n">
        <v>9</v>
      </c>
      <c r="Q1276" s="6" t="n">
        <v>-8.65</v>
      </c>
      <c r="R1276" s="20" t="n">
        <f aca="false">(L1276-K1276)/K1276</f>
        <v>0.121433910551887</v>
      </c>
    </row>
    <row r="1277" customFormat="false" ht="15" hidden="false" customHeight="false" outlineLevel="0" collapsed="false">
      <c r="A1277" s="6" t="s">
        <v>1439</v>
      </c>
      <c r="B1277" s="6" t="n">
        <v>53</v>
      </c>
      <c r="C1277" s="6" t="s">
        <v>139</v>
      </c>
      <c r="D1277" s="6" t="s">
        <v>144</v>
      </c>
      <c r="E1277" s="6" t="s">
        <v>93</v>
      </c>
      <c r="F1277" s="6" t="s">
        <v>197</v>
      </c>
      <c r="G1277" s="6" t="n">
        <v>31</v>
      </c>
      <c r="H1277" s="6" t="s">
        <v>81</v>
      </c>
      <c r="I1277" s="6" t="s">
        <v>81</v>
      </c>
      <c r="J1277" s="6" t="s">
        <v>58</v>
      </c>
      <c r="K1277" s="6" t="n">
        <v>99868</v>
      </c>
      <c r="L1277" s="6" t="n">
        <v>91566</v>
      </c>
      <c r="M1277" s="6" t="s">
        <v>146</v>
      </c>
      <c r="N1277" s="6" t="n">
        <v>44</v>
      </c>
      <c r="O1277" s="6" t="s">
        <v>58</v>
      </c>
      <c r="P1277" s="6" t="n">
        <v>9</v>
      </c>
      <c r="Q1277" s="6" t="n">
        <v>-15.16</v>
      </c>
      <c r="R1277" s="20" t="n">
        <f aca="false">(L1277-K1277)/K1277</f>
        <v>-0.0831297312452437</v>
      </c>
    </row>
    <row r="1278" customFormat="false" ht="15" hidden="false" customHeight="false" outlineLevel="0" collapsed="false">
      <c r="A1278" s="6" t="s">
        <v>1440</v>
      </c>
      <c r="B1278" s="6" t="n">
        <v>25</v>
      </c>
      <c r="C1278" s="6" t="s">
        <v>134</v>
      </c>
      <c r="D1278" s="6" t="s">
        <v>148</v>
      </c>
      <c r="E1278" s="6" t="s">
        <v>92</v>
      </c>
      <c r="F1278" s="6" t="s">
        <v>136</v>
      </c>
      <c r="G1278" s="6" t="n">
        <v>1</v>
      </c>
      <c r="H1278" s="6" t="s">
        <v>82</v>
      </c>
      <c r="I1278" s="6" t="s">
        <v>80</v>
      </c>
      <c r="J1278" s="6" t="s">
        <v>58</v>
      </c>
      <c r="K1278" s="6" t="n">
        <v>102499</v>
      </c>
      <c r="L1278" s="6" t="n">
        <v>122234</v>
      </c>
      <c r="M1278" s="6" t="s">
        <v>142</v>
      </c>
      <c r="N1278" s="6" t="n">
        <v>50</v>
      </c>
      <c r="O1278" s="6" t="s">
        <v>60</v>
      </c>
      <c r="P1278" s="6" t="n">
        <v>6</v>
      </c>
      <c r="Q1278" s="6" t="n">
        <v>12.02</v>
      </c>
      <c r="R1278" s="20" t="n">
        <f aca="false">(L1278-K1278)/K1278</f>
        <v>0.192538463789891</v>
      </c>
    </row>
    <row r="1279" customFormat="false" ht="15" hidden="false" customHeight="false" outlineLevel="0" collapsed="false">
      <c r="A1279" s="6" t="s">
        <v>1441</v>
      </c>
      <c r="B1279" s="6" t="n">
        <v>57</v>
      </c>
      <c r="C1279" s="6" t="s">
        <v>134</v>
      </c>
      <c r="D1279" s="6" t="s">
        <v>135</v>
      </c>
      <c r="E1279" s="6" t="s">
        <v>87</v>
      </c>
      <c r="F1279" s="6" t="s">
        <v>149</v>
      </c>
      <c r="G1279" s="6" t="n">
        <v>35</v>
      </c>
      <c r="H1279" s="6" t="s">
        <v>82</v>
      </c>
      <c r="I1279" s="6" t="s">
        <v>80</v>
      </c>
      <c r="J1279" s="6" t="s">
        <v>58</v>
      </c>
      <c r="K1279" s="6" t="n">
        <v>42780</v>
      </c>
      <c r="L1279" s="6" t="n">
        <v>37514</v>
      </c>
      <c r="M1279" s="6" t="s">
        <v>142</v>
      </c>
      <c r="N1279" s="6" t="n">
        <v>40</v>
      </c>
      <c r="O1279" s="6" t="s">
        <v>58</v>
      </c>
      <c r="P1279" s="6" t="n">
        <v>8</v>
      </c>
      <c r="Q1279" s="6" t="n">
        <v>-12.62</v>
      </c>
      <c r="R1279" s="20" t="n">
        <f aca="false">(L1279-K1279)/K1279</f>
        <v>-0.123094904160823</v>
      </c>
    </row>
    <row r="1280" customFormat="false" ht="15" hidden="false" customHeight="false" outlineLevel="0" collapsed="false">
      <c r="A1280" s="6" t="s">
        <v>1442</v>
      </c>
      <c r="B1280" s="6" t="n">
        <v>48</v>
      </c>
      <c r="C1280" s="6" t="s">
        <v>134</v>
      </c>
      <c r="D1280" s="6" t="s">
        <v>135</v>
      </c>
      <c r="E1280" s="6" t="s">
        <v>88</v>
      </c>
      <c r="F1280" s="6" t="s">
        <v>179</v>
      </c>
      <c r="G1280" s="6" t="n">
        <v>22</v>
      </c>
      <c r="H1280" s="6" t="s">
        <v>81</v>
      </c>
      <c r="I1280" s="6" t="s">
        <v>81</v>
      </c>
      <c r="J1280" s="6" t="s">
        <v>58</v>
      </c>
      <c r="K1280" s="6" t="n">
        <v>61533</v>
      </c>
      <c r="L1280" s="6" t="n">
        <v>56158</v>
      </c>
      <c r="M1280" s="6" t="s">
        <v>146</v>
      </c>
      <c r="N1280" s="6" t="n">
        <v>50</v>
      </c>
      <c r="O1280" s="6" t="s">
        <v>60</v>
      </c>
      <c r="P1280" s="6" t="n">
        <v>7</v>
      </c>
      <c r="Q1280" s="6" t="n">
        <v>9.78</v>
      </c>
      <c r="R1280" s="20" t="n">
        <f aca="false">(L1280-K1280)/K1280</f>
        <v>-0.0873515024458421</v>
      </c>
    </row>
    <row r="1281" customFormat="false" ht="15" hidden="false" customHeight="false" outlineLevel="0" collapsed="false">
      <c r="A1281" s="6" t="s">
        <v>1443</v>
      </c>
      <c r="B1281" s="6" t="n">
        <v>47</v>
      </c>
      <c r="C1281" s="6" t="s">
        <v>139</v>
      </c>
      <c r="D1281" s="6" t="s">
        <v>135</v>
      </c>
      <c r="E1281" s="6" t="s">
        <v>87</v>
      </c>
      <c r="F1281" s="6" t="s">
        <v>155</v>
      </c>
      <c r="G1281" s="6" t="n">
        <v>25</v>
      </c>
      <c r="H1281" s="6" t="s">
        <v>82</v>
      </c>
      <c r="I1281" s="6" t="s">
        <v>82</v>
      </c>
      <c r="J1281" s="6" t="s">
        <v>60</v>
      </c>
      <c r="K1281" s="6" t="n">
        <v>99778</v>
      </c>
      <c r="L1281" s="6" t="n">
        <v>138786</v>
      </c>
      <c r="M1281" s="6" t="s">
        <v>146</v>
      </c>
      <c r="N1281" s="6" t="n">
        <v>35</v>
      </c>
      <c r="O1281" s="6" t="s">
        <v>58</v>
      </c>
      <c r="P1281" s="6" t="n">
        <v>6</v>
      </c>
      <c r="Q1281" s="6" t="n">
        <v>36.75</v>
      </c>
      <c r="R1281" s="20" t="n">
        <f aca="false">(L1281-K1281)/K1281</f>
        <v>0.390947904347652</v>
      </c>
    </row>
    <row r="1282" customFormat="false" ht="15" hidden="false" customHeight="false" outlineLevel="0" collapsed="false">
      <c r="A1282" s="6" t="s">
        <v>1444</v>
      </c>
      <c r="B1282" s="6" t="n">
        <v>57</v>
      </c>
      <c r="C1282" s="6" t="s">
        <v>159</v>
      </c>
      <c r="D1282" s="6" t="s">
        <v>148</v>
      </c>
      <c r="E1282" s="6" t="s">
        <v>92</v>
      </c>
      <c r="F1282" s="6" t="s">
        <v>192</v>
      </c>
      <c r="G1282" s="6" t="n">
        <v>33</v>
      </c>
      <c r="H1282" s="6" t="s">
        <v>82</v>
      </c>
      <c r="I1282" s="6" t="s">
        <v>82</v>
      </c>
      <c r="J1282" s="6" t="s">
        <v>60</v>
      </c>
      <c r="K1282" s="6" t="n">
        <v>38080</v>
      </c>
      <c r="L1282" s="6" t="n">
        <v>47181</v>
      </c>
      <c r="M1282" s="6" t="s">
        <v>146</v>
      </c>
      <c r="N1282" s="6" t="n">
        <v>43</v>
      </c>
      <c r="O1282" s="6" t="s">
        <v>58</v>
      </c>
      <c r="P1282" s="6" t="n">
        <v>7</v>
      </c>
      <c r="Q1282" s="6" t="n">
        <v>-10.75</v>
      </c>
      <c r="R1282" s="20" t="n">
        <f aca="false">(L1282-K1282)/K1282</f>
        <v>0.238996848739496</v>
      </c>
    </row>
    <row r="1283" customFormat="false" ht="15" hidden="false" customHeight="false" outlineLevel="0" collapsed="false">
      <c r="A1283" s="6" t="s">
        <v>1445</v>
      </c>
      <c r="B1283" s="6" t="n">
        <v>32</v>
      </c>
      <c r="C1283" s="6" t="s">
        <v>139</v>
      </c>
      <c r="D1283" s="6" t="s">
        <v>135</v>
      </c>
      <c r="E1283" s="6" t="s">
        <v>90</v>
      </c>
      <c r="F1283" s="6" t="s">
        <v>145</v>
      </c>
      <c r="G1283" s="6" t="n">
        <v>6</v>
      </c>
      <c r="H1283" s="6" t="s">
        <v>80</v>
      </c>
      <c r="I1283" s="6" t="s">
        <v>81</v>
      </c>
      <c r="J1283" s="6" t="s">
        <v>58</v>
      </c>
      <c r="K1283" s="6" t="n">
        <v>108287</v>
      </c>
      <c r="L1283" s="6" t="n">
        <v>117506</v>
      </c>
      <c r="M1283" s="6" t="s">
        <v>146</v>
      </c>
      <c r="N1283" s="6" t="n">
        <v>46</v>
      </c>
      <c r="O1283" s="6" t="s">
        <v>58</v>
      </c>
      <c r="P1283" s="6" t="n">
        <v>5</v>
      </c>
      <c r="Q1283" s="6" t="n">
        <v>20.45</v>
      </c>
      <c r="R1283" s="20" t="n">
        <f aca="false">(L1283-K1283)/K1283</f>
        <v>0.0851348730687894</v>
      </c>
    </row>
    <row r="1284" customFormat="false" ht="15" hidden="false" customHeight="false" outlineLevel="0" collapsed="false">
      <c r="A1284" s="6" t="s">
        <v>1446</v>
      </c>
      <c r="B1284" s="6" t="n">
        <v>34</v>
      </c>
      <c r="C1284" s="6" t="s">
        <v>134</v>
      </c>
      <c r="D1284" s="6" t="s">
        <v>135</v>
      </c>
      <c r="E1284" s="6" t="s">
        <v>87</v>
      </c>
      <c r="F1284" s="6" t="s">
        <v>149</v>
      </c>
      <c r="G1284" s="6" t="n">
        <v>12</v>
      </c>
      <c r="H1284" s="6" t="s">
        <v>82</v>
      </c>
      <c r="I1284" s="6" t="s">
        <v>82</v>
      </c>
      <c r="J1284" s="6" t="s">
        <v>60</v>
      </c>
      <c r="K1284" s="6" t="n">
        <v>45831</v>
      </c>
      <c r="L1284" s="6" t="n">
        <v>51165</v>
      </c>
      <c r="M1284" s="6" t="s">
        <v>146</v>
      </c>
      <c r="N1284" s="6" t="n">
        <v>53</v>
      </c>
      <c r="O1284" s="6" t="s">
        <v>60</v>
      </c>
      <c r="P1284" s="6" t="n">
        <v>9</v>
      </c>
      <c r="Q1284" s="6" t="n">
        <v>4.17</v>
      </c>
      <c r="R1284" s="20" t="n">
        <f aca="false">(L1284-K1284)/K1284</f>
        <v>0.116384106827257</v>
      </c>
    </row>
    <row r="1285" customFormat="false" ht="15" hidden="false" customHeight="false" outlineLevel="0" collapsed="false">
      <c r="A1285" s="6" t="s">
        <v>1447</v>
      </c>
      <c r="B1285" s="6" t="n">
        <v>30</v>
      </c>
      <c r="C1285" s="6" t="s">
        <v>159</v>
      </c>
      <c r="D1285" s="6" t="s">
        <v>140</v>
      </c>
      <c r="E1285" s="6" t="s">
        <v>93</v>
      </c>
      <c r="F1285" s="6" t="s">
        <v>164</v>
      </c>
      <c r="G1285" s="6" t="n">
        <v>6</v>
      </c>
      <c r="H1285" s="6" t="s">
        <v>81</v>
      </c>
      <c r="I1285" s="6" t="s">
        <v>82</v>
      </c>
      <c r="J1285" s="6" t="s">
        <v>60</v>
      </c>
      <c r="K1285" s="6" t="n">
        <v>89372</v>
      </c>
      <c r="L1285" s="6" t="n">
        <v>93889</v>
      </c>
      <c r="M1285" s="6" t="s">
        <v>142</v>
      </c>
      <c r="N1285" s="6" t="n">
        <v>36</v>
      </c>
      <c r="O1285" s="6" t="s">
        <v>58</v>
      </c>
      <c r="P1285" s="6" t="n">
        <v>4</v>
      </c>
      <c r="Q1285" s="6" t="n">
        <v>26.68</v>
      </c>
      <c r="R1285" s="20" t="n">
        <f aca="false">(L1285-K1285)/K1285</f>
        <v>0.0505415566396634</v>
      </c>
    </row>
    <row r="1286" customFormat="false" ht="15" hidden="false" customHeight="false" outlineLevel="0" collapsed="false">
      <c r="A1286" s="6" t="s">
        <v>1448</v>
      </c>
      <c r="B1286" s="6" t="n">
        <v>32</v>
      </c>
      <c r="C1286" s="6" t="s">
        <v>139</v>
      </c>
      <c r="D1286" s="6" t="s">
        <v>135</v>
      </c>
      <c r="E1286" s="6" t="s">
        <v>92</v>
      </c>
      <c r="F1286" s="6" t="s">
        <v>222</v>
      </c>
      <c r="G1286" s="6" t="n">
        <v>10</v>
      </c>
      <c r="H1286" s="6" t="s">
        <v>82</v>
      </c>
      <c r="I1286" s="6" t="s">
        <v>82</v>
      </c>
      <c r="J1286" s="6" t="s">
        <v>60</v>
      </c>
      <c r="K1286" s="6" t="n">
        <v>39677</v>
      </c>
      <c r="L1286" s="6" t="n">
        <v>54973</v>
      </c>
      <c r="M1286" s="6" t="s">
        <v>146</v>
      </c>
      <c r="N1286" s="6" t="n">
        <v>41</v>
      </c>
      <c r="O1286" s="6" t="s">
        <v>58</v>
      </c>
      <c r="P1286" s="6" t="n">
        <v>9</v>
      </c>
      <c r="Q1286" s="6" t="n">
        <v>-2.82</v>
      </c>
      <c r="R1286" s="20" t="n">
        <f aca="false">(L1286-K1286)/K1286</f>
        <v>0.385513017617259</v>
      </c>
    </row>
    <row r="1287" customFormat="false" ht="15" hidden="false" customHeight="false" outlineLevel="0" collapsed="false">
      <c r="A1287" s="6" t="s">
        <v>1449</v>
      </c>
      <c r="B1287" s="6" t="n">
        <v>35</v>
      </c>
      <c r="C1287" s="6" t="s">
        <v>134</v>
      </c>
      <c r="D1287" s="6" t="s">
        <v>140</v>
      </c>
      <c r="E1287" s="6" t="s">
        <v>90</v>
      </c>
      <c r="F1287" s="6" t="s">
        <v>145</v>
      </c>
      <c r="G1287" s="6" t="n">
        <v>10</v>
      </c>
      <c r="H1287" s="6" t="s">
        <v>80</v>
      </c>
      <c r="I1287" s="6" t="s">
        <v>80</v>
      </c>
      <c r="J1287" s="6" t="s">
        <v>58</v>
      </c>
      <c r="K1287" s="6" t="n">
        <v>56548</v>
      </c>
      <c r="L1287" s="6" t="n">
        <v>54243</v>
      </c>
      <c r="M1287" s="6" t="s">
        <v>142</v>
      </c>
      <c r="N1287" s="6" t="n">
        <v>40</v>
      </c>
      <c r="O1287" s="6" t="s">
        <v>60</v>
      </c>
      <c r="P1287" s="6" t="n">
        <v>5</v>
      </c>
      <c r="Q1287" s="6" t="n">
        <v>-10.25</v>
      </c>
      <c r="R1287" s="20" t="n">
        <f aca="false">(L1287-K1287)/K1287</f>
        <v>-0.0407618306571408</v>
      </c>
    </row>
    <row r="1288" customFormat="false" ht="15" hidden="false" customHeight="false" outlineLevel="0" collapsed="false">
      <c r="A1288" s="6" t="s">
        <v>1450</v>
      </c>
      <c r="B1288" s="6" t="n">
        <v>30</v>
      </c>
      <c r="C1288" s="6" t="s">
        <v>134</v>
      </c>
      <c r="D1288" s="6" t="s">
        <v>135</v>
      </c>
      <c r="E1288" s="6" t="s">
        <v>91</v>
      </c>
      <c r="F1288" s="6" t="s">
        <v>141</v>
      </c>
      <c r="G1288" s="6" t="n">
        <v>7</v>
      </c>
      <c r="H1288" s="6" t="s">
        <v>82</v>
      </c>
      <c r="I1288" s="6" t="s">
        <v>80</v>
      </c>
      <c r="J1288" s="6" t="s">
        <v>60</v>
      </c>
      <c r="K1288" s="6" t="n">
        <v>61568</v>
      </c>
      <c r="L1288" s="6" t="n">
        <v>74766</v>
      </c>
      <c r="M1288" s="6" t="s">
        <v>142</v>
      </c>
      <c r="N1288" s="6" t="n">
        <v>39</v>
      </c>
      <c r="O1288" s="6" t="s">
        <v>60</v>
      </c>
      <c r="P1288" s="6" t="n">
        <v>5</v>
      </c>
      <c r="Q1288" s="6" t="n">
        <v>14.34</v>
      </c>
      <c r="R1288" s="20" t="n">
        <f aca="false">(L1288-K1288)/K1288</f>
        <v>0.214364604989605</v>
      </c>
    </row>
    <row r="1289" customFormat="false" ht="15" hidden="false" customHeight="false" outlineLevel="0" collapsed="false">
      <c r="A1289" s="6" t="s">
        <v>1451</v>
      </c>
      <c r="B1289" s="6" t="n">
        <v>57</v>
      </c>
      <c r="C1289" s="6" t="s">
        <v>139</v>
      </c>
      <c r="D1289" s="6" t="s">
        <v>144</v>
      </c>
      <c r="E1289" s="6" t="s">
        <v>87</v>
      </c>
      <c r="F1289" s="6" t="s">
        <v>155</v>
      </c>
      <c r="G1289" s="6" t="n">
        <v>33</v>
      </c>
      <c r="H1289" s="6" t="s">
        <v>82</v>
      </c>
      <c r="I1289" s="6" t="s">
        <v>80</v>
      </c>
      <c r="J1289" s="6" t="s">
        <v>58</v>
      </c>
      <c r="K1289" s="6" t="n">
        <v>34311</v>
      </c>
      <c r="L1289" s="6" t="n">
        <v>31066</v>
      </c>
      <c r="M1289" s="6" t="s">
        <v>142</v>
      </c>
      <c r="N1289" s="6" t="n">
        <v>38</v>
      </c>
      <c r="O1289" s="6" t="s">
        <v>60</v>
      </c>
      <c r="P1289" s="6" t="n">
        <v>9</v>
      </c>
      <c r="Q1289" s="6" t="n">
        <v>15.83</v>
      </c>
      <c r="R1289" s="20" t="n">
        <f aca="false">(L1289-K1289)/K1289</f>
        <v>-0.0945760834717729</v>
      </c>
    </row>
    <row r="1290" customFormat="false" ht="15" hidden="false" customHeight="false" outlineLevel="0" collapsed="false">
      <c r="A1290" s="6" t="s">
        <v>1452</v>
      </c>
      <c r="B1290" s="6" t="n">
        <v>33</v>
      </c>
      <c r="C1290" s="6" t="s">
        <v>139</v>
      </c>
      <c r="D1290" s="6" t="s">
        <v>140</v>
      </c>
      <c r="E1290" s="6" t="s">
        <v>93</v>
      </c>
      <c r="F1290" s="6" t="s">
        <v>164</v>
      </c>
      <c r="G1290" s="6" t="n">
        <v>11</v>
      </c>
      <c r="H1290" s="6" t="s">
        <v>80</v>
      </c>
      <c r="I1290" s="6" t="s">
        <v>80</v>
      </c>
      <c r="J1290" s="6" t="s">
        <v>60</v>
      </c>
      <c r="K1290" s="6" t="n">
        <v>32580</v>
      </c>
      <c r="L1290" s="6" t="n">
        <v>32440</v>
      </c>
      <c r="M1290" s="6" t="s">
        <v>142</v>
      </c>
      <c r="N1290" s="6" t="n">
        <v>45</v>
      </c>
      <c r="O1290" s="6" t="s">
        <v>58</v>
      </c>
      <c r="P1290" s="6" t="n">
        <v>6</v>
      </c>
      <c r="Q1290" s="6" t="n">
        <v>21.27</v>
      </c>
      <c r="R1290" s="20" t="n">
        <f aca="false">(L1290-K1290)/K1290</f>
        <v>-0.00429711479435236</v>
      </c>
    </row>
    <row r="1291" customFormat="false" ht="15" hidden="false" customHeight="false" outlineLevel="0" collapsed="false">
      <c r="A1291" s="6" t="s">
        <v>1453</v>
      </c>
      <c r="B1291" s="6" t="n">
        <v>24</v>
      </c>
      <c r="C1291" s="6" t="s">
        <v>139</v>
      </c>
      <c r="D1291" s="6" t="s">
        <v>148</v>
      </c>
      <c r="E1291" s="6" t="s">
        <v>89</v>
      </c>
      <c r="F1291" s="6" t="s">
        <v>153</v>
      </c>
      <c r="G1291" s="6" t="n">
        <v>0</v>
      </c>
      <c r="H1291" s="6" t="s">
        <v>80</v>
      </c>
      <c r="I1291" s="6" t="s">
        <v>80</v>
      </c>
      <c r="J1291" s="6" t="s">
        <v>58</v>
      </c>
      <c r="K1291" s="6" t="n">
        <v>44635</v>
      </c>
      <c r="L1291" s="6" t="n">
        <v>43181</v>
      </c>
      <c r="M1291" s="6" t="s">
        <v>142</v>
      </c>
      <c r="N1291" s="6" t="n">
        <v>49</v>
      </c>
      <c r="O1291" s="6" t="s">
        <v>60</v>
      </c>
      <c r="P1291" s="6" t="n">
        <v>7</v>
      </c>
      <c r="Q1291" s="6" t="n">
        <v>16.98</v>
      </c>
      <c r="R1291" s="20" t="n">
        <f aca="false">(L1291-K1291)/K1291</f>
        <v>-0.0325753332586535</v>
      </c>
    </row>
    <row r="1292" customFormat="false" ht="15" hidden="false" customHeight="false" outlineLevel="0" collapsed="false">
      <c r="A1292" s="6" t="s">
        <v>1454</v>
      </c>
      <c r="B1292" s="6" t="n">
        <v>25</v>
      </c>
      <c r="C1292" s="6" t="s">
        <v>139</v>
      </c>
      <c r="D1292" s="6" t="s">
        <v>140</v>
      </c>
      <c r="E1292" s="6" t="s">
        <v>90</v>
      </c>
      <c r="F1292" s="6" t="s">
        <v>202</v>
      </c>
      <c r="G1292" s="6" t="n">
        <v>2</v>
      </c>
      <c r="H1292" s="6" t="s">
        <v>81</v>
      </c>
      <c r="I1292" s="6" t="s">
        <v>82</v>
      </c>
      <c r="J1292" s="6" t="s">
        <v>58</v>
      </c>
      <c r="K1292" s="6" t="n">
        <v>44260</v>
      </c>
      <c r="L1292" s="6" t="n">
        <v>41805</v>
      </c>
      <c r="M1292" s="6" t="s">
        <v>142</v>
      </c>
      <c r="N1292" s="6" t="n">
        <v>49</v>
      </c>
      <c r="O1292" s="6" t="s">
        <v>60</v>
      </c>
      <c r="P1292" s="6" t="n">
        <v>3</v>
      </c>
      <c r="Q1292" s="6" t="n">
        <v>13.26</v>
      </c>
      <c r="R1292" s="20" t="n">
        <f aca="false">(L1292-K1292)/K1292</f>
        <v>-0.0554676909173068</v>
      </c>
    </row>
    <row r="1293" customFormat="false" ht="15" hidden="false" customHeight="false" outlineLevel="0" collapsed="false">
      <c r="A1293" s="6" t="s">
        <v>1455</v>
      </c>
      <c r="B1293" s="6" t="n">
        <v>24</v>
      </c>
      <c r="C1293" s="6" t="s">
        <v>134</v>
      </c>
      <c r="D1293" s="6" t="s">
        <v>140</v>
      </c>
      <c r="E1293" s="6" t="s">
        <v>90</v>
      </c>
      <c r="F1293" s="6" t="s">
        <v>202</v>
      </c>
      <c r="G1293" s="6" t="n">
        <v>1</v>
      </c>
      <c r="H1293" s="6" t="s">
        <v>81</v>
      </c>
      <c r="I1293" s="6" t="s">
        <v>82</v>
      </c>
      <c r="J1293" s="6" t="s">
        <v>60</v>
      </c>
      <c r="K1293" s="6" t="n">
        <v>62430</v>
      </c>
      <c r="L1293" s="6" t="n">
        <v>72815</v>
      </c>
      <c r="M1293" s="6" t="s">
        <v>142</v>
      </c>
      <c r="N1293" s="6" t="n">
        <v>35</v>
      </c>
      <c r="O1293" s="6" t="s">
        <v>58</v>
      </c>
      <c r="P1293" s="6" t="n">
        <v>5</v>
      </c>
      <c r="Q1293" s="6" t="n">
        <v>22.18</v>
      </c>
      <c r="R1293" s="20" t="n">
        <f aca="false">(L1293-K1293)/K1293</f>
        <v>0.166346307864809</v>
      </c>
    </row>
    <row r="1294" customFormat="false" ht="15" hidden="false" customHeight="false" outlineLevel="0" collapsed="false">
      <c r="A1294" s="6" t="s">
        <v>1456</v>
      </c>
      <c r="B1294" s="6" t="n">
        <v>52</v>
      </c>
      <c r="C1294" s="6" t="s">
        <v>139</v>
      </c>
      <c r="D1294" s="6" t="s">
        <v>148</v>
      </c>
      <c r="E1294" s="6" t="s">
        <v>87</v>
      </c>
      <c r="F1294" s="6" t="s">
        <v>155</v>
      </c>
      <c r="G1294" s="6" t="n">
        <v>28</v>
      </c>
      <c r="H1294" s="6" t="s">
        <v>81</v>
      </c>
      <c r="I1294" s="6" t="s">
        <v>80</v>
      </c>
      <c r="J1294" s="6" t="s">
        <v>60</v>
      </c>
      <c r="K1294" s="6" t="n">
        <v>57115</v>
      </c>
      <c r="L1294" s="6" t="n">
        <v>65847</v>
      </c>
      <c r="M1294" s="6" t="s">
        <v>142</v>
      </c>
      <c r="N1294" s="6" t="n">
        <v>53</v>
      </c>
      <c r="O1294" s="6" t="s">
        <v>60</v>
      </c>
      <c r="P1294" s="6" t="n">
        <v>7</v>
      </c>
      <c r="Q1294" s="6" t="n">
        <v>11.23</v>
      </c>
      <c r="R1294" s="20" t="n">
        <f aca="false">(L1294-K1294)/K1294</f>
        <v>0.152884531208964</v>
      </c>
    </row>
    <row r="1295" customFormat="false" ht="15" hidden="false" customHeight="false" outlineLevel="0" collapsed="false">
      <c r="A1295" s="6" t="s">
        <v>1457</v>
      </c>
      <c r="B1295" s="6" t="n">
        <v>46</v>
      </c>
      <c r="C1295" s="6" t="s">
        <v>139</v>
      </c>
      <c r="D1295" s="6" t="s">
        <v>140</v>
      </c>
      <c r="E1295" s="6" t="s">
        <v>91</v>
      </c>
      <c r="F1295" s="6" t="s">
        <v>141</v>
      </c>
      <c r="G1295" s="6" t="n">
        <v>24</v>
      </c>
      <c r="H1295" s="6" t="s">
        <v>80</v>
      </c>
      <c r="I1295" s="6" t="s">
        <v>82</v>
      </c>
      <c r="J1295" s="6" t="s">
        <v>60</v>
      </c>
      <c r="K1295" s="6" t="n">
        <v>108947</v>
      </c>
      <c r="L1295" s="6" t="n">
        <v>105581</v>
      </c>
      <c r="M1295" s="6" t="s">
        <v>142</v>
      </c>
      <c r="N1295" s="6" t="n">
        <v>38</v>
      </c>
      <c r="O1295" s="6" t="s">
        <v>60</v>
      </c>
      <c r="P1295" s="6" t="n">
        <v>3</v>
      </c>
      <c r="Q1295" s="6" t="n">
        <v>18.36</v>
      </c>
      <c r="R1295" s="20" t="n">
        <f aca="false">(L1295-K1295)/K1295</f>
        <v>-0.0308957566523172</v>
      </c>
    </row>
    <row r="1296" customFormat="false" ht="15" hidden="false" customHeight="false" outlineLevel="0" collapsed="false">
      <c r="A1296" s="6" t="s">
        <v>1458</v>
      </c>
      <c r="B1296" s="6" t="n">
        <v>35</v>
      </c>
      <c r="C1296" s="6" t="s">
        <v>139</v>
      </c>
      <c r="D1296" s="6" t="s">
        <v>140</v>
      </c>
      <c r="E1296" s="6" t="s">
        <v>89</v>
      </c>
      <c r="F1296" s="6" t="s">
        <v>153</v>
      </c>
      <c r="G1296" s="6" t="n">
        <v>12</v>
      </c>
      <c r="H1296" s="6" t="s">
        <v>81</v>
      </c>
      <c r="I1296" s="6" t="s">
        <v>80</v>
      </c>
      <c r="J1296" s="6" t="s">
        <v>60</v>
      </c>
      <c r="K1296" s="6" t="n">
        <v>80906</v>
      </c>
      <c r="L1296" s="6" t="n">
        <v>96010</v>
      </c>
      <c r="M1296" s="6" t="s">
        <v>142</v>
      </c>
      <c r="N1296" s="6" t="n">
        <v>43</v>
      </c>
      <c r="O1296" s="6" t="s">
        <v>58</v>
      </c>
      <c r="P1296" s="6" t="n">
        <v>9</v>
      </c>
      <c r="Q1296" s="6" t="n">
        <v>26.33</v>
      </c>
      <c r="R1296" s="20" t="n">
        <f aca="false">(L1296-K1296)/K1296</f>
        <v>0.186685783501842</v>
      </c>
    </row>
    <row r="1297" customFormat="false" ht="15" hidden="false" customHeight="false" outlineLevel="0" collapsed="false">
      <c r="A1297" s="6" t="s">
        <v>1459</v>
      </c>
      <c r="B1297" s="6" t="n">
        <v>25</v>
      </c>
      <c r="C1297" s="6" t="s">
        <v>159</v>
      </c>
      <c r="D1297" s="6" t="s">
        <v>135</v>
      </c>
      <c r="E1297" s="6" t="s">
        <v>92</v>
      </c>
      <c r="F1297" s="6" t="s">
        <v>192</v>
      </c>
      <c r="G1297" s="6" t="n">
        <v>0</v>
      </c>
      <c r="H1297" s="6" t="s">
        <v>82</v>
      </c>
      <c r="I1297" s="6" t="s">
        <v>81</v>
      </c>
      <c r="J1297" s="6" t="s">
        <v>58</v>
      </c>
      <c r="K1297" s="6" t="n">
        <v>102932</v>
      </c>
      <c r="L1297" s="6" t="n">
        <v>89526</v>
      </c>
      <c r="M1297" s="6" t="s">
        <v>146</v>
      </c>
      <c r="N1297" s="6" t="n">
        <v>43</v>
      </c>
      <c r="O1297" s="6" t="s">
        <v>58</v>
      </c>
      <c r="P1297" s="6" t="n">
        <v>4</v>
      </c>
      <c r="Q1297" s="6" t="n">
        <v>12.18</v>
      </c>
      <c r="R1297" s="20" t="n">
        <f aca="false">(L1297-K1297)/K1297</f>
        <v>-0.130241324369487</v>
      </c>
    </row>
    <row r="1298" customFormat="false" ht="15" hidden="false" customHeight="false" outlineLevel="0" collapsed="false">
      <c r="A1298" s="6" t="s">
        <v>1460</v>
      </c>
      <c r="B1298" s="6" t="n">
        <v>56</v>
      </c>
      <c r="C1298" s="6" t="s">
        <v>139</v>
      </c>
      <c r="D1298" s="6" t="s">
        <v>140</v>
      </c>
      <c r="E1298" s="6" t="s">
        <v>87</v>
      </c>
      <c r="F1298" s="6" t="s">
        <v>155</v>
      </c>
      <c r="G1298" s="6" t="n">
        <v>32</v>
      </c>
      <c r="H1298" s="6" t="s">
        <v>80</v>
      </c>
      <c r="I1298" s="6" t="s">
        <v>80</v>
      </c>
      <c r="J1298" s="6" t="s">
        <v>58</v>
      </c>
      <c r="K1298" s="6" t="n">
        <v>44318</v>
      </c>
      <c r="L1298" s="6" t="n">
        <v>44034</v>
      </c>
      <c r="M1298" s="6" t="s">
        <v>142</v>
      </c>
      <c r="N1298" s="6" t="n">
        <v>54</v>
      </c>
      <c r="O1298" s="6" t="s">
        <v>60</v>
      </c>
      <c r="P1298" s="6" t="n">
        <v>7</v>
      </c>
      <c r="Q1298" s="6" t="n">
        <v>39.02</v>
      </c>
      <c r="R1298" s="20" t="n">
        <f aca="false">(L1298-K1298)/K1298</f>
        <v>-0.00640823141838531</v>
      </c>
    </row>
    <row r="1299" customFormat="false" ht="15" hidden="false" customHeight="false" outlineLevel="0" collapsed="false">
      <c r="A1299" s="6" t="s">
        <v>1461</v>
      </c>
      <c r="B1299" s="6" t="n">
        <v>40</v>
      </c>
      <c r="C1299" s="6" t="s">
        <v>159</v>
      </c>
      <c r="D1299" s="6" t="s">
        <v>140</v>
      </c>
      <c r="E1299" s="6" t="s">
        <v>92</v>
      </c>
      <c r="F1299" s="6" t="s">
        <v>136</v>
      </c>
      <c r="G1299" s="6" t="n">
        <v>18</v>
      </c>
      <c r="H1299" s="6" t="s">
        <v>81</v>
      </c>
      <c r="I1299" s="6" t="s">
        <v>80</v>
      </c>
      <c r="J1299" s="6" t="s">
        <v>58</v>
      </c>
      <c r="K1299" s="6" t="n">
        <v>32837</v>
      </c>
      <c r="L1299" s="6" t="n">
        <v>33171</v>
      </c>
      <c r="M1299" s="6" t="s">
        <v>142</v>
      </c>
      <c r="N1299" s="6" t="n">
        <v>48</v>
      </c>
      <c r="O1299" s="6" t="s">
        <v>60</v>
      </c>
      <c r="P1299" s="6" t="n">
        <v>6</v>
      </c>
      <c r="Q1299" s="6" t="n">
        <v>34.83</v>
      </c>
      <c r="R1299" s="20" t="n">
        <f aca="false">(L1299-K1299)/K1299</f>
        <v>0.0101714529341901</v>
      </c>
    </row>
    <row r="1300" customFormat="false" ht="15" hidden="false" customHeight="false" outlineLevel="0" collapsed="false">
      <c r="A1300" s="6" t="s">
        <v>1462</v>
      </c>
      <c r="B1300" s="6" t="n">
        <v>37</v>
      </c>
      <c r="C1300" s="6" t="s">
        <v>139</v>
      </c>
      <c r="D1300" s="6" t="s">
        <v>144</v>
      </c>
      <c r="E1300" s="6" t="s">
        <v>90</v>
      </c>
      <c r="F1300" s="6" t="s">
        <v>202</v>
      </c>
      <c r="G1300" s="6" t="n">
        <v>15</v>
      </c>
      <c r="H1300" s="6" t="s">
        <v>82</v>
      </c>
      <c r="I1300" s="6" t="s">
        <v>80</v>
      </c>
      <c r="J1300" s="6" t="s">
        <v>58</v>
      </c>
      <c r="K1300" s="6" t="n">
        <v>116348</v>
      </c>
      <c r="L1300" s="6" t="n">
        <v>153705</v>
      </c>
      <c r="M1300" s="6" t="s">
        <v>142</v>
      </c>
      <c r="N1300" s="6" t="n">
        <v>53</v>
      </c>
      <c r="O1300" s="6" t="s">
        <v>60</v>
      </c>
      <c r="P1300" s="6" t="n">
        <v>8</v>
      </c>
      <c r="Q1300" s="6" t="n">
        <v>30.07</v>
      </c>
      <c r="R1300" s="20" t="n">
        <f aca="false">(L1300-K1300)/K1300</f>
        <v>0.321079863856706</v>
      </c>
    </row>
    <row r="1301" customFormat="false" ht="15" hidden="false" customHeight="false" outlineLevel="0" collapsed="false">
      <c r="A1301" s="6" t="s">
        <v>1463</v>
      </c>
      <c r="B1301" s="6" t="n">
        <v>54</v>
      </c>
      <c r="C1301" s="6" t="s">
        <v>139</v>
      </c>
      <c r="D1301" s="6" t="s">
        <v>135</v>
      </c>
      <c r="E1301" s="6" t="s">
        <v>93</v>
      </c>
      <c r="F1301" s="6" t="s">
        <v>181</v>
      </c>
      <c r="G1301" s="6" t="n">
        <v>32</v>
      </c>
      <c r="H1301" s="6" t="s">
        <v>80</v>
      </c>
      <c r="I1301" s="6" t="s">
        <v>82</v>
      </c>
      <c r="J1301" s="6" t="s">
        <v>58</v>
      </c>
      <c r="K1301" s="6" t="n">
        <v>41036</v>
      </c>
      <c r="L1301" s="6" t="n">
        <v>41053</v>
      </c>
      <c r="M1301" s="6" t="s">
        <v>142</v>
      </c>
      <c r="N1301" s="6" t="n">
        <v>50</v>
      </c>
      <c r="O1301" s="6" t="s">
        <v>60</v>
      </c>
      <c r="P1301" s="6" t="n">
        <v>8</v>
      </c>
      <c r="Q1301" s="6" t="n">
        <v>-1.49</v>
      </c>
      <c r="R1301" s="20" t="n">
        <f aca="false">(L1301-K1301)/K1301</f>
        <v>0.000414270396724827</v>
      </c>
    </row>
    <row r="1302" customFormat="false" ht="15" hidden="false" customHeight="false" outlineLevel="0" collapsed="false">
      <c r="A1302" s="6" t="s">
        <v>1464</v>
      </c>
      <c r="B1302" s="6" t="n">
        <v>54</v>
      </c>
      <c r="C1302" s="6" t="s">
        <v>134</v>
      </c>
      <c r="D1302" s="6" t="s">
        <v>144</v>
      </c>
      <c r="E1302" s="6" t="s">
        <v>88</v>
      </c>
      <c r="F1302" s="6" t="s">
        <v>179</v>
      </c>
      <c r="G1302" s="6" t="n">
        <v>28</v>
      </c>
      <c r="H1302" s="6" t="s">
        <v>81</v>
      </c>
      <c r="I1302" s="6" t="s">
        <v>80</v>
      </c>
      <c r="J1302" s="6" t="s">
        <v>60</v>
      </c>
      <c r="K1302" s="6" t="n">
        <v>93027</v>
      </c>
      <c r="L1302" s="6" t="n">
        <v>102350</v>
      </c>
      <c r="M1302" s="6" t="s">
        <v>142</v>
      </c>
      <c r="N1302" s="6" t="n">
        <v>47</v>
      </c>
      <c r="O1302" s="6" t="s">
        <v>60</v>
      </c>
      <c r="P1302" s="6" t="n">
        <v>5</v>
      </c>
      <c r="Q1302" s="6" t="n">
        <v>-19.23</v>
      </c>
      <c r="R1302" s="20" t="n">
        <f aca="false">(L1302-K1302)/K1302</f>
        <v>0.100218216216797</v>
      </c>
    </row>
    <row r="1303" customFormat="false" ht="15" hidden="false" customHeight="false" outlineLevel="0" collapsed="false">
      <c r="A1303" s="6" t="s">
        <v>1465</v>
      </c>
      <c r="B1303" s="6" t="n">
        <v>55</v>
      </c>
      <c r="C1303" s="6" t="s">
        <v>159</v>
      </c>
      <c r="D1303" s="6" t="s">
        <v>144</v>
      </c>
      <c r="E1303" s="6" t="s">
        <v>90</v>
      </c>
      <c r="F1303" s="6" t="s">
        <v>236</v>
      </c>
      <c r="G1303" s="6" t="n">
        <v>33</v>
      </c>
      <c r="H1303" s="6" t="s">
        <v>82</v>
      </c>
      <c r="I1303" s="6" t="s">
        <v>81</v>
      </c>
      <c r="J1303" s="6" t="s">
        <v>58</v>
      </c>
      <c r="K1303" s="6" t="n">
        <v>82635</v>
      </c>
      <c r="L1303" s="6" t="n">
        <v>70127</v>
      </c>
      <c r="M1303" s="6" t="s">
        <v>146</v>
      </c>
      <c r="N1303" s="6" t="n">
        <v>47</v>
      </c>
      <c r="O1303" s="6" t="s">
        <v>60</v>
      </c>
      <c r="P1303" s="6" t="n">
        <v>3</v>
      </c>
      <c r="Q1303" s="6" t="n">
        <v>22.99</v>
      </c>
      <c r="R1303" s="20" t="n">
        <f aca="false">(L1303-K1303)/K1303</f>
        <v>-0.151364433956556</v>
      </c>
    </row>
    <row r="1304" customFormat="false" ht="15" hidden="false" customHeight="false" outlineLevel="0" collapsed="false">
      <c r="A1304" s="6" t="s">
        <v>1466</v>
      </c>
      <c r="B1304" s="6" t="n">
        <v>55</v>
      </c>
      <c r="C1304" s="6" t="s">
        <v>159</v>
      </c>
      <c r="D1304" s="6" t="s">
        <v>148</v>
      </c>
      <c r="E1304" s="6" t="s">
        <v>91</v>
      </c>
      <c r="F1304" s="6" t="s">
        <v>206</v>
      </c>
      <c r="G1304" s="6" t="n">
        <v>33</v>
      </c>
      <c r="H1304" s="6" t="s">
        <v>80</v>
      </c>
      <c r="I1304" s="6" t="s">
        <v>80</v>
      </c>
      <c r="J1304" s="6" t="s">
        <v>58</v>
      </c>
      <c r="K1304" s="6" t="n">
        <v>69159</v>
      </c>
      <c r="L1304" s="6" t="n">
        <v>75674</v>
      </c>
      <c r="M1304" s="6" t="s">
        <v>142</v>
      </c>
      <c r="N1304" s="6" t="n">
        <v>41</v>
      </c>
      <c r="O1304" s="6" t="s">
        <v>58</v>
      </c>
      <c r="P1304" s="6" t="n">
        <v>9</v>
      </c>
      <c r="Q1304" s="6" t="n">
        <v>15.96</v>
      </c>
      <c r="R1304" s="20" t="n">
        <f aca="false">(L1304-K1304)/K1304</f>
        <v>0.0942032128862476</v>
      </c>
    </row>
    <row r="1305" customFormat="false" ht="15" hidden="false" customHeight="false" outlineLevel="0" collapsed="false">
      <c r="A1305" s="6" t="s">
        <v>1467</v>
      </c>
      <c r="B1305" s="6" t="n">
        <v>43</v>
      </c>
      <c r="C1305" s="6" t="s">
        <v>139</v>
      </c>
      <c r="D1305" s="6" t="s">
        <v>144</v>
      </c>
      <c r="E1305" s="6" t="s">
        <v>89</v>
      </c>
      <c r="F1305" s="6" t="s">
        <v>153</v>
      </c>
      <c r="G1305" s="6" t="n">
        <v>17</v>
      </c>
      <c r="H1305" s="6" t="s">
        <v>82</v>
      </c>
      <c r="I1305" s="6" t="s">
        <v>80</v>
      </c>
      <c r="J1305" s="6" t="s">
        <v>60</v>
      </c>
      <c r="K1305" s="6" t="n">
        <v>36806</v>
      </c>
      <c r="L1305" s="6" t="n">
        <v>42021</v>
      </c>
      <c r="M1305" s="6" t="s">
        <v>142</v>
      </c>
      <c r="N1305" s="6" t="n">
        <v>41</v>
      </c>
      <c r="O1305" s="6" t="s">
        <v>60</v>
      </c>
      <c r="P1305" s="6" t="n">
        <v>3</v>
      </c>
      <c r="Q1305" s="6" t="n">
        <v>31.67</v>
      </c>
      <c r="R1305" s="20" t="n">
        <f aca="false">(L1305-K1305)/K1305</f>
        <v>0.141688855077976</v>
      </c>
    </row>
    <row r="1306" customFormat="false" ht="15" hidden="false" customHeight="false" outlineLevel="0" collapsed="false">
      <c r="A1306" s="6" t="s">
        <v>1468</v>
      </c>
      <c r="B1306" s="6" t="n">
        <v>26</v>
      </c>
      <c r="C1306" s="6" t="s">
        <v>139</v>
      </c>
      <c r="D1306" s="6" t="s">
        <v>135</v>
      </c>
      <c r="E1306" s="6" t="s">
        <v>87</v>
      </c>
      <c r="F1306" s="6" t="s">
        <v>149</v>
      </c>
      <c r="G1306" s="6" t="n">
        <v>4</v>
      </c>
      <c r="H1306" s="6" t="s">
        <v>80</v>
      </c>
      <c r="I1306" s="6" t="s">
        <v>82</v>
      </c>
      <c r="J1306" s="6" t="s">
        <v>58</v>
      </c>
      <c r="K1306" s="6" t="n">
        <v>118027</v>
      </c>
      <c r="L1306" s="6" t="n">
        <v>128991</v>
      </c>
      <c r="M1306" s="6" t="s">
        <v>142</v>
      </c>
      <c r="N1306" s="6" t="n">
        <v>38</v>
      </c>
      <c r="O1306" s="6" t="s">
        <v>58</v>
      </c>
      <c r="P1306" s="6" t="n">
        <v>4</v>
      </c>
      <c r="Q1306" s="6" t="n">
        <v>4.29</v>
      </c>
      <c r="R1306" s="20" t="n">
        <f aca="false">(L1306-K1306)/K1306</f>
        <v>0.092893998830776</v>
      </c>
    </row>
    <row r="1307" customFormat="false" ht="15" hidden="false" customHeight="false" outlineLevel="0" collapsed="false">
      <c r="A1307" s="6" t="s">
        <v>1469</v>
      </c>
      <c r="B1307" s="6" t="n">
        <v>26</v>
      </c>
      <c r="C1307" s="6" t="s">
        <v>139</v>
      </c>
      <c r="D1307" s="6" t="s">
        <v>144</v>
      </c>
      <c r="E1307" s="6" t="s">
        <v>92</v>
      </c>
      <c r="F1307" s="6" t="s">
        <v>192</v>
      </c>
      <c r="G1307" s="6" t="n">
        <v>4</v>
      </c>
      <c r="H1307" s="6" t="s">
        <v>82</v>
      </c>
      <c r="I1307" s="6" t="s">
        <v>82</v>
      </c>
      <c r="J1307" s="6" t="s">
        <v>58</v>
      </c>
      <c r="K1307" s="6" t="n">
        <v>37973</v>
      </c>
      <c r="L1307" s="6" t="n">
        <v>43064</v>
      </c>
      <c r="M1307" s="6" t="s">
        <v>146</v>
      </c>
      <c r="N1307" s="6" t="n">
        <v>38</v>
      </c>
      <c r="O1307" s="6" t="s">
        <v>60</v>
      </c>
      <c r="P1307" s="6" t="n">
        <v>9</v>
      </c>
      <c r="Q1307" s="6" t="n">
        <v>36.78</v>
      </c>
      <c r="R1307" s="20" t="n">
        <f aca="false">(L1307-K1307)/K1307</f>
        <v>0.134068943723172</v>
      </c>
    </row>
    <row r="1308" customFormat="false" ht="15" hidden="false" customHeight="false" outlineLevel="0" collapsed="false">
      <c r="A1308" s="6" t="s">
        <v>1470</v>
      </c>
      <c r="B1308" s="6" t="n">
        <v>47</v>
      </c>
      <c r="C1308" s="6" t="s">
        <v>134</v>
      </c>
      <c r="D1308" s="6" t="s">
        <v>135</v>
      </c>
      <c r="E1308" s="6" t="s">
        <v>90</v>
      </c>
      <c r="F1308" s="6" t="s">
        <v>202</v>
      </c>
      <c r="G1308" s="6" t="n">
        <v>25</v>
      </c>
      <c r="H1308" s="6" t="s">
        <v>80</v>
      </c>
      <c r="I1308" s="6" t="s">
        <v>80</v>
      </c>
      <c r="J1308" s="6" t="s">
        <v>60</v>
      </c>
      <c r="K1308" s="6" t="n">
        <v>118263</v>
      </c>
      <c r="L1308" s="6" t="n">
        <v>127196</v>
      </c>
      <c r="M1308" s="6" t="s">
        <v>142</v>
      </c>
      <c r="N1308" s="6" t="n">
        <v>52</v>
      </c>
      <c r="O1308" s="6" t="s">
        <v>58</v>
      </c>
      <c r="P1308" s="6" t="n">
        <v>8</v>
      </c>
      <c r="Q1308" s="6" t="n">
        <v>39.73</v>
      </c>
      <c r="R1308" s="20" t="n">
        <f aca="false">(L1308-K1308)/K1308</f>
        <v>0.0755350363173605</v>
      </c>
    </row>
    <row r="1309" customFormat="false" ht="15" hidden="false" customHeight="false" outlineLevel="0" collapsed="false">
      <c r="A1309" s="6" t="s">
        <v>1471</v>
      </c>
      <c r="B1309" s="6" t="n">
        <v>52</v>
      </c>
      <c r="C1309" s="6" t="s">
        <v>134</v>
      </c>
      <c r="D1309" s="6" t="s">
        <v>135</v>
      </c>
      <c r="E1309" s="6" t="s">
        <v>89</v>
      </c>
      <c r="F1309" s="6" t="s">
        <v>162</v>
      </c>
      <c r="G1309" s="6" t="n">
        <v>27</v>
      </c>
      <c r="H1309" s="6" t="s">
        <v>81</v>
      </c>
      <c r="I1309" s="6" t="s">
        <v>80</v>
      </c>
      <c r="J1309" s="6" t="s">
        <v>60</v>
      </c>
      <c r="K1309" s="6" t="n">
        <v>86361</v>
      </c>
      <c r="L1309" s="6" t="n">
        <v>83922</v>
      </c>
      <c r="M1309" s="6" t="s">
        <v>142</v>
      </c>
      <c r="N1309" s="6" t="n">
        <v>37</v>
      </c>
      <c r="O1309" s="6" t="s">
        <v>58</v>
      </c>
      <c r="P1309" s="6" t="n">
        <v>6</v>
      </c>
      <c r="Q1309" s="6" t="n">
        <v>27.22</v>
      </c>
      <c r="R1309" s="20" t="n">
        <f aca="false">(L1309-K1309)/K1309</f>
        <v>-0.0282419147531872</v>
      </c>
    </row>
    <row r="1310" customFormat="false" ht="15" hidden="false" customHeight="false" outlineLevel="0" collapsed="false">
      <c r="A1310" s="6" t="s">
        <v>1472</v>
      </c>
      <c r="B1310" s="6" t="n">
        <v>47</v>
      </c>
      <c r="C1310" s="6" t="s">
        <v>134</v>
      </c>
      <c r="D1310" s="6" t="s">
        <v>144</v>
      </c>
      <c r="E1310" s="6" t="s">
        <v>90</v>
      </c>
      <c r="F1310" s="6" t="s">
        <v>202</v>
      </c>
      <c r="G1310" s="6" t="n">
        <v>25</v>
      </c>
      <c r="H1310" s="6" t="s">
        <v>81</v>
      </c>
      <c r="I1310" s="6" t="s">
        <v>82</v>
      </c>
      <c r="J1310" s="6" t="s">
        <v>60</v>
      </c>
      <c r="K1310" s="6" t="n">
        <v>85401</v>
      </c>
      <c r="L1310" s="6" t="n">
        <v>91217</v>
      </c>
      <c r="M1310" s="6" t="s">
        <v>142</v>
      </c>
      <c r="N1310" s="6" t="n">
        <v>48</v>
      </c>
      <c r="O1310" s="6" t="s">
        <v>60</v>
      </c>
      <c r="P1310" s="6" t="n">
        <v>7</v>
      </c>
      <c r="Q1310" s="6" t="n">
        <v>23.72</v>
      </c>
      <c r="R1310" s="20" t="n">
        <f aca="false">(L1310-K1310)/K1310</f>
        <v>0.0681022470462875</v>
      </c>
    </row>
    <row r="1311" customFormat="false" ht="15" hidden="false" customHeight="false" outlineLevel="0" collapsed="false">
      <c r="A1311" s="6" t="s">
        <v>1473</v>
      </c>
      <c r="B1311" s="6" t="n">
        <v>24</v>
      </c>
      <c r="C1311" s="6" t="s">
        <v>159</v>
      </c>
      <c r="D1311" s="6" t="s">
        <v>135</v>
      </c>
      <c r="E1311" s="6" t="s">
        <v>87</v>
      </c>
      <c r="F1311" s="6" t="s">
        <v>160</v>
      </c>
      <c r="G1311" s="6" t="n">
        <v>1</v>
      </c>
      <c r="H1311" s="6" t="s">
        <v>81</v>
      </c>
      <c r="I1311" s="6" t="s">
        <v>80</v>
      </c>
      <c r="J1311" s="6" t="s">
        <v>58</v>
      </c>
      <c r="K1311" s="6" t="n">
        <v>106256</v>
      </c>
      <c r="L1311" s="6" t="n">
        <v>104365</v>
      </c>
      <c r="M1311" s="6" t="s">
        <v>142</v>
      </c>
      <c r="N1311" s="6" t="n">
        <v>36</v>
      </c>
      <c r="O1311" s="6" t="s">
        <v>60</v>
      </c>
      <c r="P1311" s="6" t="n">
        <v>9</v>
      </c>
      <c r="Q1311" s="6" t="n">
        <v>30.76</v>
      </c>
      <c r="R1311" s="20" t="n">
        <f aca="false">(L1311-K1311)/K1311</f>
        <v>-0.0177966420719771</v>
      </c>
    </row>
    <row r="1312" customFormat="false" ht="15" hidden="false" customHeight="false" outlineLevel="0" collapsed="false">
      <c r="A1312" s="6" t="s">
        <v>1474</v>
      </c>
      <c r="B1312" s="6" t="n">
        <v>42</v>
      </c>
      <c r="C1312" s="6" t="s">
        <v>159</v>
      </c>
      <c r="D1312" s="6" t="s">
        <v>144</v>
      </c>
      <c r="E1312" s="6" t="s">
        <v>93</v>
      </c>
      <c r="F1312" s="6" t="s">
        <v>197</v>
      </c>
      <c r="G1312" s="6" t="n">
        <v>18</v>
      </c>
      <c r="H1312" s="6" t="s">
        <v>82</v>
      </c>
      <c r="I1312" s="6" t="s">
        <v>80</v>
      </c>
      <c r="J1312" s="6" t="s">
        <v>58</v>
      </c>
      <c r="K1312" s="6" t="n">
        <v>45150</v>
      </c>
      <c r="L1312" s="6" t="n">
        <v>40146</v>
      </c>
      <c r="M1312" s="6" t="s">
        <v>142</v>
      </c>
      <c r="N1312" s="6" t="n">
        <v>41</v>
      </c>
      <c r="O1312" s="6" t="s">
        <v>60</v>
      </c>
      <c r="P1312" s="6" t="n">
        <v>6</v>
      </c>
      <c r="Q1312" s="6" t="n">
        <v>7.37</v>
      </c>
      <c r="R1312" s="20" t="n">
        <f aca="false">(L1312-K1312)/K1312</f>
        <v>-0.110830564784053</v>
      </c>
    </row>
    <row r="1313" customFormat="false" ht="15" hidden="false" customHeight="false" outlineLevel="0" collapsed="false">
      <c r="A1313" s="6" t="s">
        <v>1475</v>
      </c>
      <c r="B1313" s="6" t="n">
        <v>29</v>
      </c>
      <c r="C1313" s="6" t="s">
        <v>159</v>
      </c>
      <c r="D1313" s="6" t="s">
        <v>144</v>
      </c>
      <c r="E1313" s="6" t="s">
        <v>92</v>
      </c>
      <c r="F1313" s="6" t="s">
        <v>136</v>
      </c>
      <c r="G1313" s="6" t="n">
        <v>6</v>
      </c>
      <c r="H1313" s="6" t="s">
        <v>82</v>
      </c>
      <c r="I1313" s="6" t="s">
        <v>82</v>
      </c>
      <c r="J1313" s="6" t="s">
        <v>60</v>
      </c>
      <c r="K1313" s="6" t="n">
        <v>106772</v>
      </c>
      <c r="L1313" s="6" t="n">
        <v>110638</v>
      </c>
      <c r="M1313" s="6" t="s">
        <v>137</v>
      </c>
      <c r="N1313" s="6" t="n">
        <v>36</v>
      </c>
      <c r="O1313" s="6" t="s">
        <v>58</v>
      </c>
      <c r="P1313" s="6" t="n">
        <v>5</v>
      </c>
      <c r="Q1313" s="6" t="n">
        <v>-8.49</v>
      </c>
      <c r="R1313" s="20" t="n">
        <f aca="false">(L1313-K1313)/K1313</f>
        <v>0.0362079946053272</v>
      </c>
    </row>
    <row r="1314" customFormat="false" ht="15" hidden="false" customHeight="false" outlineLevel="0" collapsed="false">
      <c r="A1314" s="6" t="s">
        <v>1476</v>
      </c>
      <c r="B1314" s="6" t="n">
        <v>41</v>
      </c>
      <c r="C1314" s="6" t="s">
        <v>159</v>
      </c>
      <c r="D1314" s="6" t="s">
        <v>135</v>
      </c>
      <c r="E1314" s="6" t="s">
        <v>87</v>
      </c>
      <c r="F1314" s="6" t="s">
        <v>149</v>
      </c>
      <c r="G1314" s="6" t="n">
        <v>18</v>
      </c>
      <c r="H1314" s="6" t="s">
        <v>81</v>
      </c>
      <c r="I1314" s="6" t="s">
        <v>81</v>
      </c>
      <c r="J1314" s="6" t="s">
        <v>60</v>
      </c>
      <c r="K1314" s="6" t="n">
        <v>118553</v>
      </c>
      <c r="L1314" s="6" t="n">
        <v>140888</v>
      </c>
      <c r="M1314" s="6" t="s">
        <v>146</v>
      </c>
      <c r="N1314" s="6" t="n">
        <v>40</v>
      </c>
      <c r="O1314" s="6" t="s">
        <v>60</v>
      </c>
      <c r="P1314" s="6" t="n">
        <v>6</v>
      </c>
      <c r="Q1314" s="6" t="n">
        <v>7.54</v>
      </c>
      <c r="R1314" s="20" t="n">
        <f aca="false">(L1314-K1314)/K1314</f>
        <v>0.188396750820308</v>
      </c>
    </row>
    <row r="1315" customFormat="false" ht="15" hidden="false" customHeight="false" outlineLevel="0" collapsed="false">
      <c r="A1315" s="6" t="s">
        <v>1477</v>
      </c>
      <c r="B1315" s="6" t="n">
        <v>51</v>
      </c>
      <c r="C1315" s="6" t="s">
        <v>159</v>
      </c>
      <c r="D1315" s="6" t="s">
        <v>135</v>
      </c>
      <c r="E1315" s="6" t="s">
        <v>89</v>
      </c>
      <c r="F1315" s="6" t="s">
        <v>162</v>
      </c>
      <c r="G1315" s="6" t="n">
        <v>26</v>
      </c>
      <c r="H1315" s="6" t="s">
        <v>80</v>
      </c>
      <c r="I1315" s="6" t="s">
        <v>80</v>
      </c>
      <c r="J1315" s="6" t="s">
        <v>58</v>
      </c>
      <c r="K1315" s="6" t="n">
        <v>108210</v>
      </c>
      <c r="L1315" s="6" t="n">
        <v>104508</v>
      </c>
      <c r="M1315" s="6" t="s">
        <v>142</v>
      </c>
      <c r="N1315" s="6" t="n">
        <v>38</v>
      </c>
      <c r="O1315" s="6" t="s">
        <v>58</v>
      </c>
      <c r="P1315" s="6" t="n">
        <v>3</v>
      </c>
      <c r="Q1315" s="6" t="n">
        <v>14.36</v>
      </c>
      <c r="R1315" s="20" t="n">
        <f aca="false">(L1315-K1315)/K1315</f>
        <v>-0.0342112558913224</v>
      </c>
    </row>
    <row r="1316" customFormat="false" ht="15" hidden="false" customHeight="false" outlineLevel="0" collapsed="false">
      <c r="A1316" s="6" t="s">
        <v>1478</v>
      </c>
      <c r="B1316" s="6" t="n">
        <v>52</v>
      </c>
      <c r="C1316" s="6" t="s">
        <v>134</v>
      </c>
      <c r="D1316" s="6" t="s">
        <v>140</v>
      </c>
      <c r="E1316" s="6" t="s">
        <v>92</v>
      </c>
      <c r="F1316" s="6" t="s">
        <v>192</v>
      </c>
      <c r="G1316" s="6" t="n">
        <v>26</v>
      </c>
      <c r="H1316" s="6" t="s">
        <v>82</v>
      </c>
      <c r="I1316" s="6" t="s">
        <v>81</v>
      </c>
      <c r="J1316" s="6" t="s">
        <v>60</v>
      </c>
      <c r="K1316" s="6" t="n">
        <v>89884</v>
      </c>
      <c r="L1316" s="6" t="n">
        <v>108344</v>
      </c>
      <c r="M1316" s="6" t="s">
        <v>146</v>
      </c>
      <c r="N1316" s="6" t="n">
        <v>38</v>
      </c>
      <c r="O1316" s="6" t="s">
        <v>58</v>
      </c>
      <c r="P1316" s="6" t="n">
        <v>8</v>
      </c>
      <c r="Q1316" s="6" t="n">
        <v>12.55</v>
      </c>
      <c r="R1316" s="20" t="n">
        <f aca="false">(L1316-K1316)/K1316</f>
        <v>0.205375817720618</v>
      </c>
    </row>
    <row r="1317" customFormat="false" ht="15" hidden="false" customHeight="false" outlineLevel="0" collapsed="false">
      <c r="A1317" s="6" t="s">
        <v>1479</v>
      </c>
      <c r="B1317" s="6" t="n">
        <v>47</v>
      </c>
      <c r="C1317" s="6" t="s">
        <v>159</v>
      </c>
      <c r="D1317" s="6" t="s">
        <v>144</v>
      </c>
      <c r="E1317" s="6" t="s">
        <v>89</v>
      </c>
      <c r="F1317" s="6" t="s">
        <v>162</v>
      </c>
      <c r="G1317" s="6" t="n">
        <v>23</v>
      </c>
      <c r="H1317" s="6" t="s">
        <v>82</v>
      </c>
      <c r="I1317" s="6" t="s">
        <v>80</v>
      </c>
      <c r="J1317" s="6" t="s">
        <v>60</v>
      </c>
      <c r="K1317" s="6" t="n">
        <v>91407</v>
      </c>
      <c r="L1317" s="6" t="n">
        <v>92298</v>
      </c>
      <c r="M1317" s="6" t="s">
        <v>142</v>
      </c>
      <c r="N1317" s="6" t="n">
        <v>46</v>
      </c>
      <c r="O1317" s="6" t="s">
        <v>58</v>
      </c>
      <c r="P1317" s="6" t="n">
        <v>5</v>
      </c>
      <c r="Q1317" s="6" t="n">
        <v>-2.44</v>
      </c>
      <c r="R1317" s="20" t="n">
        <f aca="false">(L1317-K1317)/K1317</f>
        <v>0.00974761232728347</v>
      </c>
    </row>
    <row r="1318" customFormat="false" ht="15" hidden="false" customHeight="false" outlineLevel="0" collapsed="false">
      <c r="A1318" s="6" t="s">
        <v>1480</v>
      </c>
      <c r="B1318" s="6" t="n">
        <v>45</v>
      </c>
      <c r="C1318" s="6" t="s">
        <v>159</v>
      </c>
      <c r="D1318" s="6" t="s">
        <v>148</v>
      </c>
      <c r="E1318" s="6" t="s">
        <v>88</v>
      </c>
      <c r="F1318" s="6" t="s">
        <v>157</v>
      </c>
      <c r="G1318" s="6" t="n">
        <v>23</v>
      </c>
      <c r="H1318" s="6" t="s">
        <v>80</v>
      </c>
      <c r="I1318" s="6" t="s">
        <v>80</v>
      </c>
      <c r="J1318" s="6" t="s">
        <v>60</v>
      </c>
      <c r="K1318" s="6" t="n">
        <v>65157</v>
      </c>
      <c r="L1318" s="6" t="n">
        <v>62818</v>
      </c>
      <c r="M1318" s="6" t="s">
        <v>142</v>
      </c>
      <c r="N1318" s="6" t="n">
        <v>48</v>
      </c>
      <c r="O1318" s="6" t="s">
        <v>60</v>
      </c>
      <c r="P1318" s="6" t="n">
        <v>3</v>
      </c>
      <c r="Q1318" s="6" t="n">
        <v>37.08</v>
      </c>
      <c r="R1318" s="20" t="n">
        <f aca="false">(L1318-K1318)/K1318</f>
        <v>-0.0358979081295947</v>
      </c>
    </row>
    <row r="1319" customFormat="false" ht="15" hidden="false" customHeight="false" outlineLevel="0" collapsed="false">
      <c r="A1319" s="6" t="s">
        <v>1481</v>
      </c>
      <c r="B1319" s="6" t="n">
        <v>31</v>
      </c>
      <c r="C1319" s="6" t="s">
        <v>134</v>
      </c>
      <c r="D1319" s="6" t="s">
        <v>140</v>
      </c>
      <c r="E1319" s="6" t="s">
        <v>93</v>
      </c>
      <c r="F1319" s="6" t="s">
        <v>164</v>
      </c>
      <c r="G1319" s="6" t="n">
        <v>6</v>
      </c>
      <c r="H1319" s="6" t="s">
        <v>80</v>
      </c>
      <c r="I1319" s="6" t="s">
        <v>82</v>
      </c>
      <c r="J1319" s="6" t="s">
        <v>60</v>
      </c>
      <c r="K1319" s="6" t="n">
        <v>102154</v>
      </c>
      <c r="L1319" s="6" t="n">
        <v>111335</v>
      </c>
      <c r="M1319" s="6" t="s">
        <v>142</v>
      </c>
      <c r="N1319" s="6" t="n">
        <v>54</v>
      </c>
      <c r="O1319" s="6" t="s">
        <v>60</v>
      </c>
      <c r="P1319" s="6" t="n">
        <v>3</v>
      </c>
      <c r="Q1319" s="6" t="n">
        <v>9.29</v>
      </c>
      <c r="R1319" s="20" t="n">
        <f aca="false">(L1319-K1319)/K1319</f>
        <v>0.089874111635374</v>
      </c>
    </row>
    <row r="1320" customFormat="false" ht="15" hidden="false" customHeight="false" outlineLevel="0" collapsed="false">
      <c r="A1320" s="6" t="s">
        <v>1482</v>
      </c>
      <c r="B1320" s="6" t="n">
        <v>40</v>
      </c>
      <c r="C1320" s="6" t="s">
        <v>134</v>
      </c>
      <c r="D1320" s="6" t="s">
        <v>148</v>
      </c>
      <c r="E1320" s="6" t="s">
        <v>89</v>
      </c>
      <c r="F1320" s="6" t="s">
        <v>153</v>
      </c>
      <c r="G1320" s="6" t="n">
        <v>14</v>
      </c>
      <c r="H1320" s="6" t="s">
        <v>81</v>
      </c>
      <c r="I1320" s="6" t="s">
        <v>81</v>
      </c>
      <c r="J1320" s="6" t="s">
        <v>60</v>
      </c>
      <c r="K1320" s="6" t="n">
        <v>68165</v>
      </c>
      <c r="L1320" s="6" t="n">
        <v>61374</v>
      </c>
      <c r="M1320" s="6" t="s">
        <v>146</v>
      </c>
      <c r="N1320" s="6" t="n">
        <v>51</v>
      </c>
      <c r="O1320" s="6" t="s">
        <v>60</v>
      </c>
      <c r="P1320" s="6" t="n">
        <v>6</v>
      </c>
      <c r="Q1320" s="6" t="n">
        <v>-12.79</v>
      </c>
      <c r="R1320" s="20" t="n">
        <f aca="false">(L1320-K1320)/K1320</f>
        <v>-0.0996259077239052</v>
      </c>
    </row>
    <row r="1321" customFormat="false" ht="15" hidden="false" customHeight="false" outlineLevel="0" collapsed="false">
      <c r="A1321" s="6" t="s">
        <v>1483</v>
      </c>
      <c r="B1321" s="6" t="n">
        <v>29</v>
      </c>
      <c r="C1321" s="6" t="s">
        <v>139</v>
      </c>
      <c r="D1321" s="6" t="s">
        <v>140</v>
      </c>
      <c r="E1321" s="6" t="s">
        <v>90</v>
      </c>
      <c r="F1321" s="6" t="s">
        <v>202</v>
      </c>
      <c r="G1321" s="6" t="n">
        <v>6</v>
      </c>
      <c r="H1321" s="6" t="s">
        <v>80</v>
      </c>
      <c r="I1321" s="6" t="s">
        <v>82</v>
      </c>
      <c r="J1321" s="6" t="s">
        <v>58</v>
      </c>
      <c r="K1321" s="6" t="n">
        <v>76716</v>
      </c>
      <c r="L1321" s="6" t="n">
        <v>78885</v>
      </c>
      <c r="M1321" s="6" t="s">
        <v>142</v>
      </c>
      <c r="N1321" s="6" t="n">
        <v>40</v>
      </c>
      <c r="O1321" s="6" t="s">
        <v>58</v>
      </c>
      <c r="P1321" s="6" t="n">
        <v>3</v>
      </c>
      <c r="Q1321" s="6" t="n">
        <v>-15.55</v>
      </c>
      <c r="R1321" s="20" t="n">
        <f aca="false">(L1321-K1321)/K1321</f>
        <v>0.0282731112153918</v>
      </c>
    </row>
    <row r="1322" customFormat="false" ht="15" hidden="false" customHeight="false" outlineLevel="0" collapsed="false">
      <c r="A1322" s="6" t="s">
        <v>1484</v>
      </c>
      <c r="B1322" s="6" t="n">
        <v>26</v>
      </c>
      <c r="C1322" s="6" t="s">
        <v>134</v>
      </c>
      <c r="D1322" s="6" t="s">
        <v>144</v>
      </c>
      <c r="E1322" s="6" t="s">
        <v>89</v>
      </c>
      <c r="F1322" s="6" t="s">
        <v>153</v>
      </c>
      <c r="G1322" s="6" t="n">
        <v>2</v>
      </c>
      <c r="H1322" s="6" t="s">
        <v>82</v>
      </c>
      <c r="I1322" s="6" t="s">
        <v>81</v>
      </c>
      <c r="J1322" s="6" t="s">
        <v>58</v>
      </c>
      <c r="K1322" s="6" t="n">
        <v>86911</v>
      </c>
      <c r="L1322" s="6" t="n">
        <v>116187</v>
      </c>
      <c r="M1322" s="6" t="s">
        <v>146</v>
      </c>
      <c r="N1322" s="6" t="n">
        <v>53</v>
      </c>
      <c r="O1322" s="6" t="s">
        <v>58</v>
      </c>
      <c r="P1322" s="6" t="n">
        <v>8</v>
      </c>
      <c r="Q1322" s="6" t="n">
        <v>-12.95</v>
      </c>
      <c r="R1322" s="20" t="n">
        <f aca="false">(L1322-K1322)/K1322</f>
        <v>0.336850341153594</v>
      </c>
    </row>
    <row r="1323" customFormat="false" ht="15" hidden="false" customHeight="false" outlineLevel="0" collapsed="false">
      <c r="A1323" s="6" t="s">
        <v>1485</v>
      </c>
      <c r="B1323" s="6" t="n">
        <v>29</v>
      </c>
      <c r="C1323" s="6" t="s">
        <v>134</v>
      </c>
      <c r="D1323" s="6" t="s">
        <v>135</v>
      </c>
      <c r="E1323" s="6" t="s">
        <v>92</v>
      </c>
      <c r="F1323" s="6" t="s">
        <v>222</v>
      </c>
      <c r="G1323" s="6" t="n">
        <v>5</v>
      </c>
      <c r="H1323" s="6" t="s">
        <v>82</v>
      </c>
      <c r="I1323" s="6" t="s">
        <v>81</v>
      </c>
      <c r="J1323" s="6" t="s">
        <v>60</v>
      </c>
      <c r="K1323" s="6" t="n">
        <v>102728</v>
      </c>
      <c r="L1323" s="6" t="n">
        <v>127476</v>
      </c>
      <c r="M1323" s="6" t="s">
        <v>146</v>
      </c>
      <c r="N1323" s="6" t="n">
        <v>53</v>
      </c>
      <c r="O1323" s="6" t="s">
        <v>60</v>
      </c>
      <c r="P1323" s="6" t="n">
        <v>4</v>
      </c>
      <c r="Q1323" s="6" t="n">
        <v>-1.73</v>
      </c>
      <c r="R1323" s="20" t="n">
        <f aca="false">(L1323-K1323)/K1323</f>
        <v>0.240908028969706</v>
      </c>
    </row>
    <row r="1324" customFormat="false" ht="15" hidden="false" customHeight="false" outlineLevel="0" collapsed="false">
      <c r="A1324" s="6" t="s">
        <v>1486</v>
      </c>
      <c r="B1324" s="6" t="n">
        <v>52</v>
      </c>
      <c r="C1324" s="6" t="s">
        <v>139</v>
      </c>
      <c r="D1324" s="6" t="s">
        <v>144</v>
      </c>
      <c r="E1324" s="6" t="s">
        <v>91</v>
      </c>
      <c r="F1324" s="6" t="s">
        <v>208</v>
      </c>
      <c r="G1324" s="6" t="n">
        <v>30</v>
      </c>
      <c r="H1324" s="6" t="s">
        <v>81</v>
      </c>
      <c r="I1324" s="6" t="s">
        <v>82</v>
      </c>
      <c r="J1324" s="6" t="s">
        <v>60</v>
      </c>
      <c r="K1324" s="6" t="n">
        <v>85918</v>
      </c>
      <c r="L1324" s="6" t="n">
        <v>85578</v>
      </c>
      <c r="M1324" s="6" t="s">
        <v>142</v>
      </c>
      <c r="N1324" s="6" t="n">
        <v>50</v>
      </c>
      <c r="O1324" s="6" t="s">
        <v>60</v>
      </c>
      <c r="P1324" s="6" t="n">
        <v>9</v>
      </c>
      <c r="Q1324" s="6" t="n">
        <v>20.22</v>
      </c>
      <c r="R1324" s="20" t="n">
        <f aca="false">(L1324-K1324)/K1324</f>
        <v>-0.00395726157499011</v>
      </c>
    </row>
    <row r="1325" customFormat="false" ht="15" hidden="false" customHeight="false" outlineLevel="0" collapsed="false">
      <c r="A1325" s="6" t="s">
        <v>1487</v>
      </c>
      <c r="B1325" s="6" t="n">
        <v>37</v>
      </c>
      <c r="C1325" s="6" t="s">
        <v>159</v>
      </c>
      <c r="D1325" s="6" t="s">
        <v>144</v>
      </c>
      <c r="E1325" s="6" t="s">
        <v>90</v>
      </c>
      <c r="F1325" s="6" t="s">
        <v>145</v>
      </c>
      <c r="G1325" s="6" t="n">
        <v>15</v>
      </c>
      <c r="H1325" s="6" t="s">
        <v>82</v>
      </c>
      <c r="I1325" s="6" t="s">
        <v>81</v>
      </c>
      <c r="J1325" s="6" t="s">
        <v>60</v>
      </c>
      <c r="K1325" s="6" t="n">
        <v>42109</v>
      </c>
      <c r="L1325" s="6" t="n">
        <v>41599</v>
      </c>
      <c r="M1325" s="6" t="s">
        <v>146</v>
      </c>
      <c r="N1325" s="6" t="n">
        <v>40</v>
      </c>
      <c r="O1325" s="6" t="s">
        <v>58</v>
      </c>
      <c r="P1325" s="6" t="n">
        <v>8</v>
      </c>
      <c r="Q1325" s="6" t="n">
        <v>-9.27</v>
      </c>
      <c r="R1325" s="20" t="n">
        <f aca="false">(L1325-K1325)/K1325</f>
        <v>-0.0121114251110214</v>
      </c>
    </row>
    <row r="1326" customFormat="false" ht="15" hidden="false" customHeight="false" outlineLevel="0" collapsed="false">
      <c r="A1326" s="6" t="s">
        <v>1488</v>
      </c>
      <c r="B1326" s="6" t="n">
        <v>37</v>
      </c>
      <c r="C1326" s="6" t="s">
        <v>159</v>
      </c>
      <c r="D1326" s="6" t="s">
        <v>140</v>
      </c>
      <c r="E1326" s="6" t="s">
        <v>88</v>
      </c>
      <c r="F1326" s="6" t="s">
        <v>234</v>
      </c>
      <c r="G1326" s="6" t="n">
        <v>12</v>
      </c>
      <c r="H1326" s="6" t="s">
        <v>81</v>
      </c>
      <c r="I1326" s="6" t="s">
        <v>80</v>
      </c>
      <c r="J1326" s="6" t="s">
        <v>58</v>
      </c>
      <c r="K1326" s="6" t="n">
        <v>73151</v>
      </c>
      <c r="L1326" s="6" t="n">
        <v>66946</v>
      </c>
      <c r="M1326" s="6" t="s">
        <v>142</v>
      </c>
      <c r="N1326" s="6" t="n">
        <v>47</v>
      </c>
      <c r="O1326" s="6" t="s">
        <v>60</v>
      </c>
      <c r="P1326" s="6" t="n">
        <v>7</v>
      </c>
      <c r="Q1326" s="6" t="n">
        <v>35.58</v>
      </c>
      <c r="R1326" s="20" t="n">
        <f aca="false">(L1326-K1326)/K1326</f>
        <v>-0.0848245410178945</v>
      </c>
    </row>
    <row r="1327" customFormat="false" ht="15" hidden="false" customHeight="false" outlineLevel="0" collapsed="false">
      <c r="A1327" s="6" t="s">
        <v>1489</v>
      </c>
      <c r="B1327" s="6" t="n">
        <v>33</v>
      </c>
      <c r="C1327" s="6" t="s">
        <v>134</v>
      </c>
      <c r="D1327" s="6" t="s">
        <v>135</v>
      </c>
      <c r="E1327" s="6" t="s">
        <v>87</v>
      </c>
      <c r="F1327" s="6" t="s">
        <v>149</v>
      </c>
      <c r="G1327" s="6" t="n">
        <v>11</v>
      </c>
      <c r="H1327" s="6" t="s">
        <v>82</v>
      </c>
      <c r="I1327" s="6" t="s">
        <v>82</v>
      </c>
      <c r="J1327" s="6" t="s">
        <v>58</v>
      </c>
      <c r="K1327" s="6" t="n">
        <v>72722</v>
      </c>
      <c r="L1327" s="6" t="n">
        <v>73330</v>
      </c>
      <c r="M1327" s="6" t="s">
        <v>146</v>
      </c>
      <c r="N1327" s="6" t="n">
        <v>46</v>
      </c>
      <c r="O1327" s="6" t="s">
        <v>60</v>
      </c>
      <c r="P1327" s="6" t="n">
        <v>3</v>
      </c>
      <c r="Q1327" s="6" t="n">
        <v>20.86</v>
      </c>
      <c r="R1327" s="20" t="n">
        <f aca="false">(L1327-K1327)/K1327</f>
        <v>0.00836060614394544</v>
      </c>
    </row>
    <row r="1328" customFormat="false" ht="15" hidden="false" customHeight="false" outlineLevel="0" collapsed="false">
      <c r="A1328" s="6" t="s">
        <v>1490</v>
      </c>
      <c r="B1328" s="6" t="n">
        <v>39</v>
      </c>
      <c r="C1328" s="6" t="s">
        <v>134</v>
      </c>
      <c r="D1328" s="6" t="s">
        <v>144</v>
      </c>
      <c r="E1328" s="6" t="s">
        <v>93</v>
      </c>
      <c r="F1328" s="6" t="s">
        <v>197</v>
      </c>
      <c r="G1328" s="6" t="n">
        <v>16</v>
      </c>
      <c r="H1328" s="6" t="s">
        <v>81</v>
      </c>
      <c r="I1328" s="6" t="s">
        <v>81</v>
      </c>
      <c r="J1328" s="6" t="s">
        <v>60</v>
      </c>
      <c r="K1328" s="6" t="n">
        <v>41292</v>
      </c>
      <c r="L1328" s="6" t="n">
        <v>46461</v>
      </c>
      <c r="M1328" s="6" t="s">
        <v>146</v>
      </c>
      <c r="N1328" s="6" t="n">
        <v>51</v>
      </c>
      <c r="O1328" s="6" t="s">
        <v>60</v>
      </c>
      <c r="P1328" s="6" t="n">
        <v>4</v>
      </c>
      <c r="Q1328" s="6" t="n">
        <v>9.32</v>
      </c>
      <c r="R1328" s="20" t="n">
        <f aca="false">(L1328-K1328)/K1328</f>
        <v>0.125181633246149</v>
      </c>
    </row>
    <row r="1329" customFormat="false" ht="15" hidden="false" customHeight="false" outlineLevel="0" collapsed="false">
      <c r="A1329" s="6" t="s">
        <v>1491</v>
      </c>
      <c r="B1329" s="6" t="n">
        <v>24</v>
      </c>
      <c r="C1329" s="6" t="s">
        <v>134</v>
      </c>
      <c r="D1329" s="6" t="s">
        <v>135</v>
      </c>
      <c r="E1329" s="6" t="s">
        <v>91</v>
      </c>
      <c r="F1329" s="6" t="s">
        <v>208</v>
      </c>
      <c r="G1329" s="6" t="n">
        <v>0</v>
      </c>
      <c r="H1329" s="6" t="s">
        <v>82</v>
      </c>
      <c r="I1329" s="6" t="s">
        <v>81</v>
      </c>
      <c r="J1329" s="6" t="s">
        <v>60</v>
      </c>
      <c r="K1329" s="6" t="n">
        <v>52257</v>
      </c>
      <c r="L1329" s="6" t="n">
        <v>61349</v>
      </c>
      <c r="M1329" s="6" t="s">
        <v>146</v>
      </c>
      <c r="N1329" s="6" t="n">
        <v>44</v>
      </c>
      <c r="O1329" s="6" t="s">
        <v>60</v>
      </c>
      <c r="P1329" s="6" t="n">
        <v>3</v>
      </c>
      <c r="Q1329" s="6" t="n">
        <v>-16.62</v>
      </c>
      <c r="R1329" s="20" t="n">
        <f aca="false">(L1329-K1329)/K1329</f>
        <v>0.173986260213943</v>
      </c>
    </row>
    <row r="1330" customFormat="false" ht="15" hidden="false" customHeight="false" outlineLevel="0" collapsed="false">
      <c r="A1330" s="6" t="s">
        <v>1492</v>
      </c>
      <c r="B1330" s="6" t="n">
        <v>34</v>
      </c>
      <c r="C1330" s="6" t="s">
        <v>139</v>
      </c>
      <c r="D1330" s="6" t="s">
        <v>140</v>
      </c>
      <c r="E1330" s="6" t="s">
        <v>93</v>
      </c>
      <c r="F1330" s="6" t="s">
        <v>181</v>
      </c>
      <c r="G1330" s="6" t="n">
        <v>12</v>
      </c>
      <c r="H1330" s="6" t="s">
        <v>80</v>
      </c>
      <c r="I1330" s="6" t="s">
        <v>82</v>
      </c>
      <c r="J1330" s="6" t="s">
        <v>60</v>
      </c>
      <c r="K1330" s="6" t="n">
        <v>52113</v>
      </c>
      <c r="L1330" s="6" t="n">
        <v>52288</v>
      </c>
      <c r="M1330" s="6" t="s">
        <v>142</v>
      </c>
      <c r="N1330" s="6" t="n">
        <v>51</v>
      </c>
      <c r="O1330" s="6" t="s">
        <v>60</v>
      </c>
      <c r="P1330" s="6" t="n">
        <v>9</v>
      </c>
      <c r="Q1330" s="6" t="n">
        <v>-7.23</v>
      </c>
      <c r="R1330" s="20" t="n">
        <f aca="false">(L1330-K1330)/K1330</f>
        <v>0.00335808723351179</v>
      </c>
    </row>
    <row r="1331" customFormat="false" ht="15" hidden="false" customHeight="false" outlineLevel="0" collapsed="false">
      <c r="A1331" s="6" t="s">
        <v>1493</v>
      </c>
      <c r="B1331" s="6" t="n">
        <v>57</v>
      </c>
      <c r="C1331" s="6" t="s">
        <v>139</v>
      </c>
      <c r="D1331" s="6" t="s">
        <v>135</v>
      </c>
      <c r="E1331" s="6" t="s">
        <v>87</v>
      </c>
      <c r="F1331" s="6" t="s">
        <v>155</v>
      </c>
      <c r="G1331" s="6" t="n">
        <v>35</v>
      </c>
      <c r="H1331" s="6" t="s">
        <v>81</v>
      </c>
      <c r="I1331" s="6" t="s">
        <v>80</v>
      </c>
      <c r="J1331" s="6" t="s">
        <v>60</v>
      </c>
      <c r="K1331" s="6" t="n">
        <v>70136</v>
      </c>
      <c r="L1331" s="6" t="n">
        <v>77544</v>
      </c>
      <c r="M1331" s="6" t="s">
        <v>142</v>
      </c>
      <c r="N1331" s="6" t="n">
        <v>52</v>
      </c>
      <c r="O1331" s="6" t="s">
        <v>60</v>
      </c>
      <c r="P1331" s="6" t="n">
        <v>7</v>
      </c>
      <c r="Q1331" s="6" t="n">
        <v>26.74</v>
      </c>
      <c r="R1331" s="20" t="n">
        <f aca="false">(L1331-K1331)/K1331</f>
        <v>0.105623360328505</v>
      </c>
    </row>
    <row r="1332" customFormat="false" ht="15" hidden="false" customHeight="false" outlineLevel="0" collapsed="false">
      <c r="A1332" s="6" t="s">
        <v>1494</v>
      </c>
      <c r="B1332" s="6" t="n">
        <v>43</v>
      </c>
      <c r="C1332" s="6" t="s">
        <v>159</v>
      </c>
      <c r="D1332" s="6" t="s">
        <v>148</v>
      </c>
      <c r="E1332" s="6" t="s">
        <v>89</v>
      </c>
      <c r="F1332" s="6" t="s">
        <v>162</v>
      </c>
      <c r="G1332" s="6" t="n">
        <v>19</v>
      </c>
      <c r="H1332" s="6" t="s">
        <v>82</v>
      </c>
      <c r="I1332" s="6" t="s">
        <v>80</v>
      </c>
      <c r="J1332" s="6" t="s">
        <v>58</v>
      </c>
      <c r="K1332" s="6" t="n">
        <v>31868</v>
      </c>
      <c r="L1332" s="6" t="n">
        <v>41018</v>
      </c>
      <c r="M1332" s="6" t="s">
        <v>142</v>
      </c>
      <c r="N1332" s="6" t="n">
        <v>46</v>
      </c>
      <c r="O1332" s="6" t="s">
        <v>58</v>
      </c>
      <c r="P1332" s="6" t="n">
        <v>6</v>
      </c>
      <c r="Q1332" s="6" t="n">
        <v>28.48</v>
      </c>
      <c r="R1332" s="20" t="n">
        <f aca="false">(L1332-K1332)/K1332</f>
        <v>0.287121877745701</v>
      </c>
    </row>
    <row r="1333" customFormat="false" ht="15" hidden="false" customHeight="false" outlineLevel="0" collapsed="false">
      <c r="A1333" s="6" t="s">
        <v>1495</v>
      </c>
      <c r="B1333" s="6" t="n">
        <v>34</v>
      </c>
      <c r="C1333" s="6" t="s">
        <v>134</v>
      </c>
      <c r="D1333" s="6" t="s">
        <v>140</v>
      </c>
      <c r="E1333" s="6" t="s">
        <v>90</v>
      </c>
      <c r="F1333" s="6" t="s">
        <v>236</v>
      </c>
      <c r="G1333" s="6" t="n">
        <v>8</v>
      </c>
      <c r="H1333" s="6" t="s">
        <v>82</v>
      </c>
      <c r="I1333" s="6" t="s">
        <v>81</v>
      </c>
      <c r="J1333" s="6" t="s">
        <v>60</v>
      </c>
      <c r="K1333" s="6" t="n">
        <v>52394</v>
      </c>
      <c r="L1333" s="6" t="n">
        <v>68634</v>
      </c>
      <c r="M1333" s="6" t="s">
        <v>146</v>
      </c>
      <c r="N1333" s="6" t="n">
        <v>39</v>
      </c>
      <c r="O1333" s="6" t="s">
        <v>60</v>
      </c>
      <c r="P1333" s="6" t="n">
        <v>7</v>
      </c>
      <c r="Q1333" s="6" t="n">
        <v>23.57</v>
      </c>
      <c r="R1333" s="20" t="n">
        <f aca="false">(L1333-K1333)/K1333</f>
        <v>0.309959155628507</v>
      </c>
    </row>
    <row r="1334" customFormat="false" ht="15" hidden="false" customHeight="false" outlineLevel="0" collapsed="false">
      <c r="A1334" s="6" t="s">
        <v>1496</v>
      </c>
      <c r="B1334" s="6" t="n">
        <v>38</v>
      </c>
      <c r="C1334" s="6" t="s">
        <v>134</v>
      </c>
      <c r="D1334" s="6" t="s">
        <v>144</v>
      </c>
      <c r="E1334" s="6" t="s">
        <v>92</v>
      </c>
      <c r="F1334" s="6" t="s">
        <v>222</v>
      </c>
      <c r="G1334" s="6" t="n">
        <v>16</v>
      </c>
      <c r="H1334" s="6" t="s">
        <v>81</v>
      </c>
      <c r="I1334" s="6" t="s">
        <v>81</v>
      </c>
      <c r="J1334" s="6" t="s">
        <v>60</v>
      </c>
      <c r="K1334" s="6" t="n">
        <v>107061</v>
      </c>
      <c r="L1334" s="6" t="n">
        <v>105265</v>
      </c>
      <c r="M1334" s="6" t="s">
        <v>146</v>
      </c>
      <c r="N1334" s="6" t="n">
        <v>36</v>
      </c>
      <c r="O1334" s="6" t="s">
        <v>60</v>
      </c>
      <c r="P1334" s="6" t="n">
        <v>4</v>
      </c>
      <c r="Q1334" s="6" t="n">
        <v>18.57</v>
      </c>
      <c r="R1334" s="20" t="n">
        <f aca="false">(L1334-K1334)/K1334</f>
        <v>-0.0167754831357824</v>
      </c>
    </row>
    <row r="1335" customFormat="false" ht="15" hidden="false" customHeight="false" outlineLevel="0" collapsed="false">
      <c r="A1335" s="6" t="s">
        <v>1497</v>
      </c>
      <c r="B1335" s="6" t="n">
        <v>37</v>
      </c>
      <c r="C1335" s="6" t="s">
        <v>139</v>
      </c>
      <c r="D1335" s="6" t="s">
        <v>135</v>
      </c>
      <c r="E1335" s="6" t="s">
        <v>90</v>
      </c>
      <c r="F1335" s="6" t="s">
        <v>202</v>
      </c>
      <c r="G1335" s="6" t="n">
        <v>11</v>
      </c>
      <c r="H1335" s="6" t="s">
        <v>82</v>
      </c>
      <c r="I1335" s="6" t="s">
        <v>80</v>
      </c>
      <c r="J1335" s="6" t="s">
        <v>60</v>
      </c>
      <c r="K1335" s="6" t="n">
        <v>109054</v>
      </c>
      <c r="L1335" s="6" t="n">
        <v>137291</v>
      </c>
      <c r="M1335" s="6" t="s">
        <v>142</v>
      </c>
      <c r="N1335" s="6" t="n">
        <v>49</v>
      </c>
      <c r="O1335" s="6" t="s">
        <v>58</v>
      </c>
      <c r="P1335" s="6" t="n">
        <v>8</v>
      </c>
      <c r="Q1335" s="6" t="n">
        <v>-9.52</v>
      </c>
      <c r="R1335" s="20" t="n">
        <f aca="false">(L1335-K1335)/K1335</f>
        <v>0.258926770223926</v>
      </c>
    </row>
    <row r="1336" customFormat="false" ht="15" hidden="false" customHeight="false" outlineLevel="0" collapsed="false">
      <c r="A1336" s="6" t="s">
        <v>1498</v>
      </c>
      <c r="B1336" s="6" t="n">
        <v>29</v>
      </c>
      <c r="C1336" s="6" t="s">
        <v>134</v>
      </c>
      <c r="D1336" s="6" t="s">
        <v>148</v>
      </c>
      <c r="E1336" s="6" t="s">
        <v>89</v>
      </c>
      <c r="F1336" s="6" t="s">
        <v>151</v>
      </c>
      <c r="G1336" s="6" t="n">
        <v>5</v>
      </c>
      <c r="H1336" s="6" t="s">
        <v>82</v>
      </c>
      <c r="I1336" s="6" t="s">
        <v>80</v>
      </c>
      <c r="J1336" s="6" t="s">
        <v>58</v>
      </c>
      <c r="K1336" s="6" t="n">
        <v>30209</v>
      </c>
      <c r="L1336" s="6" t="n">
        <v>33549</v>
      </c>
      <c r="M1336" s="6" t="s">
        <v>142</v>
      </c>
      <c r="N1336" s="6" t="n">
        <v>35</v>
      </c>
      <c r="O1336" s="6" t="s">
        <v>58</v>
      </c>
      <c r="P1336" s="6" t="n">
        <v>7</v>
      </c>
      <c r="Q1336" s="6" t="n">
        <v>14.67</v>
      </c>
      <c r="R1336" s="20" t="n">
        <f aca="false">(L1336-K1336)/K1336</f>
        <v>0.11056307722864</v>
      </c>
    </row>
    <row r="1337" customFormat="false" ht="15" hidden="false" customHeight="false" outlineLevel="0" collapsed="false">
      <c r="A1337" s="6" t="s">
        <v>1499</v>
      </c>
      <c r="B1337" s="6" t="n">
        <v>26</v>
      </c>
      <c r="C1337" s="6" t="s">
        <v>139</v>
      </c>
      <c r="D1337" s="6" t="s">
        <v>144</v>
      </c>
      <c r="E1337" s="6" t="s">
        <v>91</v>
      </c>
      <c r="F1337" s="6" t="s">
        <v>141</v>
      </c>
      <c r="G1337" s="6" t="n">
        <v>0</v>
      </c>
      <c r="H1337" s="6" t="s">
        <v>81</v>
      </c>
      <c r="I1337" s="6" t="s">
        <v>82</v>
      </c>
      <c r="J1337" s="6" t="s">
        <v>60</v>
      </c>
      <c r="K1337" s="6" t="n">
        <v>35607</v>
      </c>
      <c r="L1337" s="6" t="n">
        <v>42061</v>
      </c>
      <c r="M1337" s="6" t="s">
        <v>142</v>
      </c>
      <c r="N1337" s="6" t="n">
        <v>37</v>
      </c>
      <c r="O1337" s="6" t="s">
        <v>60</v>
      </c>
      <c r="P1337" s="6" t="n">
        <v>9</v>
      </c>
      <c r="Q1337" s="6" t="n">
        <v>11.79</v>
      </c>
      <c r="R1337" s="20" t="n">
        <f aca="false">(L1337-K1337)/K1337</f>
        <v>0.181256494509507</v>
      </c>
    </row>
    <row r="1338" customFormat="false" ht="15" hidden="false" customHeight="false" outlineLevel="0" collapsed="false">
      <c r="A1338" s="6" t="s">
        <v>1500</v>
      </c>
      <c r="B1338" s="6" t="n">
        <v>24</v>
      </c>
      <c r="C1338" s="6" t="s">
        <v>134</v>
      </c>
      <c r="D1338" s="6" t="s">
        <v>144</v>
      </c>
      <c r="E1338" s="6" t="s">
        <v>89</v>
      </c>
      <c r="F1338" s="6" t="s">
        <v>162</v>
      </c>
      <c r="G1338" s="6" t="n">
        <v>0</v>
      </c>
      <c r="H1338" s="6" t="s">
        <v>80</v>
      </c>
      <c r="I1338" s="6" t="s">
        <v>81</v>
      </c>
      <c r="J1338" s="6" t="s">
        <v>58</v>
      </c>
      <c r="K1338" s="6" t="n">
        <v>55117</v>
      </c>
      <c r="L1338" s="6" t="n">
        <v>58711</v>
      </c>
      <c r="M1338" s="6" t="s">
        <v>146</v>
      </c>
      <c r="N1338" s="6" t="n">
        <v>51</v>
      </c>
      <c r="O1338" s="6" t="s">
        <v>58</v>
      </c>
      <c r="P1338" s="6" t="n">
        <v>6</v>
      </c>
      <c r="Q1338" s="6" t="n">
        <v>24.83</v>
      </c>
      <c r="R1338" s="20" t="n">
        <f aca="false">(L1338-K1338)/K1338</f>
        <v>0.0652067420215179</v>
      </c>
    </row>
    <row r="1339" customFormat="false" ht="15" hidden="false" customHeight="false" outlineLevel="0" collapsed="false">
      <c r="A1339" s="6" t="s">
        <v>1501</v>
      </c>
      <c r="B1339" s="6" t="n">
        <v>59</v>
      </c>
      <c r="C1339" s="6" t="s">
        <v>159</v>
      </c>
      <c r="D1339" s="6" t="s">
        <v>135</v>
      </c>
      <c r="E1339" s="6" t="s">
        <v>89</v>
      </c>
      <c r="F1339" s="6" t="s">
        <v>162</v>
      </c>
      <c r="G1339" s="6" t="n">
        <v>37</v>
      </c>
      <c r="H1339" s="6" t="s">
        <v>80</v>
      </c>
      <c r="I1339" s="6" t="s">
        <v>82</v>
      </c>
      <c r="J1339" s="6" t="s">
        <v>58</v>
      </c>
      <c r="K1339" s="6" t="n">
        <v>39628</v>
      </c>
      <c r="L1339" s="6" t="n">
        <v>38076</v>
      </c>
      <c r="M1339" s="6" t="s">
        <v>142</v>
      </c>
      <c r="N1339" s="6" t="n">
        <v>53</v>
      </c>
      <c r="O1339" s="6" t="s">
        <v>58</v>
      </c>
      <c r="P1339" s="6" t="n">
        <v>5</v>
      </c>
      <c r="Q1339" s="6" t="n">
        <v>32.87</v>
      </c>
      <c r="R1339" s="20" t="n">
        <f aca="false">(L1339-K1339)/K1339</f>
        <v>-0.0391642273140204</v>
      </c>
    </row>
    <row r="1340" customFormat="false" ht="15" hidden="false" customHeight="false" outlineLevel="0" collapsed="false">
      <c r="A1340" s="6" t="s">
        <v>1502</v>
      </c>
      <c r="B1340" s="6" t="n">
        <v>57</v>
      </c>
      <c r="C1340" s="6" t="s">
        <v>134</v>
      </c>
      <c r="D1340" s="6" t="s">
        <v>140</v>
      </c>
      <c r="E1340" s="6" t="s">
        <v>88</v>
      </c>
      <c r="F1340" s="6" t="s">
        <v>179</v>
      </c>
      <c r="G1340" s="6" t="n">
        <v>33</v>
      </c>
      <c r="H1340" s="6" t="s">
        <v>82</v>
      </c>
      <c r="I1340" s="6" t="s">
        <v>82</v>
      </c>
      <c r="J1340" s="6" t="s">
        <v>58</v>
      </c>
      <c r="K1340" s="6" t="n">
        <v>116158</v>
      </c>
      <c r="L1340" s="6" t="n">
        <v>101766</v>
      </c>
      <c r="M1340" s="6" t="s">
        <v>137</v>
      </c>
      <c r="N1340" s="6" t="n">
        <v>47</v>
      </c>
      <c r="O1340" s="6" t="s">
        <v>58</v>
      </c>
      <c r="P1340" s="6" t="n">
        <v>4</v>
      </c>
      <c r="Q1340" s="6" t="n">
        <v>7.72</v>
      </c>
      <c r="R1340" s="20" t="n">
        <f aca="false">(L1340-K1340)/K1340</f>
        <v>-0.123900204893335</v>
      </c>
    </row>
    <row r="1341" customFormat="false" ht="15" hidden="false" customHeight="false" outlineLevel="0" collapsed="false">
      <c r="A1341" s="6" t="s">
        <v>1503</v>
      </c>
      <c r="B1341" s="6" t="n">
        <v>37</v>
      </c>
      <c r="C1341" s="6" t="s">
        <v>139</v>
      </c>
      <c r="D1341" s="6" t="s">
        <v>135</v>
      </c>
      <c r="E1341" s="6" t="s">
        <v>91</v>
      </c>
      <c r="F1341" s="6" t="s">
        <v>141</v>
      </c>
      <c r="G1341" s="6" t="n">
        <v>12</v>
      </c>
      <c r="H1341" s="6" t="s">
        <v>81</v>
      </c>
      <c r="I1341" s="6" t="s">
        <v>80</v>
      </c>
      <c r="J1341" s="6" t="s">
        <v>60</v>
      </c>
      <c r="K1341" s="6" t="n">
        <v>34576</v>
      </c>
      <c r="L1341" s="6" t="n">
        <v>33994</v>
      </c>
      <c r="M1341" s="6" t="s">
        <v>142</v>
      </c>
      <c r="N1341" s="6" t="n">
        <v>39</v>
      </c>
      <c r="O1341" s="6" t="s">
        <v>60</v>
      </c>
      <c r="P1341" s="6" t="n">
        <v>8</v>
      </c>
      <c r="Q1341" s="6" t="n">
        <v>39.8</v>
      </c>
      <c r="R1341" s="20" t="n">
        <f aca="false">(L1341-K1341)/K1341</f>
        <v>-0.0168324849606664</v>
      </c>
    </row>
    <row r="1342" customFormat="false" ht="15" hidden="false" customHeight="false" outlineLevel="0" collapsed="false">
      <c r="A1342" s="6" t="s">
        <v>1504</v>
      </c>
      <c r="B1342" s="6" t="n">
        <v>48</v>
      </c>
      <c r="C1342" s="6" t="s">
        <v>159</v>
      </c>
      <c r="D1342" s="6" t="s">
        <v>148</v>
      </c>
      <c r="E1342" s="6" t="s">
        <v>90</v>
      </c>
      <c r="F1342" s="6" t="s">
        <v>202</v>
      </c>
      <c r="G1342" s="6" t="n">
        <v>23</v>
      </c>
      <c r="H1342" s="6" t="s">
        <v>81</v>
      </c>
      <c r="I1342" s="6" t="s">
        <v>82</v>
      </c>
      <c r="J1342" s="6" t="s">
        <v>58</v>
      </c>
      <c r="K1342" s="6" t="n">
        <v>74518</v>
      </c>
      <c r="L1342" s="6" t="n">
        <v>67760</v>
      </c>
      <c r="M1342" s="6" t="s">
        <v>142</v>
      </c>
      <c r="N1342" s="6" t="n">
        <v>38</v>
      </c>
      <c r="O1342" s="6" t="s">
        <v>58</v>
      </c>
      <c r="P1342" s="6" t="n">
        <v>8</v>
      </c>
      <c r="Q1342" s="6" t="n">
        <v>13.25</v>
      </c>
      <c r="R1342" s="20" t="n">
        <f aca="false">(L1342-K1342)/K1342</f>
        <v>-0.0906894978394482</v>
      </c>
    </row>
    <row r="1343" customFormat="false" ht="15" hidden="false" customHeight="false" outlineLevel="0" collapsed="false">
      <c r="A1343" s="6" t="s">
        <v>1505</v>
      </c>
      <c r="B1343" s="6" t="n">
        <v>40</v>
      </c>
      <c r="C1343" s="6" t="s">
        <v>134</v>
      </c>
      <c r="D1343" s="6" t="s">
        <v>140</v>
      </c>
      <c r="E1343" s="6" t="s">
        <v>91</v>
      </c>
      <c r="F1343" s="6" t="s">
        <v>141</v>
      </c>
      <c r="G1343" s="6" t="n">
        <v>18</v>
      </c>
      <c r="H1343" s="6" t="s">
        <v>81</v>
      </c>
      <c r="I1343" s="6" t="s">
        <v>82</v>
      </c>
      <c r="J1343" s="6" t="s">
        <v>60</v>
      </c>
      <c r="K1343" s="6" t="n">
        <v>72036</v>
      </c>
      <c r="L1343" s="6" t="n">
        <v>71892</v>
      </c>
      <c r="M1343" s="6" t="s">
        <v>142</v>
      </c>
      <c r="N1343" s="6" t="n">
        <v>48</v>
      </c>
      <c r="O1343" s="6" t="s">
        <v>60</v>
      </c>
      <c r="P1343" s="6" t="n">
        <v>8</v>
      </c>
      <c r="Q1343" s="6" t="n">
        <v>6.23</v>
      </c>
      <c r="R1343" s="20" t="n">
        <f aca="false">(L1343-K1343)/K1343</f>
        <v>-0.00199900049975013</v>
      </c>
    </row>
    <row r="1344" customFormat="false" ht="15" hidden="false" customHeight="false" outlineLevel="0" collapsed="false">
      <c r="A1344" s="6" t="s">
        <v>1506</v>
      </c>
      <c r="B1344" s="6" t="n">
        <v>31</v>
      </c>
      <c r="C1344" s="6" t="s">
        <v>134</v>
      </c>
      <c r="D1344" s="6" t="s">
        <v>140</v>
      </c>
      <c r="E1344" s="6" t="s">
        <v>88</v>
      </c>
      <c r="F1344" s="6" t="s">
        <v>157</v>
      </c>
      <c r="G1344" s="6" t="n">
        <v>5</v>
      </c>
      <c r="H1344" s="6" t="s">
        <v>81</v>
      </c>
      <c r="I1344" s="6" t="s">
        <v>81</v>
      </c>
      <c r="J1344" s="6" t="s">
        <v>60</v>
      </c>
      <c r="K1344" s="6" t="n">
        <v>107078</v>
      </c>
      <c r="L1344" s="6" t="n">
        <v>103541</v>
      </c>
      <c r="M1344" s="6" t="s">
        <v>146</v>
      </c>
      <c r="N1344" s="6" t="n">
        <v>47</v>
      </c>
      <c r="O1344" s="6" t="s">
        <v>58</v>
      </c>
      <c r="P1344" s="6" t="n">
        <v>7</v>
      </c>
      <c r="Q1344" s="6" t="n">
        <v>35.34</v>
      </c>
      <c r="R1344" s="20" t="n">
        <f aca="false">(L1344-K1344)/K1344</f>
        <v>-0.0330319953678627</v>
      </c>
    </row>
    <row r="1345" customFormat="false" ht="15" hidden="false" customHeight="false" outlineLevel="0" collapsed="false">
      <c r="A1345" s="6" t="s">
        <v>1507</v>
      </c>
      <c r="B1345" s="6" t="n">
        <v>34</v>
      </c>
      <c r="C1345" s="6" t="s">
        <v>159</v>
      </c>
      <c r="D1345" s="6" t="s">
        <v>135</v>
      </c>
      <c r="E1345" s="6" t="s">
        <v>88</v>
      </c>
      <c r="F1345" s="6" t="s">
        <v>157</v>
      </c>
      <c r="G1345" s="6" t="n">
        <v>10</v>
      </c>
      <c r="H1345" s="6" t="s">
        <v>81</v>
      </c>
      <c r="I1345" s="6" t="s">
        <v>82</v>
      </c>
      <c r="J1345" s="6" t="s">
        <v>58</v>
      </c>
      <c r="K1345" s="6" t="n">
        <v>80481</v>
      </c>
      <c r="L1345" s="6" t="n">
        <v>82268</v>
      </c>
      <c r="M1345" s="6" t="s">
        <v>142</v>
      </c>
      <c r="N1345" s="6" t="n">
        <v>50</v>
      </c>
      <c r="O1345" s="6" t="s">
        <v>58</v>
      </c>
      <c r="P1345" s="6" t="n">
        <v>7</v>
      </c>
      <c r="Q1345" s="6" t="n">
        <v>-9.36</v>
      </c>
      <c r="R1345" s="20" t="n">
        <f aca="false">(L1345-K1345)/K1345</f>
        <v>0.0222039984592637</v>
      </c>
    </row>
    <row r="1346" customFormat="false" ht="15" hidden="false" customHeight="false" outlineLevel="0" collapsed="false">
      <c r="A1346" s="6" t="s">
        <v>1508</v>
      </c>
      <c r="B1346" s="6" t="n">
        <v>23</v>
      </c>
      <c r="C1346" s="6" t="s">
        <v>159</v>
      </c>
      <c r="D1346" s="6" t="s">
        <v>148</v>
      </c>
      <c r="E1346" s="6" t="s">
        <v>93</v>
      </c>
      <c r="F1346" s="6" t="s">
        <v>181</v>
      </c>
      <c r="G1346" s="6" t="n">
        <v>0</v>
      </c>
      <c r="H1346" s="6" t="s">
        <v>82</v>
      </c>
      <c r="I1346" s="6" t="s">
        <v>80</v>
      </c>
      <c r="J1346" s="6" t="s">
        <v>60</v>
      </c>
      <c r="K1346" s="6" t="n">
        <v>98304</v>
      </c>
      <c r="L1346" s="6" t="n">
        <v>133713</v>
      </c>
      <c r="M1346" s="6" t="s">
        <v>142</v>
      </c>
      <c r="N1346" s="6" t="n">
        <v>42</v>
      </c>
      <c r="O1346" s="6" t="s">
        <v>58</v>
      </c>
      <c r="P1346" s="6" t="n">
        <v>8</v>
      </c>
      <c r="Q1346" s="6" t="n">
        <v>12.54</v>
      </c>
      <c r="R1346" s="20" t="n">
        <f aca="false">(L1346-K1346)/K1346</f>
        <v>0.360198974609375</v>
      </c>
    </row>
    <row r="1347" customFormat="false" ht="15" hidden="false" customHeight="false" outlineLevel="0" collapsed="false">
      <c r="A1347" s="6" t="s">
        <v>1509</v>
      </c>
      <c r="B1347" s="6" t="n">
        <v>25</v>
      </c>
      <c r="C1347" s="6" t="s">
        <v>159</v>
      </c>
      <c r="D1347" s="6" t="s">
        <v>135</v>
      </c>
      <c r="E1347" s="6" t="s">
        <v>88</v>
      </c>
      <c r="F1347" s="6" t="s">
        <v>157</v>
      </c>
      <c r="G1347" s="6" t="n">
        <v>1</v>
      </c>
      <c r="H1347" s="6" t="s">
        <v>82</v>
      </c>
      <c r="I1347" s="6" t="s">
        <v>80</v>
      </c>
      <c r="J1347" s="6" t="s">
        <v>60</v>
      </c>
      <c r="K1347" s="6" t="n">
        <v>31160</v>
      </c>
      <c r="L1347" s="6" t="n">
        <v>40074</v>
      </c>
      <c r="M1347" s="6" t="s">
        <v>142</v>
      </c>
      <c r="N1347" s="6" t="n">
        <v>40</v>
      </c>
      <c r="O1347" s="6" t="s">
        <v>58</v>
      </c>
      <c r="P1347" s="6" t="n">
        <v>7</v>
      </c>
      <c r="Q1347" s="6" t="n">
        <v>-14.75</v>
      </c>
      <c r="R1347" s="20" t="n">
        <f aca="false">(L1347-K1347)/K1347</f>
        <v>0.28607188703466</v>
      </c>
    </row>
    <row r="1348" customFormat="false" ht="15" hidden="false" customHeight="false" outlineLevel="0" collapsed="false">
      <c r="A1348" s="6" t="s">
        <v>1510</v>
      </c>
      <c r="B1348" s="6" t="n">
        <v>42</v>
      </c>
      <c r="C1348" s="6" t="s">
        <v>134</v>
      </c>
      <c r="D1348" s="6" t="s">
        <v>144</v>
      </c>
      <c r="E1348" s="6" t="s">
        <v>88</v>
      </c>
      <c r="F1348" s="6" t="s">
        <v>157</v>
      </c>
      <c r="G1348" s="6" t="n">
        <v>19</v>
      </c>
      <c r="H1348" s="6" t="s">
        <v>81</v>
      </c>
      <c r="I1348" s="6" t="s">
        <v>80</v>
      </c>
      <c r="J1348" s="6" t="s">
        <v>58</v>
      </c>
      <c r="K1348" s="6" t="n">
        <v>43882</v>
      </c>
      <c r="L1348" s="6" t="n">
        <v>49064</v>
      </c>
      <c r="M1348" s="6" t="s">
        <v>142</v>
      </c>
      <c r="N1348" s="6" t="n">
        <v>50</v>
      </c>
      <c r="O1348" s="6" t="s">
        <v>58</v>
      </c>
      <c r="P1348" s="6" t="n">
        <v>6</v>
      </c>
      <c r="Q1348" s="6" t="n">
        <v>14.79</v>
      </c>
      <c r="R1348" s="20" t="n">
        <f aca="false">(L1348-K1348)/K1348</f>
        <v>0.118089421630737</v>
      </c>
    </row>
    <row r="1349" customFormat="false" ht="15" hidden="false" customHeight="false" outlineLevel="0" collapsed="false">
      <c r="A1349" s="6" t="s">
        <v>1511</v>
      </c>
      <c r="B1349" s="6" t="n">
        <v>58</v>
      </c>
      <c r="C1349" s="6" t="s">
        <v>139</v>
      </c>
      <c r="D1349" s="6" t="s">
        <v>148</v>
      </c>
      <c r="E1349" s="6" t="s">
        <v>87</v>
      </c>
      <c r="F1349" s="6" t="s">
        <v>149</v>
      </c>
      <c r="G1349" s="6" t="n">
        <v>35</v>
      </c>
      <c r="H1349" s="6" t="s">
        <v>81</v>
      </c>
      <c r="I1349" s="6" t="s">
        <v>82</v>
      </c>
      <c r="J1349" s="6" t="s">
        <v>60</v>
      </c>
      <c r="K1349" s="6" t="n">
        <v>75278</v>
      </c>
      <c r="L1349" s="6" t="n">
        <v>74553</v>
      </c>
      <c r="M1349" s="6" t="s">
        <v>142</v>
      </c>
      <c r="N1349" s="6" t="n">
        <v>43</v>
      </c>
      <c r="O1349" s="6" t="s">
        <v>60</v>
      </c>
      <c r="P1349" s="6" t="n">
        <v>4</v>
      </c>
      <c r="Q1349" s="6" t="n">
        <v>7.8</v>
      </c>
      <c r="R1349" s="20" t="n">
        <f aca="false">(L1349-K1349)/K1349</f>
        <v>-0.00963096787906161</v>
      </c>
    </row>
    <row r="1350" customFormat="false" ht="15" hidden="false" customHeight="false" outlineLevel="0" collapsed="false">
      <c r="A1350" s="6" t="s">
        <v>1512</v>
      </c>
      <c r="B1350" s="6" t="n">
        <v>46</v>
      </c>
      <c r="C1350" s="6" t="s">
        <v>139</v>
      </c>
      <c r="D1350" s="6" t="s">
        <v>144</v>
      </c>
      <c r="E1350" s="6" t="s">
        <v>91</v>
      </c>
      <c r="F1350" s="6" t="s">
        <v>141</v>
      </c>
      <c r="G1350" s="6" t="n">
        <v>21</v>
      </c>
      <c r="H1350" s="6" t="s">
        <v>82</v>
      </c>
      <c r="I1350" s="6" t="s">
        <v>82</v>
      </c>
      <c r="J1350" s="6" t="s">
        <v>60</v>
      </c>
      <c r="K1350" s="6" t="n">
        <v>31212</v>
      </c>
      <c r="L1350" s="6" t="n">
        <v>30637</v>
      </c>
      <c r="M1350" s="6" t="s">
        <v>146</v>
      </c>
      <c r="N1350" s="6" t="n">
        <v>46</v>
      </c>
      <c r="O1350" s="6" t="s">
        <v>60</v>
      </c>
      <c r="P1350" s="6" t="n">
        <v>3</v>
      </c>
      <c r="Q1350" s="6" t="n">
        <v>19.74</v>
      </c>
      <c r="R1350" s="20" t="n">
        <f aca="false">(L1350-K1350)/K1350</f>
        <v>-0.0184224016403947</v>
      </c>
    </row>
    <row r="1351" customFormat="false" ht="15" hidden="false" customHeight="false" outlineLevel="0" collapsed="false">
      <c r="A1351" s="6" t="s">
        <v>1513</v>
      </c>
      <c r="B1351" s="6" t="n">
        <v>57</v>
      </c>
      <c r="C1351" s="6" t="s">
        <v>139</v>
      </c>
      <c r="D1351" s="6" t="s">
        <v>140</v>
      </c>
      <c r="E1351" s="6" t="s">
        <v>91</v>
      </c>
      <c r="F1351" s="6" t="s">
        <v>208</v>
      </c>
      <c r="G1351" s="6" t="n">
        <v>35</v>
      </c>
      <c r="H1351" s="6" t="s">
        <v>81</v>
      </c>
      <c r="I1351" s="6" t="s">
        <v>80</v>
      </c>
      <c r="J1351" s="6" t="s">
        <v>60</v>
      </c>
      <c r="K1351" s="6" t="n">
        <v>55854</v>
      </c>
      <c r="L1351" s="6" t="n">
        <v>57395</v>
      </c>
      <c r="M1351" s="6" t="s">
        <v>142</v>
      </c>
      <c r="N1351" s="6" t="n">
        <v>48</v>
      </c>
      <c r="O1351" s="6" t="s">
        <v>60</v>
      </c>
      <c r="P1351" s="6" t="n">
        <v>8</v>
      </c>
      <c r="Q1351" s="6" t="n">
        <v>-5.17</v>
      </c>
      <c r="R1351" s="20" t="n">
        <f aca="false">(L1351-K1351)/K1351</f>
        <v>0.0275897876606868</v>
      </c>
    </row>
    <row r="1352" customFormat="false" ht="15" hidden="false" customHeight="false" outlineLevel="0" collapsed="false">
      <c r="A1352" s="6" t="s">
        <v>1514</v>
      </c>
      <c r="B1352" s="6" t="n">
        <v>46</v>
      </c>
      <c r="C1352" s="6" t="s">
        <v>134</v>
      </c>
      <c r="D1352" s="6" t="s">
        <v>140</v>
      </c>
      <c r="E1352" s="6" t="s">
        <v>92</v>
      </c>
      <c r="F1352" s="6" t="s">
        <v>136</v>
      </c>
      <c r="G1352" s="6" t="n">
        <v>20</v>
      </c>
      <c r="H1352" s="6" t="s">
        <v>80</v>
      </c>
      <c r="I1352" s="6" t="s">
        <v>80</v>
      </c>
      <c r="J1352" s="6" t="s">
        <v>58</v>
      </c>
      <c r="K1352" s="6" t="n">
        <v>67905</v>
      </c>
      <c r="L1352" s="6" t="n">
        <v>73593</v>
      </c>
      <c r="M1352" s="6" t="s">
        <v>142</v>
      </c>
      <c r="N1352" s="6" t="n">
        <v>49</v>
      </c>
      <c r="O1352" s="6" t="s">
        <v>60</v>
      </c>
      <c r="P1352" s="6" t="n">
        <v>7</v>
      </c>
      <c r="Q1352" s="6" t="n">
        <v>-8.21</v>
      </c>
      <c r="R1352" s="20" t="n">
        <f aca="false">(L1352-K1352)/K1352</f>
        <v>0.0837640821736249</v>
      </c>
    </row>
    <row r="1353" customFormat="false" ht="15" hidden="false" customHeight="false" outlineLevel="0" collapsed="false">
      <c r="A1353" s="6" t="s">
        <v>1515</v>
      </c>
      <c r="B1353" s="6" t="n">
        <v>28</v>
      </c>
      <c r="C1353" s="6" t="s">
        <v>139</v>
      </c>
      <c r="D1353" s="6" t="s">
        <v>135</v>
      </c>
      <c r="E1353" s="6" t="s">
        <v>92</v>
      </c>
      <c r="F1353" s="6" t="s">
        <v>192</v>
      </c>
      <c r="G1353" s="6" t="n">
        <v>6</v>
      </c>
      <c r="H1353" s="6" t="s">
        <v>81</v>
      </c>
      <c r="I1353" s="6" t="s">
        <v>81</v>
      </c>
      <c r="J1353" s="6" t="s">
        <v>60</v>
      </c>
      <c r="K1353" s="6" t="n">
        <v>38625</v>
      </c>
      <c r="L1353" s="6" t="n">
        <v>38036</v>
      </c>
      <c r="M1353" s="6" t="s">
        <v>146</v>
      </c>
      <c r="N1353" s="6" t="n">
        <v>47</v>
      </c>
      <c r="O1353" s="6" t="s">
        <v>58</v>
      </c>
      <c r="P1353" s="6" t="n">
        <v>9</v>
      </c>
      <c r="Q1353" s="6" t="n">
        <v>2.68</v>
      </c>
      <c r="R1353" s="20" t="n">
        <f aca="false">(L1353-K1353)/K1353</f>
        <v>-0.0152491909385113</v>
      </c>
    </row>
    <row r="1354" customFormat="false" ht="15" hidden="false" customHeight="false" outlineLevel="0" collapsed="false">
      <c r="A1354" s="6" t="s">
        <v>1516</v>
      </c>
      <c r="B1354" s="6" t="n">
        <v>44</v>
      </c>
      <c r="C1354" s="6" t="s">
        <v>139</v>
      </c>
      <c r="D1354" s="6" t="s">
        <v>135</v>
      </c>
      <c r="E1354" s="6" t="s">
        <v>91</v>
      </c>
      <c r="F1354" s="6" t="s">
        <v>208</v>
      </c>
      <c r="G1354" s="6" t="n">
        <v>18</v>
      </c>
      <c r="H1354" s="6" t="s">
        <v>80</v>
      </c>
      <c r="I1354" s="6" t="s">
        <v>80</v>
      </c>
      <c r="J1354" s="6" t="s">
        <v>60</v>
      </c>
      <c r="K1354" s="6" t="n">
        <v>59717</v>
      </c>
      <c r="L1354" s="6" t="n">
        <v>58961</v>
      </c>
      <c r="M1354" s="6" t="s">
        <v>142</v>
      </c>
      <c r="N1354" s="6" t="n">
        <v>37</v>
      </c>
      <c r="O1354" s="6" t="s">
        <v>58</v>
      </c>
      <c r="P1354" s="6" t="n">
        <v>9</v>
      </c>
      <c r="Q1354" s="6" t="n">
        <v>-0.53</v>
      </c>
      <c r="R1354" s="20" t="n">
        <f aca="false">(L1354-K1354)/K1354</f>
        <v>-0.0126597116399015</v>
      </c>
    </row>
    <row r="1355" customFormat="false" ht="15" hidden="false" customHeight="false" outlineLevel="0" collapsed="false">
      <c r="A1355" s="6" t="s">
        <v>1517</v>
      </c>
      <c r="B1355" s="6" t="n">
        <v>31</v>
      </c>
      <c r="C1355" s="6" t="s">
        <v>134</v>
      </c>
      <c r="D1355" s="6" t="s">
        <v>135</v>
      </c>
      <c r="E1355" s="6" t="s">
        <v>92</v>
      </c>
      <c r="F1355" s="6" t="s">
        <v>136</v>
      </c>
      <c r="G1355" s="6" t="n">
        <v>7</v>
      </c>
      <c r="H1355" s="6" t="s">
        <v>81</v>
      </c>
      <c r="I1355" s="6" t="s">
        <v>82</v>
      </c>
      <c r="J1355" s="6" t="s">
        <v>58</v>
      </c>
      <c r="K1355" s="6" t="n">
        <v>51604</v>
      </c>
      <c r="L1355" s="6" t="n">
        <v>58879</v>
      </c>
      <c r="M1355" s="6" t="s">
        <v>142</v>
      </c>
      <c r="N1355" s="6" t="n">
        <v>47</v>
      </c>
      <c r="O1355" s="6" t="s">
        <v>58</v>
      </c>
      <c r="P1355" s="6" t="n">
        <v>4</v>
      </c>
      <c r="Q1355" s="6" t="n">
        <v>33.84</v>
      </c>
      <c r="R1355" s="20" t="n">
        <f aca="false">(L1355-K1355)/K1355</f>
        <v>0.140977443609023</v>
      </c>
    </row>
    <row r="1356" customFormat="false" ht="15" hidden="false" customHeight="false" outlineLevel="0" collapsed="false">
      <c r="A1356" s="6" t="s">
        <v>1518</v>
      </c>
      <c r="B1356" s="6" t="n">
        <v>23</v>
      </c>
      <c r="C1356" s="6" t="s">
        <v>134</v>
      </c>
      <c r="D1356" s="6" t="s">
        <v>144</v>
      </c>
      <c r="E1356" s="6" t="s">
        <v>91</v>
      </c>
      <c r="F1356" s="6" t="s">
        <v>208</v>
      </c>
      <c r="G1356" s="6" t="n">
        <v>0</v>
      </c>
      <c r="H1356" s="6" t="s">
        <v>80</v>
      </c>
      <c r="I1356" s="6" t="s">
        <v>80</v>
      </c>
      <c r="J1356" s="6" t="s">
        <v>60</v>
      </c>
      <c r="K1356" s="6" t="n">
        <v>71787</v>
      </c>
      <c r="L1356" s="6" t="n">
        <v>71286</v>
      </c>
      <c r="M1356" s="6" t="s">
        <v>142</v>
      </c>
      <c r="N1356" s="6" t="n">
        <v>53</v>
      </c>
      <c r="O1356" s="6" t="s">
        <v>60</v>
      </c>
      <c r="P1356" s="6" t="n">
        <v>8</v>
      </c>
      <c r="Q1356" s="6" t="n">
        <v>-2.38</v>
      </c>
      <c r="R1356" s="20" t="n">
        <f aca="false">(L1356-K1356)/K1356</f>
        <v>-0.00697897948096452</v>
      </c>
    </row>
    <row r="1357" customFormat="false" ht="15" hidden="false" customHeight="false" outlineLevel="0" collapsed="false">
      <c r="A1357" s="6" t="s">
        <v>1519</v>
      </c>
      <c r="B1357" s="6" t="n">
        <v>43</v>
      </c>
      <c r="C1357" s="6" t="s">
        <v>139</v>
      </c>
      <c r="D1357" s="6" t="s">
        <v>135</v>
      </c>
      <c r="E1357" s="6" t="s">
        <v>91</v>
      </c>
      <c r="F1357" s="6" t="s">
        <v>208</v>
      </c>
      <c r="G1357" s="6" t="n">
        <v>17</v>
      </c>
      <c r="H1357" s="6" t="s">
        <v>82</v>
      </c>
      <c r="I1357" s="6" t="s">
        <v>82</v>
      </c>
      <c r="J1357" s="6" t="s">
        <v>60</v>
      </c>
      <c r="K1357" s="6" t="n">
        <v>61996</v>
      </c>
      <c r="L1357" s="6" t="n">
        <v>74850</v>
      </c>
      <c r="M1357" s="6" t="s">
        <v>137</v>
      </c>
      <c r="N1357" s="6" t="n">
        <v>35</v>
      </c>
      <c r="O1357" s="6" t="s">
        <v>60</v>
      </c>
      <c r="P1357" s="6" t="n">
        <v>6</v>
      </c>
      <c r="Q1357" s="6" t="n">
        <v>3.52</v>
      </c>
      <c r="R1357" s="20" t="n">
        <f aca="false">(L1357-K1357)/K1357</f>
        <v>0.207335957158526</v>
      </c>
    </row>
    <row r="1358" customFormat="false" ht="15" hidden="false" customHeight="false" outlineLevel="0" collapsed="false">
      <c r="A1358" s="6" t="s">
        <v>1520</v>
      </c>
      <c r="B1358" s="6" t="n">
        <v>24</v>
      </c>
      <c r="C1358" s="6" t="s">
        <v>134</v>
      </c>
      <c r="D1358" s="6" t="s">
        <v>144</v>
      </c>
      <c r="E1358" s="6" t="s">
        <v>87</v>
      </c>
      <c r="F1358" s="6" t="s">
        <v>160</v>
      </c>
      <c r="G1358" s="6" t="n">
        <v>0</v>
      </c>
      <c r="H1358" s="6" t="s">
        <v>81</v>
      </c>
      <c r="I1358" s="6" t="s">
        <v>81</v>
      </c>
      <c r="J1358" s="6" t="s">
        <v>58</v>
      </c>
      <c r="K1358" s="6" t="n">
        <v>113251</v>
      </c>
      <c r="L1358" s="6" t="n">
        <v>108836</v>
      </c>
      <c r="M1358" s="6" t="s">
        <v>146</v>
      </c>
      <c r="N1358" s="6" t="n">
        <v>40</v>
      </c>
      <c r="O1358" s="6" t="s">
        <v>60</v>
      </c>
      <c r="P1358" s="6" t="n">
        <v>9</v>
      </c>
      <c r="Q1358" s="6" t="n">
        <v>-11.19</v>
      </c>
      <c r="R1358" s="20" t="n">
        <f aca="false">(L1358-K1358)/K1358</f>
        <v>-0.0389842032299936</v>
      </c>
    </row>
    <row r="1359" customFormat="false" ht="15" hidden="false" customHeight="false" outlineLevel="0" collapsed="false">
      <c r="A1359" s="6" t="s">
        <v>1521</v>
      </c>
      <c r="B1359" s="6" t="n">
        <v>44</v>
      </c>
      <c r="C1359" s="6" t="s">
        <v>139</v>
      </c>
      <c r="D1359" s="6" t="s">
        <v>140</v>
      </c>
      <c r="E1359" s="6" t="s">
        <v>91</v>
      </c>
      <c r="F1359" s="6" t="s">
        <v>206</v>
      </c>
      <c r="G1359" s="6" t="n">
        <v>22</v>
      </c>
      <c r="H1359" s="6" t="s">
        <v>80</v>
      </c>
      <c r="I1359" s="6" t="s">
        <v>80</v>
      </c>
      <c r="J1359" s="6" t="s">
        <v>60</v>
      </c>
      <c r="K1359" s="6" t="n">
        <v>68031</v>
      </c>
      <c r="L1359" s="6" t="n">
        <v>72799</v>
      </c>
      <c r="M1359" s="6" t="s">
        <v>142</v>
      </c>
      <c r="N1359" s="6" t="n">
        <v>44</v>
      </c>
      <c r="O1359" s="6" t="s">
        <v>58</v>
      </c>
      <c r="P1359" s="6" t="n">
        <v>7</v>
      </c>
      <c r="Q1359" s="6" t="n">
        <v>7.23</v>
      </c>
      <c r="R1359" s="20" t="n">
        <f aca="false">(L1359-K1359)/K1359</f>
        <v>0.0700856962267202</v>
      </c>
    </row>
    <row r="1360" customFormat="false" ht="15" hidden="false" customHeight="false" outlineLevel="0" collapsed="false">
      <c r="A1360" s="6" t="s">
        <v>1522</v>
      </c>
      <c r="B1360" s="6" t="n">
        <v>33</v>
      </c>
      <c r="C1360" s="6" t="s">
        <v>134</v>
      </c>
      <c r="D1360" s="6" t="s">
        <v>144</v>
      </c>
      <c r="E1360" s="6" t="s">
        <v>92</v>
      </c>
      <c r="F1360" s="6" t="s">
        <v>192</v>
      </c>
      <c r="G1360" s="6" t="n">
        <v>7</v>
      </c>
      <c r="H1360" s="6" t="s">
        <v>81</v>
      </c>
      <c r="I1360" s="6" t="s">
        <v>82</v>
      </c>
      <c r="J1360" s="6" t="s">
        <v>58</v>
      </c>
      <c r="K1360" s="6" t="n">
        <v>117710</v>
      </c>
      <c r="L1360" s="6" t="n">
        <v>131345</v>
      </c>
      <c r="M1360" s="6" t="s">
        <v>142</v>
      </c>
      <c r="N1360" s="6" t="n">
        <v>46</v>
      </c>
      <c r="O1360" s="6" t="s">
        <v>60</v>
      </c>
      <c r="P1360" s="6" t="n">
        <v>5</v>
      </c>
      <c r="Q1360" s="6" t="n">
        <v>31.27</v>
      </c>
      <c r="R1360" s="20" t="n">
        <f aca="false">(L1360-K1360)/K1360</f>
        <v>0.115835527992524</v>
      </c>
    </row>
    <row r="1361" customFormat="false" ht="15" hidden="false" customHeight="false" outlineLevel="0" collapsed="false">
      <c r="A1361" s="6" t="s">
        <v>1523</v>
      </c>
      <c r="B1361" s="6" t="n">
        <v>56</v>
      </c>
      <c r="C1361" s="6" t="s">
        <v>134</v>
      </c>
      <c r="D1361" s="6" t="s">
        <v>148</v>
      </c>
      <c r="E1361" s="6" t="s">
        <v>91</v>
      </c>
      <c r="F1361" s="6" t="s">
        <v>206</v>
      </c>
      <c r="G1361" s="6" t="n">
        <v>33</v>
      </c>
      <c r="H1361" s="6" t="s">
        <v>81</v>
      </c>
      <c r="I1361" s="6" t="s">
        <v>82</v>
      </c>
      <c r="J1361" s="6" t="s">
        <v>60</v>
      </c>
      <c r="K1361" s="6" t="n">
        <v>58024</v>
      </c>
      <c r="L1361" s="6" t="n">
        <v>59449</v>
      </c>
      <c r="M1361" s="6" t="s">
        <v>142</v>
      </c>
      <c r="N1361" s="6" t="n">
        <v>52</v>
      </c>
      <c r="O1361" s="6" t="s">
        <v>58</v>
      </c>
      <c r="P1361" s="6" t="n">
        <v>3</v>
      </c>
      <c r="Q1361" s="6" t="n">
        <v>16.91</v>
      </c>
      <c r="R1361" s="20" t="n">
        <f aca="false">(L1361-K1361)/K1361</f>
        <v>0.024558803253826</v>
      </c>
    </row>
    <row r="1362" customFormat="false" ht="15" hidden="false" customHeight="false" outlineLevel="0" collapsed="false">
      <c r="A1362" s="6" t="s">
        <v>1524</v>
      </c>
      <c r="B1362" s="6" t="n">
        <v>46</v>
      </c>
      <c r="C1362" s="6" t="s">
        <v>134</v>
      </c>
      <c r="D1362" s="6" t="s">
        <v>140</v>
      </c>
      <c r="E1362" s="6" t="s">
        <v>89</v>
      </c>
      <c r="F1362" s="6" t="s">
        <v>162</v>
      </c>
      <c r="G1362" s="6" t="n">
        <v>20</v>
      </c>
      <c r="H1362" s="6" t="s">
        <v>81</v>
      </c>
      <c r="I1362" s="6" t="s">
        <v>81</v>
      </c>
      <c r="J1362" s="6" t="s">
        <v>58</v>
      </c>
      <c r="K1362" s="6" t="n">
        <v>59754</v>
      </c>
      <c r="L1362" s="6" t="n">
        <v>58322</v>
      </c>
      <c r="M1362" s="6" t="s">
        <v>146</v>
      </c>
      <c r="N1362" s="6" t="n">
        <v>45</v>
      </c>
      <c r="O1362" s="6" t="s">
        <v>60</v>
      </c>
      <c r="P1362" s="6" t="n">
        <v>5</v>
      </c>
      <c r="Q1362" s="6" t="n">
        <v>36.43</v>
      </c>
      <c r="R1362" s="20" t="n">
        <f aca="false">(L1362-K1362)/K1362</f>
        <v>-0.0239649228503531</v>
      </c>
    </row>
    <row r="1363" customFormat="false" ht="15" hidden="false" customHeight="false" outlineLevel="0" collapsed="false">
      <c r="A1363" s="6" t="s">
        <v>1525</v>
      </c>
      <c r="B1363" s="6" t="n">
        <v>53</v>
      </c>
      <c r="C1363" s="6" t="s">
        <v>139</v>
      </c>
      <c r="D1363" s="6" t="s">
        <v>144</v>
      </c>
      <c r="E1363" s="6" t="s">
        <v>91</v>
      </c>
      <c r="F1363" s="6" t="s">
        <v>141</v>
      </c>
      <c r="G1363" s="6" t="n">
        <v>30</v>
      </c>
      <c r="H1363" s="6" t="s">
        <v>80</v>
      </c>
      <c r="I1363" s="6" t="s">
        <v>82</v>
      </c>
      <c r="J1363" s="6" t="s">
        <v>60</v>
      </c>
      <c r="K1363" s="6" t="n">
        <v>85184</v>
      </c>
      <c r="L1363" s="6" t="n">
        <v>87837</v>
      </c>
      <c r="M1363" s="6" t="s">
        <v>142</v>
      </c>
      <c r="N1363" s="6" t="n">
        <v>37</v>
      </c>
      <c r="O1363" s="6" t="s">
        <v>58</v>
      </c>
      <c r="P1363" s="6" t="n">
        <v>8</v>
      </c>
      <c r="Q1363" s="6" t="n">
        <v>22.92</v>
      </c>
      <c r="R1363" s="20" t="n">
        <f aca="false">(L1363-K1363)/K1363</f>
        <v>0.0311443463561232</v>
      </c>
    </row>
    <row r="1364" customFormat="false" ht="15" hidden="false" customHeight="false" outlineLevel="0" collapsed="false">
      <c r="A1364" s="6" t="s">
        <v>1526</v>
      </c>
      <c r="B1364" s="6" t="n">
        <v>33</v>
      </c>
      <c r="C1364" s="6" t="s">
        <v>139</v>
      </c>
      <c r="D1364" s="6" t="s">
        <v>144</v>
      </c>
      <c r="E1364" s="6" t="s">
        <v>91</v>
      </c>
      <c r="F1364" s="6" t="s">
        <v>208</v>
      </c>
      <c r="G1364" s="6" t="n">
        <v>9</v>
      </c>
      <c r="H1364" s="6" t="s">
        <v>81</v>
      </c>
      <c r="I1364" s="6" t="s">
        <v>82</v>
      </c>
      <c r="J1364" s="6" t="s">
        <v>60</v>
      </c>
      <c r="K1364" s="6" t="n">
        <v>97850</v>
      </c>
      <c r="L1364" s="6" t="n">
        <v>97926</v>
      </c>
      <c r="M1364" s="6" t="s">
        <v>142</v>
      </c>
      <c r="N1364" s="6" t="n">
        <v>50</v>
      </c>
      <c r="O1364" s="6" t="s">
        <v>58</v>
      </c>
      <c r="P1364" s="6" t="n">
        <v>6</v>
      </c>
      <c r="Q1364" s="6" t="n">
        <v>13.64</v>
      </c>
      <c r="R1364" s="20" t="n">
        <f aca="false">(L1364-K1364)/K1364</f>
        <v>0.000776699029126214</v>
      </c>
    </row>
    <row r="1365" customFormat="false" ht="15" hidden="false" customHeight="false" outlineLevel="0" collapsed="false">
      <c r="A1365" s="6" t="s">
        <v>1527</v>
      </c>
      <c r="B1365" s="6" t="n">
        <v>52</v>
      </c>
      <c r="C1365" s="6" t="s">
        <v>159</v>
      </c>
      <c r="D1365" s="6" t="s">
        <v>148</v>
      </c>
      <c r="E1365" s="6" t="s">
        <v>92</v>
      </c>
      <c r="F1365" s="6" t="s">
        <v>192</v>
      </c>
      <c r="G1365" s="6" t="n">
        <v>27</v>
      </c>
      <c r="H1365" s="6" t="s">
        <v>82</v>
      </c>
      <c r="I1365" s="6" t="s">
        <v>80</v>
      </c>
      <c r="J1365" s="6" t="s">
        <v>60</v>
      </c>
      <c r="K1365" s="6" t="n">
        <v>47573</v>
      </c>
      <c r="L1365" s="6" t="n">
        <v>53135</v>
      </c>
      <c r="M1365" s="6" t="s">
        <v>142</v>
      </c>
      <c r="N1365" s="6" t="n">
        <v>37</v>
      </c>
      <c r="O1365" s="6" t="s">
        <v>58</v>
      </c>
      <c r="P1365" s="6" t="n">
        <v>7</v>
      </c>
      <c r="Q1365" s="6" t="n">
        <v>19.71</v>
      </c>
      <c r="R1365" s="20" t="n">
        <f aca="false">(L1365-K1365)/K1365</f>
        <v>0.116915056859984</v>
      </c>
    </row>
    <row r="1366" customFormat="false" ht="15" hidden="false" customHeight="false" outlineLevel="0" collapsed="false">
      <c r="A1366" s="6" t="s">
        <v>1528</v>
      </c>
      <c r="B1366" s="6" t="n">
        <v>43</v>
      </c>
      <c r="C1366" s="6" t="s">
        <v>159</v>
      </c>
      <c r="D1366" s="6" t="s">
        <v>144</v>
      </c>
      <c r="E1366" s="6" t="s">
        <v>88</v>
      </c>
      <c r="F1366" s="6" t="s">
        <v>234</v>
      </c>
      <c r="G1366" s="6" t="n">
        <v>21</v>
      </c>
      <c r="H1366" s="6" t="s">
        <v>82</v>
      </c>
      <c r="I1366" s="6" t="s">
        <v>82</v>
      </c>
      <c r="J1366" s="6" t="s">
        <v>58</v>
      </c>
      <c r="K1366" s="6" t="n">
        <v>91821</v>
      </c>
      <c r="L1366" s="6" t="n">
        <v>121337</v>
      </c>
      <c r="M1366" s="6" t="s">
        <v>137</v>
      </c>
      <c r="N1366" s="6" t="n">
        <v>47</v>
      </c>
      <c r="O1366" s="6" t="s">
        <v>60</v>
      </c>
      <c r="P1366" s="6" t="n">
        <v>5</v>
      </c>
      <c r="Q1366" s="6" t="n">
        <v>14.1</v>
      </c>
      <c r="R1366" s="20" t="n">
        <f aca="false">(L1366-K1366)/K1366</f>
        <v>0.321451519804838</v>
      </c>
    </row>
    <row r="1367" customFormat="false" ht="15" hidden="false" customHeight="false" outlineLevel="0" collapsed="false">
      <c r="A1367" s="6" t="s">
        <v>1529</v>
      </c>
      <c r="B1367" s="6" t="n">
        <v>23</v>
      </c>
      <c r="C1367" s="6" t="s">
        <v>134</v>
      </c>
      <c r="D1367" s="6" t="s">
        <v>135</v>
      </c>
      <c r="E1367" s="6" t="s">
        <v>92</v>
      </c>
      <c r="F1367" s="6" t="s">
        <v>222</v>
      </c>
      <c r="G1367" s="6" t="n">
        <v>0</v>
      </c>
      <c r="H1367" s="6" t="s">
        <v>80</v>
      </c>
      <c r="I1367" s="6" t="s">
        <v>82</v>
      </c>
      <c r="J1367" s="6" t="s">
        <v>60</v>
      </c>
      <c r="K1367" s="6" t="n">
        <v>66735</v>
      </c>
      <c r="L1367" s="6" t="n">
        <v>65685</v>
      </c>
      <c r="M1367" s="6" t="s">
        <v>142</v>
      </c>
      <c r="N1367" s="6" t="n">
        <v>52</v>
      </c>
      <c r="O1367" s="6" t="s">
        <v>60</v>
      </c>
      <c r="P1367" s="6" t="n">
        <v>9</v>
      </c>
      <c r="Q1367" s="6" t="n">
        <v>31.99</v>
      </c>
      <c r="R1367" s="20" t="n">
        <f aca="false">(L1367-K1367)/K1367</f>
        <v>-0.0157338727804001</v>
      </c>
    </row>
    <row r="1368" customFormat="false" ht="15" hidden="false" customHeight="false" outlineLevel="0" collapsed="false">
      <c r="A1368" s="6" t="s">
        <v>1530</v>
      </c>
      <c r="B1368" s="6" t="n">
        <v>57</v>
      </c>
      <c r="C1368" s="6" t="s">
        <v>159</v>
      </c>
      <c r="D1368" s="6" t="s">
        <v>148</v>
      </c>
      <c r="E1368" s="6" t="s">
        <v>93</v>
      </c>
      <c r="F1368" s="6" t="s">
        <v>197</v>
      </c>
      <c r="G1368" s="6" t="n">
        <v>35</v>
      </c>
      <c r="H1368" s="6" t="s">
        <v>82</v>
      </c>
      <c r="I1368" s="6" t="s">
        <v>81</v>
      </c>
      <c r="J1368" s="6" t="s">
        <v>58</v>
      </c>
      <c r="K1368" s="6" t="n">
        <v>61017</v>
      </c>
      <c r="L1368" s="6" t="n">
        <v>74367</v>
      </c>
      <c r="M1368" s="6" t="s">
        <v>146</v>
      </c>
      <c r="N1368" s="6" t="n">
        <v>42</v>
      </c>
      <c r="O1368" s="6" t="s">
        <v>58</v>
      </c>
      <c r="P1368" s="6" t="n">
        <v>5</v>
      </c>
      <c r="Q1368" s="6" t="n">
        <v>27.42</v>
      </c>
      <c r="R1368" s="20" t="n">
        <f aca="false">(L1368-K1368)/K1368</f>
        <v>0.21879148434043</v>
      </c>
    </row>
    <row r="1369" customFormat="false" ht="15" hidden="false" customHeight="false" outlineLevel="0" collapsed="false">
      <c r="A1369" s="6" t="s">
        <v>1531</v>
      </c>
      <c r="B1369" s="6" t="n">
        <v>58</v>
      </c>
      <c r="C1369" s="6" t="s">
        <v>139</v>
      </c>
      <c r="D1369" s="6" t="s">
        <v>135</v>
      </c>
      <c r="E1369" s="6" t="s">
        <v>92</v>
      </c>
      <c r="F1369" s="6" t="s">
        <v>136</v>
      </c>
      <c r="G1369" s="6" t="n">
        <v>35</v>
      </c>
      <c r="H1369" s="6" t="s">
        <v>81</v>
      </c>
      <c r="I1369" s="6" t="s">
        <v>81</v>
      </c>
      <c r="J1369" s="6" t="s">
        <v>60</v>
      </c>
      <c r="K1369" s="6" t="n">
        <v>63001</v>
      </c>
      <c r="L1369" s="6" t="n">
        <v>64459</v>
      </c>
      <c r="M1369" s="6" t="s">
        <v>146</v>
      </c>
      <c r="N1369" s="6" t="n">
        <v>43</v>
      </c>
      <c r="O1369" s="6" t="s">
        <v>60</v>
      </c>
      <c r="P1369" s="6" t="n">
        <v>5</v>
      </c>
      <c r="Q1369" s="6" t="n">
        <v>-6.12</v>
      </c>
      <c r="R1369" s="20" t="n">
        <f aca="false">(L1369-K1369)/K1369</f>
        <v>0.0231424898017492</v>
      </c>
    </row>
    <row r="1370" customFormat="false" ht="15" hidden="false" customHeight="false" outlineLevel="0" collapsed="false">
      <c r="A1370" s="6" t="s">
        <v>1532</v>
      </c>
      <c r="B1370" s="6" t="n">
        <v>52</v>
      </c>
      <c r="C1370" s="6" t="s">
        <v>159</v>
      </c>
      <c r="D1370" s="6" t="s">
        <v>148</v>
      </c>
      <c r="E1370" s="6" t="s">
        <v>92</v>
      </c>
      <c r="F1370" s="6" t="s">
        <v>222</v>
      </c>
      <c r="G1370" s="6" t="n">
        <v>29</v>
      </c>
      <c r="H1370" s="6" t="s">
        <v>80</v>
      </c>
      <c r="I1370" s="6" t="s">
        <v>82</v>
      </c>
      <c r="J1370" s="6" t="s">
        <v>58</v>
      </c>
      <c r="K1370" s="6" t="n">
        <v>94892</v>
      </c>
      <c r="L1370" s="6" t="n">
        <v>98329</v>
      </c>
      <c r="M1370" s="6" t="s">
        <v>142</v>
      </c>
      <c r="N1370" s="6" t="n">
        <v>46</v>
      </c>
      <c r="O1370" s="6" t="s">
        <v>60</v>
      </c>
      <c r="P1370" s="6" t="n">
        <v>4</v>
      </c>
      <c r="Q1370" s="6" t="n">
        <v>4.14</v>
      </c>
      <c r="R1370" s="20" t="n">
        <f aca="false">(L1370-K1370)/K1370</f>
        <v>0.0362201239303629</v>
      </c>
    </row>
    <row r="1371" customFormat="false" ht="15" hidden="false" customHeight="false" outlineLevel="0" collapsed="false">
      <c r="A1371" s="6" t="s">
        <v>1533</v>
      </c>
      <c r="B1371" s="6" t="n">
        <v>39</v>
      </c>
      <c r="C1371" s="6" t="s">
        <v>159</v>
      </c>
      <c r="D1371" s="6" t="s">
        <v>140</v>
      </c>
      <c r="E1371" s="6" t="s">
        <v>89</v>
      </c>
      <c r="F1371" s="6" t="s">
        <v>153</v>
      </c>
      <c r="G1371" s="6" t="n">
        <v>14</v>
      </c>
      <c r="H1371" s="6" t="s">
        <v>81</v>
      </c>
      <c r="I1371" s="6" t="s">
        <v>82</v>
      </c>
      <c r="J1371" s="6" t="s">
        <v>58</v>
      </c>
      <c r="K1371" s="6" t="n">
        <v>44961</v>
      </c>
      <c r="L1371" s="6" t="n">
        <v>51784</v>
      </c>
      <c r="M1371" s="6" t="s">
        <v>142</v>
      </c>
      <c r="N1371" s="6" t="n">
        <v>43</v>
      </c>
      <c r="O1371" s="6" t="s">
        <v>58</v>
      </c>
      <c r="P1371" s="6" t="n">
        <v>5</v>
      </c>
      <c r="Q1371" s="6" t="n">
        <v>-18.08</v>
      </c>
      <c r="R1371" s="20" t="n">
        <f aca="false">(L1371-K1371)/K1371</f>
        <v>0.15175374213207</v>
      </c>
    </row>
    <row r="1372" customFormat="false" ht="15" hidden="false" customHeight="false" outlineLevel="0" collapsed="false">
      <c r="A1372" s="6" t="s">
        <v>1534</v>
      </c>
      <c r="B1372" s="6" t="n">
        <v>38</v>
      </c>
      <c r="C1372" s="6" t="s">
        <v>159</v>
      </c>
      <c r="D1372" s="6" t="s">
        <v>148</v>
      </c>
      <c r="E1372" s="6" t="s">
        <v>89</v>
      </c>
      <c r="F1372" s="6" t="s">
        <v>151</v>
      </c>
      <c r="G1372" s="6" t="n">
        <v>15</v>
      </c>
      <c r="H1372" s="6" t="s">
        <v>82</v>
      </c>
      <c r="I1372" s="6" t="s">
        <v>82</v>
      </c>
      <c r="J1372" s="6" t="s">
        <v>58</v>
      </c>
      <c r="K1372" s="6" t="n">
        <v>108798</v>
      </c>
      <c r="L1372" s="6" t="n">
        <v>122523</v>
      </c>
      <c r="M1372" s="6" t="s">
        <v>137</v>
      </c>
      <c r="N1372" s="6" t="n">
        <v>54</v>
      </c>
      <c r="O1372" s="6" t="s">
        <v>58</v>
      </c>
      <c r="P1372" s="6" t="n">
        <v>8</v>
      </c>
      <c r="Q1372" s="6" t="n">
        <v>19.23</v>
      </c>
      <c r="R1372" s="20" t="n">
        <f aca="false">(L1372-K1372)/K1372</f>
        <v>0.126151216015</v>
      </c>
    </row>
    <row r="1373" customFormat="false" ht="15" hidden="false" customHeight="false" outlineLevel="0" collapsed="false">
      <c r="A1373" s="6" t="s">
        <v>1535</v>
      </c>
      <c r="B1373" s="6" t="n">
        <v>25</v>
      </c>
      <c r="C1373" s="6" t="s">
        <v>159</v>
      </c>
      <c r="D1373" s="6" t="s">
        <v>140</v>
      </c>
      <c r="E1373" s="6" t="s">
        <v>87</v>
      </c>
      <c r="F1373" s="6" t="s">
        <v>149</v>
      </c>
      <c r="G1373" s="6" t="n">
        <v>3</v>
      </c>
      <c r="H1373" s="6" t="s">
        <v>82</v>
      </c>
      <c r="I1373" s="6" t="s">
        <v>80</v>
      </c>
      <c r="J1373" s="6" t="s">
        <v>60</v>
      </c>
      <c r="K1373" s="6" t="n">
        <v>49333</v>
      </c>
      <c r="L1373" s="6" t="n">
        <v>41066</v>
      </c>
      <c r="M1373" s="6" t="s">
        <v>142</v>
      </c>
      <c r="N1373" s="6" t="n">
        <v>51</v>
      </c>
      <c r="O1373" s="6" t="s">
        <v>58</v>
      </c>
      <c r="P1373" s="6" t="n">
        <v>6</v>
      </c>
      <c r="Q1373" s="6" t="n">
        <v>7.43</v>
      </c>
      <c r="R1373" s="20" t="n">
        <f aca="false">(L1373-K1373)/K1373</f>
        <v>-0.167575456590923</v>
      </c>
    </row>
    <row r="1374" customFormat="false" ht="15" hidden="false" customHeight="false" outlineLevel="0" collapsed="false">
      <c r="A1374" s="6" t="s">
        <v>1536</v>
      </c>
      <c r="B1374" s="6" t="n">
        <v>56</v>
      </c>
      <c r="C1374" s="6" t="s">
        <v>134</v>
      </c>
      <c r="D1374" s="6" t="s">
        <v>144</v>
      </c>
      <c r="E1374" s="6" t="s">
        <v>89</v>
      </c>
      <c r="F1374" s="6" t="s">
        <v>153</v>
      </c>
      <c r="G1374" s="6" t="n">
        <v>30</v>
      </c>
      <c r="H1374" s="6" t="s">
        <v>82</v>
      </c>
      <c r="I1374" s="6" t="s">
        <v>80</v>
      </c>
      <c r="J1374" s="6" t="s">
        <v>60</v>
      </c>
      <c r="K1374" s="6" t="n">
        <v>99109</v>
      </c>
      <c r="L1374" s="6" t="n">
        <v>122808</v>
      </c>
      <c r="M1374" s="6" t="s">
        <v>142</v>
      </c>
      <c r="N1374" s="6" t="n">
        <v>52</v>
      </c>
      <c r="O1374" s="6" t="s">
        <v>58</v>
      </c>
      <c r="P1374" s="6" t="n">
        <v>9</v>
      </c>
      <c r="Q1374" s="6" t="n">
        <v>3.03</v>
      </c>
      <c r="R1374" s="20" t="n">
        <f aca="false">(L1374-K1374)/K1374</f>
        <v>0.239120564227265</v>
      </c>
    </row>
    <row r="1375" customFormat="false" ht="15" hidden="false" customHeight="false" outlineLevel="0" collapsed="false">
      <c r="A1375" s="6" t="s">
        <v>1537</v>
      </c>
      <c r="B1375" s="6" t="n">
        <v>58</v>
      </c>
      <c r="C1375" s="6" t="s">
        <v>159</v>
      </c>
      <c r="D1375" s="6" t="s">
        <v>135</v>
      </c>
      <c r="E1375" s="6" t="s">
        <v>89</v>
      </c>
      <c r="F1375" s="6" t="s">
        <v>151</v>
      </c>
      <c r="G1375" s="6" t="n">
        <v>36</v>
      </c>
      <c r="H1375" s="6" t="s">
        <v>82</v>
      </c>
      <c r="I1375" s="6" t="s">
        <v>81</v>
      </c>
      <c r="J1375" s="6" t="s">
        <v>60</v>
      </c>
      <c r="K1375" s="6" t="n">
        <v>59430</v>
      </c>
      <c r="L1375" s="6" t="n">
        <v>50225</v>
      </c>
      <c r="M1375" s="6" t="s">
        <v>146</v>
      </c>
      <c r="N1375" s="6" t="n">
        <v>37</v>
      </c>
      <c r="O1375" s="6" t="s">
        <v>58</v>
      </c>
      <c r="P1375" s="6" t="n">
        <v>6</v>
      </c>
      <c r="Q1375" s="6" t="n">
        <v>22.47</v>
      </c>
      <c r="R1375" s="20" t="n">
        <f aca="false">(L1375-K1375)/K1375</f>
        <v>-0.154888103651355</v>
      </c>
    </row>
    <row r="1376" customFormat="false" ht="15" hidden="false" customHeight="false" outlineLevel="0" collapsed="false">
      <c r="A1376" s="6" t="s">
        <v>1538</v>
      </c>
      <c r="B1376" s="6" t="n">
        <v>59</v>
      </c>
      <c r="C1376" s="6" t="s">
        <v>139</v>
      </c>
      <c r="D1376" s="6" t="s">
        <v>135</v>
      </c>
      <c r="E1376" s="6" t="s">
        <v>89</v>
      </c>
      <c r="F1376" s="6" t="s">
        <v>153</v>
      </c>
      <c r="G1376" s="6" t="n">
        <v>37</v>
      </c>
      <c r="H1376" s="6" t="s">
        <v>80</v>
      </c>
      <c r="I1376" s="6" t="s">
        <v>81</v>
      </c>
      <c r="J1376" s="6" t="s">
        <v>60</v>
      </c>
      <c r="K1376" s="6" t="n">
        <v>31995</v>
      </c>
      <c r="L1376" s="6" t="n">
        <v>31631</v>
      </c>
      <c r="M1376" s="6" t="s">
        <v>146</v>
      </c>
      <c r="N1376" s="6" t="n">
        <v>44</v>
      </c>
      <c r="O1376" s="6" t="s">
        <v>60</v>
      </c>
      <c r="P1376" s="6" t="n">
        <v>3</v>
      </c>
      <c r="Q1376" s="6" t="n">
        <v>33.1</v>
      </c>
      <c r="R1376" s="20" t="n">
        <f aca="false">(L1376-K1376)/K1376</f>
        <v>-0.0113767776215034</v>
      </c>
    </row>
    <row r="1377" customFormat="false" ht="15" hidden="false" customHeight="false" outlineLevel="0" collapsed="false">
      <c r="A1377" s="6" t="s">
        <v>1539</v>
      </c>
      <c r="B1377" s="6" t="n">
        <v>40</v>
      </c>
      <c r="C1377" s="6" t="s">
        <v>159</v>
      </c>
      <c r="D1377" s="6" t="s">
        <v>148</v>
      </c>
      <c r="E1377" s="6" t="s">
        <v>91</v>
      </c>
      <c r="F1377" s="6" t="s">
        <v>141</v>
      </c>
      <c r="G1377" s="6" t="n">
        <v>14</v>
      </c>
      <c r="H1377" s="6" t="s">
        <v>82</v>
      </c>
      <c r="I1377" s="6" t="s">
        <v>80</v>
      </c>
      <c r="J1377" s="6" t="s">
        <v>58</v>
      </c>
      <c r="K1377" s="6" t="n">
        <v>60846</v>
      </c>
      <c r="L1377" s="6" t="n">
        <v>50288</v>
      </c>
      <c r="M1377" s="6" t="s">
        <v>142</v>
      </c>
      <c r="N1377" s="6" t="n">
        <v>50</v>
      </c>
      <c r="O1377" s="6" t="s">
        <v>58</v>
      </c>
      <c r="P1377" s="6" t="n">
        <v>3</v>
      </c>
      <c r="Q1377" s="6" t="n">
        <v>39.53</v>
      </c>
      <c r="R1377" s="20" t="n">
        <f aca="false">(L1377-K1377)/K1377</f>
        <v>-0.173520034184663</v>
      </c>
    </row>
    <row r="1378" customFormat="false" ht="15" hidden="false" customHeight="false" outlineLevel="0" collapsed="false">
      <c r="A1378" s="6" t="s">
        <v>1540</v>
      </c>
      <c r="B1378" s="6" t="n">
        <v>44</v>
      </c>
      <c r="C1378" s="6" t="s">
        <v>139</v>
      </c>
      <c r="D1378" s="6" t="s">
        <v>135</v>
      </c>
      <c r="E1378" s="6" t="s">
        <v>90</v>
      </c>
      <c r="F1378" s="6" t="s">
        <v>202</v>
      </c>
      <c r="G1378" s="6" t="n">
        <v>19</v>
      </c>
      <c r="H1378" s="6" t="s">
        <v>82</v>
      </c>
      <c r="I1378" s="6" t="s">
        <v>82</v>
      </c>
      <c r="J1378" s="6" t="s">
        <v>58</v>
      </c>
      <c r="K1378" s="6" t="n">
        <v>78591</v>
      </c>
      <c r="L1378" s="6" t="n">
        <v>104399</v>
      </c>
      <c r="M1378" s="6" t="s">
        <v>137</v>
      </c>
      <c r="N1378" s="6" t="n">
        <v>37</v>
      </c>
      <c r="O1378" s="6" t="s">
        <v>60</v>
      </c>
      <c r="P1378" s="6" t="n">
        <v>9</v>
      </c>
      <c r="Q1378" s="6" t="n">
        <v>4.77</v>
      </c>
      <c r="R1378" s="20" t="n">
        <f aca="false">(L1378-K1378)/K1378</f>
        <v>0.328383657161762</v>
      </c>
    </row>
    <row r="1379" customFormat="false" ht="15" hidden="false" customHeight="false" outlineLevel="0" collapsed="false">
      <c r="A1379" s="6" t="s">
        <v>1541</v>
      </c>
      <c r="B1379" s="6" t="n">
        <v>22</v>
      </c>
      <c r="C1379" s="6" t="s">
        <v>139</v>
      </c>
      <c r="D1379" s="6" t="s">
        <v>135</v>
      </c>
      <c r="E1379" s="6" t="s">
        <v>91</v>
      </c>
      <c r="F1379" s="6" t="s">
        <v>208</v>
      </c>
      <c r="G1379" s="6" t="n">
        <v>0</v>
      </c>
      <c r="H1379" s="6" t="s">
        <v>81</v>
      </c>
      <c r="I1379" s="6" t="s">
        <v>82</v>
      </c>
      <c r="J1379" s="6" t="s">
        <v>60</v>
      </c>
      <c r="K1379" s="6" t="n">
        <v>116576</v>
      </c>
      <c r="L1379" s="6" t="n">
        <v>113479</v>
      </c>
      <c r="M1379" s="6" t="s">
        <v>142</v>
      </c>
      <c r="N1379" s="6" t="n">
        <v>47</v>
      </c>
      <c r="O1379" s="6" t="s">
        <v>60</v>
      </c>
      <c r="P1379" s="6" t="n">
        <v>5</v>
      </c>
      <c r="Q1379" s="6" t="n">
        <v>20.83</v>
      </c>
      <c r="R1379" s="20" t="n">
        <f aca="false">(L1379-K1379)/K1379</f>
        <v>-0.0265663601427395</v>
      </c>
    </row>
    <row r="1380" customFormat="false" ht="15" hidden="false" customHeight="false" outlineLevel="0" collapsed="false">
      <c r="A1380" s="6" t="s">
        <v>1542</v>
      </c>
      <c r="B1380" s="6" t="n">
        <v>50</v>
      </c>
      <c r="C1380" s="6" t="s">
        <v>139</v>
      </c>
      <c r="D1380" s="6" t="s">
        <v>148</v>
      </c>
      <c r="E1380" s="6" t="s">
        <v>89</v>
      </c>
      <c r="F1380" s="6" t="s">
        <v>153</v>
      </c>
      <c r="G1380" s="6" t="n">
        <v>25</v>
      </c>
      <c r="H1380" s="6" t="s">
        <v>82</v>
      </c>
      <c r="I1380" s="6" t="s">
        <v>81</v>
      </c>
      <c r="J1380" s="6" t="s">
        <v>60</v>
      </c>
      <c r="K1380" s="6" t="n">
        <v>93333</v>
      </c>
      <c r="L1380" s="6" t="n">
        <v>110945</v>
      </c>
      <c r="M1380" s="6" t="s">
        <v>146</v>
      </c>
      <c r="N1380" s="6" t="n">
        <v>54</v>
      </c>
      <c r="O1380" s="6" t="s">
        <v>60</v>
      </c>
      <c r="P1380" s="6" t="n">
        <v>9</v>
      </c>
      <c r="Q1380" s="6" t="n">
        <v>22.72</v>
      </c>
      <c r="R1380" s="20" t="n">
        <f aca="false">(L1380-K1380)/K1380</f>
        <v>0.188700673930978</v>
      </c>
    </row>
    <row r="1381" customFormat="false" ht="15" hidden="false" customHeight="false" outlineLevel="0" collapsed="false">
      <c r="A1381" s="6" t="s">
        <v>1543</v>
      </c>
      <c r="B1381" s="6" t="n">
        <v>38</v>
      </c>
      <c r="C1381" s="6" t="s">
        <v>159</v>
      </c>
      <c r="D1381" s="6" t="s">
        <v>144</v>
      </c>
      <c r="E1381" s="6" t="s">
        <v>90</v>
      </c>
      <c r="F1381" s="6" t="s">
        <v>145</v>
      </c>
      <c r="G1381" s="6" t="n">
        <v>13</v>
      </c>
      <c r="H1381" s="6" t="s">
        <v>82</v>
      </c>
      <c r="I1381" s="6" t="s">
        <v>81</v>
      </c>
      <c r="J1381" s="6" t="s">
        <v>60</v>
      </c>
      <c r="K1381" s="6" t="n">
        <v>76146</v>
      </c>
      <c r="L1381" s="6" t="n">
        <v>99904</v>
      </c>
      <c r="M1381" s="6" t="s">
        <v>146</v>
      </c>
      <c r="N1381" s="6" t="n">
        <v>49</v>
      </c>
      <c r="O1381" s="6" t="s">
        <v>60</v>
      </c>
      <c r="P1381" s="6" t="n">
        <v>3</v>
      </c>
      <c r="Q1381" s="6" t="n">
        <v>31.81</v>
      </c>
      <c r="R1381" s="20" t="n">
        <f aca="false">(L1381-K1381)/K1381</f>
        <v>0.312005883434455</v>
      </c>
    </row>
    <row r="1382" customFormat="false" ht="15" hidden="false" customHeight="false" outlineLevel="0" collapsed="false">
      <c r="A1382" s="6" t="s">
        <v>1544</v>
      </c>
      <c r="B1382" s="6" t="n">
        <v>41</v>
      </c>
      <c r="C1382" s="6" t="s">
        <v>159</v>
      </c>
      <c r="D1382" s="6" t="s">
        <v>148</v>
      </c>
      <c r="E1382" s="6" t="s">
        <v>91</v>
      </c>
      <c r="F1382" s="6" t="s">
        <v>208</v>
      </c>
      <c r="G1382" s="6" t="n">
        <v>16</v>
      </c>
      <c r="H1382" s="6" t="s">
        <v>80</v>
      </c>
      <c r="I1382" s="6" t="s">
        <v>81</v>
      </c>
      <c r="J1382" s="6" t="s">
        <v>58</v>
      </c>
      <c r="K1382" s="6" t="n">
        <v>64262</v>
      </c>
      <c r="L1382" s="6" t="n">
        <v>66800</v>
      </c>
      <c r="M1382" s="6" t="s">
        <v>146</v>
      </c>
      <c r="N1382" s="6" t="n">
        <v>40</v>
      </c>
      <c r="O1382" s="6" t="s">
        <v>58</v>
      </c>
      <c r="P1382" s="6" t="n">
        <v>3</v>
      </c>
      <c r="Q1382" s="6" t="n">
        <v>0.23</v>
      </c>
      <c r="R1382" s="20" t="n">
        <f aca="false">(L1382-K1382)/K1382</f>
        <v>0.0394945691077153</v>
      </c>
    </row>
    <row r="1383" customFormat="false" ht="15" hidden="false" customHeight="false" outlineLevel="0" collapsed="false">
      <c r="A1383" s="6" t="s">
        <v>1545</v>
      </c>
      <c r="B1383" s="6" t="n">
        <v>40</v>
      </c>
      <c r="C1383" s="6" t="s">
        <v>134</v>
      </c>
      <c r="D1383" s="6" t="s">
        <v>140</v>
      </c>
      <c r="E1383" s="6" t="s">
        <v>91</v>
      </c>
      <c r="F1383" s="6" t="s">
        <v>208</v>
      </c>
      <c r="G1383" s="6" t="n">
        <v>14</v>
      </c>
      <c r="H1383" s="6" t="s">
        <v>82</v>
      </c>
      <c r="I1383" s="6" t="s">
        <v>80</v>
      </c>
      <c r="J1383" s="6" t="s">
        <v>58</v>
      </c>
      <c r="K1383" s="6" t="n">
        <v>107518</v>
      </c>
      <c r="L1383" s="6" t="n">
        <v>116680</v>
      </c>
      <c r="M1383" s="6" t="s">
        <v>142</v>
      </c>
      <c r="N1383" s="6" t="n">
        <v>44</v>
      </c>
      <c r="O1383" s="6" t="s">
        <v>58</v>
      </c>
      <c r="P1383" s="6" t="n">
        <v>8</v>
      </c>
      <c r="Q1383" s="6" t="n">
        <v>1.81</v>
      </c>
      <c r="R1383" s="20" t="n">
        <f aca="false">(L1383-K1383)/K1383</f>
        <v>0.0852136386465522</v>
      </c>
    </row>
    <row r="1384" customFormat="false" ht="15" hidden="false" customHeight="false" outlineLevel="0" collapsed="false">
      <c r="A1384" s="6" t="s">
        <v>1546</v>
      </c>
      <c r="B1384" s="6" t="n">
        <v>38</v>
      </c>
      <c r="C1384" s="6" t="s">
        <v>159</v>
      </c>
      <c r="D1384" s="6" t="s">
        <v>144</v>
      </c>
      <c r="E1384" s="6" t="s">
        <v>93</v>
      </c>
      <c r="F1384" s="6" t="s">
        <v>164</v>
      </c>
      <c r="G1384" s="6" t="n">
        <v>16</v>
      </c>
      <c r="H1384" s="6" t="s">
        <v>82</v>
      </c>
      <c r="I1384" s="6" t="s">
        <v>82</v>
      </c>
      <c r="J1384" s="6" t="s">
        <v>60</v>
      </c>
      <c r="K1384" s="6" t="n">
        <v>53212</v>
      </c>
      <c r="L1384" s="6" t="n">
        <v>62522</v>
      </c>
      <c r="M1384" s="6" t="s">
        <v>146</v>
      </c>
      <c r="N1384" s="6" t="n">
        <v>53</v>
      </c>
      <c r="O1384" s="6" t="s">
        <v>58</v>
      </c>
      <c r="P1384" s="6" t="n">
        <v>7</v>
      </c>
      <c r="Q1384" s="6" t="n">
        <v>23.73</v>
      </c>
      <c r="R1384" s="20" t="n">
        <f aca="false">(L1384-K1384)/K1384</f>
        <v>0.17496053521762</v>
      </c>
    </row>
    <row r="1385" customFormat="false" ht="15" hidden="false" customHeight="false" outlineLevel="0" collapsed="false">
      <c r="A1385" s="6" t="s">
        <v>1547</v>
      </c>
      <c r="B1385" s="6" t="n">
        <v>23</v>
      </c>
      <c r="C1385" s="6" t="s">
        <v>139</v>
      </c>
      <c r="D1385" s="6" t="s">
        <v>135</v>
      </c>
      <c r="E1385" s="6" t="s">
        <v>88</v>
      </c>
      <c r="F1385" s="6" t="s">
        <v>234</v>
      </c>
      <c r="G1385" s="6" t="n">
        <v>0</v>
      </c>
      <c r="H1385" s="6" t="s">
        <v>81</v>
      </c>
      <c r="I1385" s="6" t="s">
        <v>82</v>
      </c>
      <c r="J1385" s="6" t="s">
        <v>58</v>
      </c>
      <c r="K1385" s="6" t="n">
        <v>79810</v>
      </c>
      <c r="L1385" s="6" t="n">
        <v>73343</v>
      </c>
      <c r="M1385" s="6" t="s">
        <v>142</v>
      </c>
      <c r="N1385" s="6" t="n">
        <v>40</v>
      </c>
      <c r="O1385" s="6" t="s">
        <v>60</v>
      </c>
      <c r="P1385" s="6" t="n">
        <v>5</v>
      </c>
      <c r="Q1385" s="6" t="n">
        <v>16.18</v>
      </c>
      <c r="R1385" s="20" t="n">
        <f aca="false">(L1385-K1385)/K1385</f>
        <v>-0.0810299461220398</v>
      </c>
    </row>
    <row r="1386" customFormat="false" ht="15" hidden="false" customHeight="false" outlineLevel="0" collapsed="false">
      <c r="A1386" s="6" t="s">
        <v>1548</v>
      </c>
      <c r="B1386" s="6" t="n">
        <v>59</v>
      </c>
      <c r="C1386" s="6" t="s">
        <v>139</v>
      </c>
      <c r="D1386" s="6" t="s">
        <v>148</v>
      </c>
      <c r="E1386" s="6" t="s">
        <v>87</v>
      </c>
      <c r="F1386" s="6" t="s">
        <v>160</v>
      </c>
      <c r="G1386" s="6" t="n">
        <v>36</v>
      </c>
      <c r="H1386" s="6" t="s">
        <v>81</v>
      </c>
      <c r="I1386" s="6" t="s">
        <v>80</v>
      </c>
      <c r="J1386" s="6" t="s">
        <v>60</v>
      </c>
      <c r="K1386" s="6" t="n">
        <v>99726</v>
      </c>
      <c r="L1386" s="6" t="n">
        <v>114632</v>
      </c>
      <c r="M1386" s="6" t="s">
        <v>142</v>
      </c>
      <c r="N1386" s="6" t="n">
        <v>41</v>
      </c>
      <c r="O1386" s="6" t="s">
        <v>60</v>
      </c>
      <c r="P1386" s="6" t="n">
        <v>6</v>
      </c>
      <c r="Q1386" s="6" t="n">
        <v>-10.98</v>
      </c>
      <c r="R1386" s="20" t="n">
        <f aca="false">(L1386-K1386)/K1386</f>
        <v>0.149469546557568</v>
      </c>
    </row>
    <row r="1387" customFormat="false" ht="15" hidden="false" customHeight="false" outlineLevel="0" collapsed="false">
      <c r="A1387" s="6" t="s">
        <v>1549</v>
      </c>
      <c r="B1387" s="6" t="n">
        <v>50</v>
      </c>
      <c r="C1387" s="6" t="s">
        <v>159</v>
      </c>
      <c r="D1387" s="6" t="s">
        <v>148</v>
      </c>
      <c r="E1387" s="6" t="s">
        <v>90</v>
      </c>
      <c r="F1387" s="6" t="s">
        <v>202</v>
      </c>
      <c r="G1387" s="6" t="n">
        <v>25</v>
      </c>
      <c r="H1387" s="6" t="s">
        <v>80</v>
      </c>
      <c r="I1387" s="6" t="s">
        <v>80</v>
      </c>
      <c r="J1387" s="6" t="s">
        <v>58</v>
      </c>
      <c r="K1387" s="6" t="n">
        <v>39638</v>
      </c>
      <c r="L1387" s="6" t="n">
        <v>40441</v>
      </c>
      <c r="M1387" s="6" t="s">
        <v>142</v>
      </c>
      <c r="N1387" s="6" t="n">
        <v>39</v>
      </c>
      <c r="O1387" s="6" t="s">
        <v>60</v>
      </c>
      <c r="P1387" s="6" t="n">
        <v>9</v>
      </c>
      <c r="Q1387" s="6" t="n">
        <v>15.9</v>
      </c>
      <c r="R1387" s="20" t="n">
        <f aca="false">(L1387-K1387)/K1387</f>
        <v>0.0202583379585246</v>
      </c>
    </row>
    <row r="1388" customFormat="false" ht="15" hidden="false" customHeight="false" outlineLevel="0" collapsed="false">
      <c r="A1388" s="6" t="s">
        <v>1550</v>
      </c>
      <c r="B1388" s="6" t="n">
        <v>50</v>
      </c>
      <c r="C1388" s="6" t="s">
        <v>134</v>
      </c>
      <c r="D1388" s="6" t="s">
        <v>144</v>
      </c>
      <c r="E1388" s="6" t="s">
        <v>89</v>
      </c>
      <c r="F1388" s="6" t="s">
        <v>162</v>
      </c>
      <c r="G1388" s="6" t="n">
        <v>24</v>
      </c>
      <c r="H1388" s="6" t="s">
        <v>80</v>
      </c>
      <c r="I1388" s="6" t="s">
        <v>81</v>
      </c>
      <c r="J1388" s="6" t="s">
        <v>58</v>
      </c>
      <c r="K1388" s="6" t="n">
        <v>102089</v>
      </c>
      <c r="L1388" s="6" t="n">
        <v>111315</v>
      </c>
      <c r="M1388" s="6" t="s">
        <v>146</v>
      </c>
      <c r="N1388" s="6" t="n">
        <v>53</v>
      </c>
      <c r="O1388" s="6" t="s">
        <v>58</v>
      </c>
      <c r="P1388" s="6" t="n">
        <v>7</v>
      </c>
      <c r="Q1388" s="6" t="n">
        <v>-5.96</v>
      </c>
      <c r="R1388" s="20" t="n">
        <f aca="false">(L1388-K1388)/K1388</f>
        <v>0.0903721262819697</v>
      </c>
    </row>
    <row r="1389" customFormat="false" ht="15" hidden="false" customHeight="false" outlineLevel="0" collapsed="false">
      <c r="A1389" s="6" t="s">
        <v>1551</v>
      </c>
      <c r="B1389" s="6" t="n">
        <v>51</v>
      </c>
      <c r="C1389" s="6" t="s">
        <v>134</v>
      </c>
      <c r="D1389" s="6" t="s">
        <v>135</v>
      </c>
      <c r="E1389" s="6" t="s">
        <v>88</v>
      </c>
      <c r="F1389" s="6" t="s">
        <v>157</v>
      </c>
      <c r="G1389" s="6" t="n">
        <v>27</v>
      </c>
      <c r="H1389" s="6" t="s">
        <v>80</v>
      </c>
      <c r="I1389" s="6" t="s">
        <v>80</v>
      </c>
      <c r="J1389" s="6" t="s">
        <v>60</v>
      </c>
      <c r="K1389" s="6" t="n">
        <v>47529</v>
      </c>
      <c r="L1389" s="6" t="n">
        <v>48833</v>
      </c>
      <c r="M1389" s="6" t="s">
        <v>142</v>
      </c>
      <c r="N1389" s="6" t="n">
        <v>43</v>
      </c>
      <c r="O1389" s="6" t="s">
        <v>58</v>
      </c>
      <c r="P1389" s="6" t="n">
        <v>7</v>
      </c>
      <c r="Q1389" s="6" t="n">
        <v>-10.78</v>
      </c>
      <c r="R1389" s="20" t="n">
        <f aca="false">(L1389-K1389)/K1389</f>
        <v>0.0274358812514465</v>
      </c>
    </row>
    <row r="1390" customFormat="false" ht="15" hidden="false" customHeight="false" outlineLevel="0" collapsed="false">
      <c r="A1390" s="6" t="s">
        <v>1552</v>
      </c>
      <c r="B1390" s="6" t="n">
        <v>34</v>
      </c>
      <c r="C1390" s="6" t="s">
        <v>139</v>
      </c>
      <c r="D1390" s="6" t="s">
        <v>140</v>
      </c>
      <c r="E1390" s="6" t="s">
        <v>87</v>
      </c>
      <c r="F1390" s="6" t="s">
        <v>160</v>
      </c>
      <c r="G1390" s="6" t="n">
        <v>8</v>
      </c>
      <c r="H1390" s="6" t="s">
        <v>81</v>
      </c>
      <c r="I1390" s="6" t="s">
        <v>82</v>
      </c>
      <c r="J1390" s="6" t="s">
        <v>58</v>
      </c>
      <c r="K1390" s="6" t="n">
        <v>65036</v>
      </c>
      <c r="L1390" s="6" t="n">
        <v>73239</v>
      </c>
      <c r="M1390" s="6" t="s">
        <v>142</v>
      </c>
      <c r="N1390" s="6" t="n">
        <v>54</v>
      </c>
      <c r="O1390" s="6" t="s">
        <v>60</v>
      </c>
      <c r="P1390" s="6" t="n">
        <v>4</v>
      </c>
      <c r="Q1390" s="6" t="n">
        <v>6.83</v>
      </c>
      <c r="R1390" s="20" t="n">
        <f aca="false">(L1390-K1390)/K1390</f>
        <v>0.126130143305246</v>
      </c>
    </row>
    <row r="1391" customFormat="false" ht="15" hidden="false" customHeight="false" outlineLevel="0" collapsed="false">
      <c r="A1391" s="6" t="s">
        <v>1553</v>
      </c>
      <c r="B1391" s="6" t="n">
        <v>34</v>
      </c>
      <c r="C1391" s="6" t="s">
        <v>134</v>
      </c>
      <c r="D1391" s="6" t="s">
        <v>135</v>
      </c>
      <c r="E1391" s="6" t="s">
        <v>91</v>
      </c>
      <c r="F1391" s="6" t="s">
        <v>206</v>
      </c>
      <c r="G1391" s="6" t="n">
        <v>8</v>
      </c>
      <c r="H1391" s="6" t="s">
        <v>80</v>
      </c>
      <c r="I1391" s="6" t="s">
        <v>80</v>
      </c>
      <c r="J1391" s="6" t="s">
        <v>58</v>
      </c>
      <c r="K1391" s="6" t="n">
        <v>93138</v>
      </c>
      <c r="L1391" s="6" t="n">
        <v>92639</v>
      </c>
      <c r="M1391" s="6" t="s">
        <v>142</v>
      </c>
      <c r="N1391" s="6" t="n">
        <v>43</v>
      </c>
      <c r="O1391" s="6" t="s">
        <v>58</v>
      </c>
      <c r="P1391" s="6" t="n">
        <v>8</v>
      </c>
      <c r="Q1391" s="6" t="n">
        <v>19.59</v>
      </c>
      <c r="R1391" s="20" t="n">
        <f aca="false">(L1391-K1391)/K1391</f>
        <v>-0.00535764134939552</v>
      </c>
    </row>
    <row r="1392" customFormat="false" ht="15" hidden="false" customHeight="false" outlineLevel="0" collapsed="false">
      <c r="A1392" s="6" t="s">
        <v>1554</v>
      </c>
      <c r="B1392" s="6" t="n">
        <v>43</v>
      </c>
      <c r="C1392" s="6" t="s">
        <v>134</v>
      </c>
      <c r="D1392" s="6" t="s">
        <v>140</v>
      </c>
      <c r="E1392" s="6" t="s">
        <v>88</v>
      </c>
      <c r="F1392" s="6" t="s">
        <v>234</v>
      </c>
      <c r="G1392" s="6" t="n">
        <v>17</v>
      </c>
      <c r="H1392" s="6" t="s">
        <v>80</v>
      </c>
      <c r="I1392" s="6" t="s">
        <v>81</v>
      </c>
      <c r="J1392" s="6" t="s">
        <v>58</v>
      </c>
      <c r="K1392" s="6" t="n">
        <v>36922</v>
      </c>
      <c r="L1392" s="6" t="n">
        <v>36819</v>
      </c>
      <c r="M1392" s="6" t="s">
        <v>146</v>
      </c>
      <c r="N1392" s="6" t="n">
        <v>36</v>
      </c>
      <c r="O1392" s="6" t="s">
        <v>60</v>
      </c>
      <c r="P1392" s="6" t="n">
        <v>5</v>
      </c>
      <c r="Q1392" s="6" t="n">
        <v>-12.99</v>
      </c>
      <c r="R1392" s="20" t="n">
        <f aca="false">(L1392-K1392)/K1392</f>
        <v>-0.00278966469855371</v>
      </c>
    </row>
    <row r="1393" customFormat="false" ht="15" hidden="false" customHeight="false" outlineLevel="0" collapsed="false">
      <c r="A1393" s="6" t="s">
        <v>1555</v>
      </c>
      <c r="B1393" s="6" t="n">
        <v>37</v>
      </c>
      <c r="C1393" s="6" t="s">
        <v>159</v>
      </c>
      <c r="D1393" s="6" t="s">
        <v>148</v>
      </c>
      <c r="E1393" s="6" t="s">
        <v>88</v>
      </c>
      <c r="F1393" s="6" t="s">
        <v>234</v>
      </c>
      <c r="G1393" s="6" t="n">
        <v>13</v>
      </c>
      <c r="H1393" s="6" t="s">
        <v>82</v>
      </c>
      <c r="I1393" s="6" t="s">
        <v>82</v>
      </c>
      <c r="J1393" s="6" t="s">
        <v>60</v>
      </c>
      <c r="K1393" s="6" t="n">
        <v>57843</v>
      </c>
      <c r="L1393" s="6" t="n">
        <v>56422</v>
      </c>
      <c r="M1393" s="6" t="s">
        <v>146</v>
      </c>
      <c r="N1393" s="6" t="n">
        <v>52</v>
      </c>
      <c r="O1393" s="6" t="s">
        <v>58</v>
      </c>
      <c r="P1393" s="6" t="n">
        <v>4</v>
      </c>
      <c r="Q1393" s="6" t="n">
        <v>22.32</v>
      </c>
      <c r="R1393" s="20" t="n">
        <f aca="false">(L1393-K1393)/K1393</f>
        <v>-0.0245664989713535</v>
      </c>
    </row>
    <row r="1394" customFormat="false" ht="15" hidden="false" customHeight="false" outlineLevel="0" collapsed="false">
      <c r="A1394" s="6" t="s">
        <v>1556</v>
      </c>
      <c r="B1394" s="6" t="n">
        <v>32</v>
      </c>
      <c r="C1394" s="6" t="s">
        <v>159</v>
      </c>
      <c r="D1394" s="6" t="s">
        <v>135</v>
      </c>
      <c r="E1394" s="6" t="s">
        <v>87</v>
      </c>
      <c r="F1394" s="6" t="s">
        <v>149</v>
      </c>
      <c r="G1394" s="6" t="n">
        <v>6</v>
      </c>
      <c r="H1394" s="6" t="s">
        <v>81</v>
      </c>
      <c r="I1394" s="6" t="s">
        <v>81</v>
      </c>
      <c r="J1394" s="6" t="s">
        <v>58</v>
      </c>
      <c r="K1394" s="6" t="n">
        <v>83526</v>
      </c>
      <c r="L1394" s="6" t="n">
        <v>84287</v>
      </c>
      <c r="M1394" s="6" t="s">
        <v>146</v>
      </c>
      <c r="N1394" s="6" t="n">
        <v>47</v>
      </c>
      <c r="O1394" s="6" t="s">
        <v>58</v>
      </c>
      <c r="P1394" s="6" t="n">
        <v>4</v>
      </c>
      <c r="Q1394" s="6" t="n">
        <v>25.39</v>
      </c>
      <c r="R1394" s="20" t="n">
        <f aca="false">(L1394-K1394)/K1394</f>
        <v>0.0091109355170845</v>
      </c>
    </row>
    <row r="1395" customFormat="false" ht="15" hidden="false" customHeight="false" outlineLevel="0" collapsed="false">
      <c r="A1395" s="6" t="s">
        <v>1557</v>
      </c>
      <c r="B1395" s="6" t="n">
        <v>45</v>
      </c>
      <c r="C1395" s="6" t="s">
        <v>159</v>
      </c>
      <c r="D1395" s="6" t="s">
        <v>144</v>
      </c>
      <c r="E1395" s="6" t="s">
        <v>89</v>
      </c>
      <c r="F1395" s="6" t="s">
        <v>151</v>
      </c>
      <c r="G1395" s="6" t="n">
        <v>21</v>
      </c>
      <c r="H1395" s="6" t="s">
        <v>82</v>
      </c>
      <c r="I1395" s="6" t="s">
        <v>81</v>
      </c>
      <c r="J1395" s="6" t="s">
        <v>58</v>
      </c>
      <c r="K1395" s="6" t="n">
        <v>44925</v>
      </c>
      <c r="L1395" s="6" t="n">
        <v>48020</v>
      </c>
      <c r="M1395" s="6" t="s">
        <v>146</v>
      </c>
      <c r="N1395" s="6" t="n">
        <v>37</v>
      </c>
      <c r="O1395" s="6" t="s">
        <v>60</v>
      </c>
      <c r="P1395" s="6" t="n">
        <v>6</v>
      </c>
      <c r="Q1395" s="6" t="n">
        <v>18.2</v>
      </c>
      <c r="R1395" s="20" t="n">
        <f aca="false">(L1395-K1395)/K1395</f>
        <v>0.0688925987757373</v>
      </c>
    </row>
    <row r="1396" customFormat="false" ht="15" hidden="false" customHeight="false" outlineLevel="0" collapsed="false">
      <c r="A1396" s="6" t="s">
        <v>1558</v>
      </c>
      <c r="B1396" s="6" t="n">
        <v>29</v>
      </c>
      <c r="C1396" s="6" t="s">
        <v>134</v>
      </c>
      <c r="D1396" s="6" t="s">
        <v>140</v>
      </c>
      <c r="E1396" s="6" t="s">
        <v>91</v>
      </c>
      <c r="F1396" s="6" t="s">
        <v>141</v>
      </c>
      <c r="G1396" s="6" t="n">
        <v>6</v>
      </c>
      <c r="H1396" s="6" t="s">
        <v>81</v>
      </c>
      <c r="I1396" s="6" t="s">
        <v>82</v>
      </c>
      <c r="J1396" s="6" t="s">
        <v>60</v>
      </c>
      <c r="K1396" s="6" t="n">
        <v>73909</v>
      </c>
      <c r="L1396" s="6" t="n">
        <v>80214</v>
      </c>
      <c r="M1396" s="6" t="s">
        <v>142</v>
      </c>
      <c r="N1396" s="6" t="n">
        <v>44</v>
      </c>
      <c r="O1396" s="6" t="s">
        <v>58</v>
      </c>
      <c r="P1396" s="6" t="n">
        <v>4</v>
      </c>
      <c r="Q1396" s="6" t="n">
        <v>7.38</v>
      </c>
      <c r="R1396" s="20" t="n">
        <f aca="false">(L1396-K1396)/K1396</f>
        <v>0.0853076080044379</v>
      </c>
    </row>
    <row r="1397" customFormat="false" ht="15" hidden="false" customHeight="false" outlineLevel="0" collapsed="false">
      <c r="A1397" s="6" t="s">
        <v>1559</v>
      </c>
      <c r="B1397" s="6" t="n">
        <v>44</v>
      </c>
      <c r="C1397" s="6" t="s">
        <v>139</v>
      </c>
      <c r="D1397" s="6" t="s">
        <v>148</v>
      </c>
      <c r="E1397" s="6" t="s">
        <v>90</v>
      </c>
      <c r="F1397" s="6" t="s">
        <v>202</v>
      </c>
      <c r="G1397" s="6" t="n">
        <v>20</v>
      </c>
      <c r="H1397" s="6" t="s">
        <v>82</v>
      </c>
      <c r="I1397" s="6" t="s">
        <v>81</v>
      </c>
      <c r="J1397" s="6" t="s">
        <v>58</v>
      </c>
      <c r="K1397" s="6" t="n">
        <v>50895</v>
      </c>
      <c r="L1397" s="6" t="n">
        <v>65186</v>
      </c>
      <c r="M1397" s="6" t="s">
        <v>146</v>
      </c>
      <c r="N1397" s="6" t="n">
        <v>54</v>
      </c>
      <c r="O1397" s="6" t="s">
        <v>58</v>
      </c>
      <c r="P1397" s="6" t="n">
        <v>5</v>
      </c>
      <c r="Q1397" s="6" t="n">
        <v>4.63</v>
      </c>
      <c r="R1397" s="20" t="n">
        <f aca="false">(L1397-K1397)/K1397</f>
        <v>0.280793791138619</v>
      </c>
    </row>
    <row r="1398" customFormat="false" ht="15" hidden="false" customHeight="false" outlineLevel="0" collapsed="false">
      <c r="A1398" s="6" t="s">
        <v>1560</v>
      </c>
      <c r="B1398" s="6" t="n">
        <v>55</v>
      </c>
      <c r="C1398" s="6" t="s">
        <v>134</v>
      </c>
      <c r="D1398" s="6" t="s">
        <v>140</v>
      </c>
      <c r="E1398" s="6" t="s">
        <v>90</v>
      </c>
      <c r="F1398" s="6" t="s">
        <v>145</v>
      </c>
      <c r="G1398" s="6" t="n">
        <v>29</v>
      </c>
      <c r="H1398" s="6" t="s">
        <v>82</v>
      </c>
      <c r="I1398" s="6" t="s">
        <v>81</v>
      </c>
      <c r="J1398" s="6" t="s">
        <v>58</v>
      </c>
      <c r="K1398" s="6" t="n">
        <v>38252</v>
      </c>
      <c r="L1398" s="6" t="n">
        <v>48424</v>
      </c>
      <c r="M1398" s="6" t="s">
        <v>146</v>
      </c>
      <c r="N1398" s="6" t="n">
        <v>45</v>
      </c>
      <c r="O1398" s="6" t="s">
        <v>58</v>
      </c>
      <c r="P1398" s="6" t="n">
        <v>6</v>
      </c>
      <c r="Q1398" s="6" t="n">
        <v>29.3</v>
      </c>
      <c r="R1398" s="20" t="n">
        <f aca="false">(L1398-K1398)/K1398</f>
        <v>0.265920736170658</v>
      </c>
    </row>
    <row r="1399" customFormat="false" ht="15" hidden="false" customHeight="false" outlineLevel="0" collapsed="false">
      <c r="A1399" s="6" t="s">
        <v>1561</v>
      </c>
      <c r="B1399" s="6" t="n">
        <v>39</v>
      </c>
      <c r="C1399" s="6" t="s">
        <v>159</v>
      </c>
      <c r="D1399" s="6" t="s">
        <v>135</v>
      </c>
      <c r="E1399" s="6" t="s">
        <v>89</v>
      </c>
      <c r="F1399" s="6" t="s">
        <v>151</v>
      </c>
      <c r="G1399" s="6" t="n">
        <v>15</v>
      </c>
      <c r="H1399" s="6" t="s">
        <v>80</v>
      </c>
      <c r="I1399" s="6" t="s">
        <v>80</v>
      </c>
      <c r="J1399" s="6" t="s">
        <v>60</v>
      </c>
      <c r="K1399" s="6" t="n">
        <v>78888</v>
      </c>
      <c r="L1399" s="6" t="n">
        <v>76236</v>
      </c>
      <c r="M1399" s="6" t="s">
        <v>142</v>
      </c>
      <c r="N1399" s="6" t="n">
        <v>48</v>
      </c>
      <c r="O1399" s="6" t="s">
        <v>60</v>
      </c>
      <c r="P1399" s="6" t="n">
        <v>5</v>
      </c>
      <c r="Q1399" s="6" t="n">
        <v>27.66</v>
      </c>
      <c r="R1399" s="20" t="n">
        <f aca="false">(L1399-K1399)/K1399</f>
        <v>-0.0336172801947064</v>
      </c>
    </row>
    <row r="1400" customFormat="false" ht="15" hidden="false" customHeight="false" outlineLevel="0" collapsed="false">
      <c r="A1400" s="6" t="s">
        <v>1562</v>
      </c>
      <c r="B1400" s="6" t="n">
        <v>39</v>
      </c>
      <c r="C1400" s="6" t="s">
        <v>134</v>
      </c>
      <c r="D1400" s="6" t="s">
        <v>144</v>
      </c>
      <c r="E1400" s="6" t="s">
        <v>91</v>
      </c>
      <c r="F1400" s="6" t="s">
        <v>208</v>
      </c>
      <c r="G1400" s="6" t="n">
        <v>16</v>
      </c>
      <c r="H1400" s="6" t="s">
        <v>80</v>
      </c>
      <c r="I1400" s="6" t="s">
        <v>80</v>
      </c>
      <c r="J1400" s="6" t="s">
        <v>58</v>
      </c>
      <c r="K1400" s="6" t="n">
        <v>32970</v>
      </c>
      <c r="L1400" s="6" t="n">
        <v>36133</v>
      </c>
      <c r="M1400" s="6" t="s">
        <v>142</v>
      </c>
      <c r="N1400" s="6" t="n">
        <v>52</v>
      </c>
      <c r="O1400" s="6" t="s">
        <v>60</v>
      </c>
      <c r="P1400" s="6" t="n">
        <v>4</v>
      </c>
      <c r="Q1400" s="6" t="n">
        <v>38.78</v>
      </c>
      <c r="R1400" s="20" t="n">
        <f aca="false">(L1400-K1400)/K1400</f>
        <v>0.0959356991204125</v>
      </c>
    </row>
    <row r="1401" customFormat="false" ht="15" hidden="false" customHeight="false" outlineLevel="0" collapsed="false">
      <c r="A1401" s="6" t="s">
        <v>1563</v>
      </c>
      <c r="B1401" s="6" t="n">
        <v>36</v>
      </c>
      <c r="C1401" s="6" t="s">
        <v>134</v>
      </c>
      <c r="D1401" s="6" t="s">
        <v>144</v>
      </c>
      <c r="E1401" s="6" t="s">
        <v>91</v>
      </c>
      <c r="F1401" s="6" t="s">
        <v>141</v>
      </c>
      <c r="G1401" s="6" t="n">
        <v>12</v>
      </c>
      <c r="H1401" s="6" t="s">
        <v>81</v>
      </c>
      <c r="I1401" s="6" t="s">
        <v>82</v>
      </c>
      <c r="J1401" s="6" t="s">
        <v>58</v>
      </c>
      <c r="K1401" s="6" t="n">
        <v>101200</v>
      </c>
      <c r="L1401" s="6" t="n">
        <v>94138</v>
      </c>
      <c r="M1401" s="6" t="s">
        <v>142</v>
      </c>
      <c r="N1401" s="6" t="n">
        <v>37</v>
      </c>
      <c r="O1401" s="6" t="s">
        <v>58</v>
      </c>
      <c r="P1401" s="6" t="n">
        <v>3</v>
      </c>
      <c r="Q1401" s="6" t="n">
        <v>22.45</v>
      </c>
      <c r="R1401" s="20" t="n">
        <f aca="false">(L1401-K1401)/K1401</f>
        <v>-0.0697826086956522</v>
      </c>
    </row>
    <row r="1402" customFormat="false" ht="15" hidden="false" customHeight="false" outlineLevel="0" collapsed="false">
      <c r="A1402" s="6" t="s">
        <v>1564</v>
      </c>
      <c r="B1402" s="6" t="n">
        <v>29</v>
      </c>
      <c r="C1402" s="6" t="s">
        <v>134</v>
      </c>
      <c r="D1402" s="6" t="s">
        <v>135</v>
      </c>
      <c r="E1402" s="6" t="s">
        <v>89</v>
      </c>
      <c r="F1402" s="6" t="s">
        <v>153</v>
      </c>
      <c r="G1402" s="6" t="n">
        <v>4</v>
      </c>
      <c r="H1402" s="6" t="s">
        <v>81</v>
      </c>
      <c r="I1402" s="6" t="s">
        <v>82</v>
      </c>
      <c r="J1402" s="6" t="s">
        <v>58</v>
      </c>
      <c r="K1402" s="6" t="n">
        <v>77994</v>
      </c>
      <c r="L1402" s="6" t="n">
        <v>80467</v>
      </c>
      <c r="M1402" s="6" t="s">
        <v>142</v>
      </c>
      <c r="N1402" s="6" t="n">
        <v>46</v>
      </c>
      <c r="O1402" s="6" t="s">
        <v>58</v>
      </c>
      <c r="P1402" s="6" t="n">
        <v>9</v>
      </c>
      <c r="Q1402" s="6" t="n">
        <v>-13.23</v>
      </c>
      <c r="R1402" s="20" t="n">
        <f aca="false">(L1402-K1402)/K1402</f>
        <v>0.0317075672487627</v>
      </c>
    </row>
    <row r="1403" customFormat="false" ht="15" hidden="false" customHeight="false" outlineLevel="0" collapsed="false">
      <c r="A1403" s="6" t="s">
        <v>1565</v>
      </c>
      <c r="B1403" s="6" t="n">
        <v>34</v>
      </c>
      <c r="C1403" s="6" t="s">
        <v>139</v>
      </c>
      <c r="D1403" s="6" t="s">
        <v>140</v>
      </c>
      <c r="E1403" s="6" t="s">
        <v>92</v>
      </c>
      <c r="F1403" s="6" t="s">
        <v>192</v>
      </c>
      <c r="G1403" s="6" t="n">
        <v>9</v>
      </c>
      <c r="H1403" s="6" t="s">
        <v>81</v>
      </c>
      <c r="I1403" s="6" t="s">
        <v>80</v>
      </c>
      <c r="J1403" s="6" t="s">
        <v>58</v>
      </c>
      <c r="K1403" s="6" t="n">
        <v>68725</v>
      </c>
      <c r="L1403" s="6" t="n">
        <v>65629</v>
      </c>
      <c r="M1403" s="6" t="s">
        <v>142</v>
      </c>
      <c r="N1403" s="6" t="n">
        <v>41</v>
      </c>
      <c r="O1403" s="6" t="s">
        <v>60</v>
      </c>
      <c r="P1403" s="6" t="n">
        <v>9</v>
      </c>
      <c r="Q1403" s="6" t="n">
        <v>18.57</v>
      </c>
      <c r="R1403" s="20" t="n">
        <f aca="false">(L1403-K1403)/K1403</f>
        <v>-0.0450491087668243</v>
      </c>
    </row>
    <row r="1404" customFormat="false" ht="15" hidden="false" customHeight="false" outlineLevel="0" collapsed="false">
      <c r="A1404" s="6" t="s">
        <v>1566</v>
      </c>
      <c r="B1404" s="6" t="n">
        <v>25</v>
      </c>
      <c r="C1404" s="6" t="s">
        <v>139</v>
      </c>
      <c r="D1404" s="6" t="s">
        <v>135</v>
      </c>
      <c r="E1404" s="6" t="s">
        <v>91</v>
      </c>
      <c r="F1404" s="6" t="s">
        <v>206</v>
      </c>
      <c r="G1404" s="6" t="n">
        <v>0</v>
      </c>
      <c r="H1404" s="6" t="s">
        <v>81</v>
      </c>
      <c r="I1404" s="6" t="s">
        <v>80</v>
      </c>
      <c r="J1404" s="6" t="s">
        <v>58</v>
      </c>
      <c r="K1404" s="6" t="n">
        <v>95149</v>
      </c>
      <c r="L1404" s="6" t="n">
        <v>96958</v>
      </c>
      <c r="M1404" s="6" t="s">
        <v>142</v>
      </c>
      <c r="N1404" s="6" t="n">
        <v>43</v>
      </c>
      <c r="O1404" s="6" t="s">
        <v>60</v>
      </c>
      <c r="P1404" s="6" t="n">
        <v>4</v>
      </c>
      <c r="Q1404" s="6" t="n">
        <v>36.28</v>
      </c>
      <c r="R1404" s="20" t="n">
        <f aca="false">(L1404-K1404)/K1404</f>
        <v>0.019012285993547</v>
      </c>
    </row>
    <row r="1405" customFormat="false" ht="15" hidden="false" customHeight="false" outlineLevel="0" collapsed="false">
      <c r="A1405" s="6" t="s">
        <v>1567</v>
      </c>
      <c r="B1405" s="6" t="n">
        <v>28</v>
      </c>
      <c r="C1405" s="6" t="s">
        <v>134</v>
      </c>
      <c r="D1405" s="6" t="s">
        <v>140</v>
      </c>
      <c r="E1405" s="6" t="s">
        <v>90</v>
      </c>
      <c r="F1405" s="6" t="s">
        <v>202</v>
      </c>
      <c r="G1405" s="6" t="n">
        <v>6</v>
      </c>
      <c r="H1405" s="6" t="s">
        <v>82</v>
      </c>
      <c r="I1405" s="6" t="s">
        <v>81</v>
      </c>
      <c r="J1405" s="6" t="s">
        <v>58</v>
      </c>
      <c r="K1405" s="6" t="n">
        <v>37507</v>
      </c>
      <c r="L1405" s="6" t="n">
        <v>42847</v>
      </c>
      <c r="M1405" s="6" t="s">
        <v>146</v>
      </c>
      <c r="N1405" s="6" t="n">
        <v>36</v>
      </c>
      <c r="O1405" s="6" t="s">
        <v>60</v>
      </c>
      <c r="P1405" s="6" t="n">
        <v>3</v>
      </c>
      <c r="Q1405" s="6" t="n">
        <v>6.14</v>
      </c>
      <c r="R1405" s="20" t="n">
        <f aca="false">(L1405-K1405)/K1405</f>
        <v>0.14237342362759</v>
      </c>
    </row>
    <row r="1406" customFormat="false" ht="15" hidden="false" customHeight="false" outlineLevel="0" collapsed="false">
      <c r="A1406" s="6" t="s">
        <v>1568</v>
      </c>
      <c r="B1406" s="6" t="n">
        <v>47</v>
      </c>
      <c r="C1406" s="6" t="s">
        <v>139</v>
      </c>
      <c r="D1406" s="6" t="s">
        <v>135</v>
      </c>
      <c r="E1406" s="6" t="s">
        <v>93</v>
      </c>
      <c r="F1406" s="6" t="s">
        <v>197</v>
      </c>
      <c r="G1406" s="6" t="n">
        <v>24</v>
      </c>
      <c r="H1406" s="6" t="s">
        <v>80</v>
      </c>
      <c r="I1406" s="6" t="s">
        <v>80</v>
      </c>
      <c r="J1406" s="6" t="s">
        <v>58</v>
      </c>
      <c r="K1406" s="6" t="n">
        <v>34414</v>
      </c>
      <c r="L1406" s="6" t="n">
        <v>36994</v>
      </c>
      <c r="M1406" s="6" t="s">
        <v>142</v>
      </c>
      <c r="N1406" s="6" t="n">
        <v>36</v>
      </c>
      <c r="O1406" s="6" t="s">
        <v>60</v>
      </c>
      <c r="P1406" s="6" t="n">
        <v>6</v>
      </c>
      <c r="Q1406" s="6" t="n">
        <v>-5</v>
      </c>
      <c r="R1406" s="20" t="n">
        <f aca="false">(L1406-K1406)/K1406</f>
        <v>0.0749694891613878</v>
      </c>
    </row>
    <row r="1407" customFormat="false" ht="15" hidden="false" customHeight="false" outlineLevel="0" collapsed="false">
      <c r="A1407" s="6" t="s">
        <v>1569</v>
      </c>
      <c r="B1407" s="6" t="n">
        <v>36</v>
      </c>
      <c r="C1407" s="6" t="s">
        <v>139</v>
      </c>
      <c r="D1407" s="6" t="s">
        <v>144</v>
      </c>
      <c r="E1407" s="6" t="s">
        <v>90</v>
      </c>
      <c r="F1407" s="6" t="s">
        <v>145</v>
      </c>
      <c r="G1407" s="6" t="n">
        <v>13</v>
      </c>
      <c r="H1407" s="6" t="s">
        <v>82</v>
      </c>
      <c r="I1407" s="6" t="s">
        <v>80</v>
      </c>
      <c r="J1407" s="6" t="s">
        <v>60</v>
      </c>
      <c r="K1407" s="6" t="n">
        <v>104510</v>
      </c>
      <c r="L1407" s="6" t="n">
        <v>141988</v>
      </c>
      <c r="M1407" s="6" t="s">
        <v>142</v>
      </c>
      <c r="N1407" s="6" t="n">
        <v>51</v>
      </c>
      <c r="O1407" s="6" t="s">
        <v>58</v>
      </c>
      <c r="P1407" s="6" t="n">
        <v>6</v>
      </c>
      <c r="Q1407" s="6" t="n">
        <v>37.09</v>
      </c>
      <c r="R1407" s="20" t="n">
        <f aca="false">(L1407-K1407)/K1407</f>
        <v>0.358606831882117</v>
      </c>
    </row>
    <row r="1408" customFormat="false" ht="15" hidden="false" customHeight="false" outlineLevel="0" collapsed="false">
      <c r="A1408" s="6" t="s">
        <v>1570</v>
      </c>
      <c r="B1408" s="6" t="n">
        <v>30</v>
      </c>
      <c r="C1408" s="6" t="s">
        <v>139</v>
      </c>
      <c r="D1408" s="6" t="s">
        <v>148</v>
      </c>
      <c r="E1408" s="6" t="s">
        <v>88</v>
      </c>
      <c r="F1408" s="6" t="s">
        <v>157</v>
      </c>
      <c r="G1408" s="6" t="n">
        <v>7</v>
      </c>
      <c r="H1408" s="6" t="s">
        <v>82</v>
      </c>
      <c r="I1408" s="6" t="s">
        <v>81</v>
      </c>
      <c r="J1408" s="6" t="s">
        <v>58</v>
      </c>
      <c r="K1408" s="6" t="n">
        <v>91731</v>
      </c>
      <c r="L1408" s="6" t="n">
        <v>122532</v>
      </c>
      <c r="M1408" s="6" t="s">
        <v>146</v>
      </c>
      <c r="N1408" s="6" t="n">
        <v>53</v>
      </c>
      <c r="O1408" s="6" t="s">
        <v>60</v>
      </c>
      <c r="P1408" s="6" t="n">
        <v>3</v>
      </c>
      <c r="Q1408" s="6" t="n">
        <v>6.88</v>
      </c>
      <c r="R1408" s="20" t="n">
        <f aca="false">(L1408-K1408)/K1408</f>
        <v>0.335775255911306</v>
      </c>
    </row>
    <row r="1409" customFormat="false" ht="15" hidden="false" customHeight="false" outlineLevel="0" collapsed="false">
      <c r="A1409" s="6" t="s">
        <v>1571</v>
      </c>
      <c r="B1409" s="6" t="n">
        <v>52</v>
      </c>
      <c r="C1409" s="6" t="s">
        <v>159</v>
      </c>
      <c r="D1409" s="6" t="s">
        <v>144</v>
      </c>
      <c r="E1409" s="6" t="s">
        <v>93</v>
      </c>
      <c r="F1409" s="6" t="s">
        <v>181</v>
      </c>
      <c r="G1409" s="6" t="n">
        <v>29</v>
      </c>
      <c r="H1409" s="6" t="s">
        <v>82</v>
      </c>
      <c r="I1409" s="6" t="s">
        <v>81</v>
      </c>
      <c r="J1409" s="6" t="s">
        <v>60</v>
      </c>
      <c r="K1409" s="6" t="n">
        <v>48325</v>
      </c>
      <c r="L1409" s="6" t="n">
        <v>49463</v>
      </c>
      <c r="M1409" s="6" t="s">
        <v>146</v>
      </c>
      <c r="N1409" s="6" t="n">
        <v>40</v>
      </c>
      <c r="O1409" s="6" t="s">
        <v>60</v>
      </c>
      <c r="P1409" s="6" t="n">
        <v>4</v>
      </c>
      <c r="Q1409" s="6" t="n">
        <v>-6.18</v>
      </c>
      <c r="R1409" s="20" t="n">
        <f aca="false">(L1409-K1409)/K1409</f>
        <v>0.0235488877392654</v>
      </c>
    </row>
    <row r="1410" customFormat="false" ht="15" hidden="false" customHeight="false" outlineLevel="0" collapsed="false">
      <c r="A1410" s="6" t="s">
        <v>1572</v>
      </c>
      <c r="B1410" s="6" t="n">
        <v>32</v>
      </c>
      <c r="C1410" s="6" t="s">
        <v>159</v>
      </c>
      <c r="D1410" s="6" t="s">
        <v>135</v>
      </c>
      <c r="E1410" s="6" t="s">
        <v>90</v>
      </c>
      <c r="F1410" s="6" t="s">
        <v>202</v>
      </c>
      <c r="G1410" s="6" t="n">
        <v>6</v>
      </c>
      <c r="H1410" s="6" t="s">
        <v>82</v>
      </c>
      <c r="I1410" s="6" t="s">
        <v>82</v>
      </c>
      <c r="J1410" s="6" t="s">
        <v>60</v>
      </c>
      <c r="K1410" s="6" t="n">
        <v>31843</v>
      </c>
      <c r="L1410" s="6" t="n">
        <v>33292</v>
      </c>
      <c r="M1410" s="6" t="s">
        <v>146</v>
      </c>
      <c r="N1410" s="6" t="n">
        <v>35</v>
      </c>
      <c r="O1410" s="6" t="s">
        <v>58</v>
      </c>
      <c r="P1410" s="6" t="n">
        <v>6</v>
      </c>
      <c r="Q1410" s="6" t="n">
        <v>24.89</v>
      </c>
      <c r="R1410" s="20" t="n">
        <f aca="false">(L1410-K1410)/K1410</f>
        <v>0.0455045064849418</v>
      </c>
    </row>
    <row r="1411" customFormat="false" ht="15" hidden="false" customHeight="false" outlineLevel="0" collapsed="false">
      <c r="A1411" s="6" t="s">
        <v>1573</v>
      </c>
      <c r="B1411" s="6" t="n">
        <v>47</v>
      </c>
      <c r="C1411" s="6" t="s">
        <v>134</v>
      </c>
      <c r="D1411" s="6" t="s">
        <v>144</v>
      </c>
      <c r="E1411" s="6" t="s">
        <v>91</v>
      </c>
      <c r="F1411" s="6" t="s">
        <v>208</v>
      </c>
      <c r="G1411" s="6" t="n">
        <v>24</v>
      </c>
      <c r="H1411" s="6" t="s">
        <v>80</v>
      </c>
      <c r="I1411" s="6" t="s">
        <v>80</v>
      </c>
      <c r="J1411" s="6" t="s">
        <v>58</v>
      </c>
      <c r="K1411" s="6" t="n">
        <v>103048</v>
      </c>
      <c r="L1411" s="6" t="n">
        <v>98628</v>
      </c>
      <c r="M1411" s="6" t="s">
        <v>142</v>
      </c>
      <c r="N1411" s="6" t="n">
        <v>41</v>
      </c>
      <c r="O1411" s="6" t="s">
        <v>58</v>
      </c>
      <c r="P1411" s="6" t="n">
        <v>4</v>
      </c>
      <c r="Q1411" s="6" t="n">
        <v>28.07</v>
      </c>
      <c r="R1411" s="20" t="n">
        <f aca="false">(L1411-K1411)/K1411</f>
        <v>-0.0428926325595839</v>
      </c>
    </row>
    <row r="1412" customFormat="false" ht="15" hidden="false" customHeight="false" outlineLevel="0" collapsed="false">
      <c r="A1412" s="6" t="s">
        <v>1574</v>
      </c>
      <c r="B1412" s="6" t="n">
        <v>57</v>
      </c>
      <c r="C1412" s="6" t="s">
        <v>139</v>
      </c>
      <c r="D1412" s="6" t="s">
        <v>135</v>
      </c>
      <c r="E1412" s="6" t="s">
        <v>93</v>
      </c>
      <c r="F1412" s="6" t="s">
        <v>181</v>
      </c>
      <c r="G1412" s="6" t="n">
        <v>34</v>
      </c>
      <c r="H1412" s="6" t="s">
        <v>82</v>
      </c>
      <c r="I1412" s="6" t="s">
        <v>81</v>
      </c>
      <c r="J1412" s="6" t="s">
        <v>58</v>
      </c>
      <c r="K1412" s="6" t="n">
        <v>75913</v>
      </c>
      <c r="L1412" s="6" t="n">
        <v>95820</v>
      </c>
      <c r="M1412" s="6" t="s">
        <v>146</v>
      </c>
      <c r="N1412" s="6" t="n">
        <v>50</v>
      </c>
      <c r="O1412" s="6" t="s">
        <v>58</v>
      </c>
      <c r="P1412" s="6" t="n">
        <v>8</v>
      </c>
      <c r="Q1412" s="6" t="n">
        <v>9.98</v>
      </c>
      <c r="R1412" s="20" t="n">
        <f aca="false">(L1412-K1412)/K1412</f>
        <v>0.262234399905155</v>
      </c>
    </row>
    <row r="1413" customFormat="false" ht="15" hidden="false" customHeight="false" outlineLevel="0" collapsed="false">
      <c r="A1413" s="6" t="s">
        <v>1575</v>
      </c>
      <c r="B1413" s="6" t="n">
        <v>38</v>
      </c>
      <c r="C1413" s="6" t="s">
        <v>134</v>
      </c>
      <c r="D1413" s="6" t="s">
        <v>144</v>
      </c>
      <c r="E1413" s="6" t="s">
        <v>89</v>
      </c>
      <c r="F1413" s="6" t="s">
        <v>162</v>
      </c>
      <c r="G1413" s="6" t="n">
        <v>13</v>
      </c>
      <c r="H1413" s="6" t="s">
        <v>81</v>
      </c>
      <c r="I1413" s="6" t="s">
        <v>81</v>
      </c>
      <c r="J1413" s="6" t="s">
        <v>60</v>
      </c>
      <c r="K1413" s="6" t="n">
        <v>58690</v>
      </c>
      <c r="L1413" s="6" t="n">
        <v>65855</v>
      </c>
      <c r="M1413" s="6" t="s">
        <v>146</v>
      </c>
      <c r="N1413" s="6" t="n">
        <v>53</v>
      </c>
      <c r="O1413" s="6" t="s">
        <v>60</v>
      </c>
      <c r="P1413" s="6" t="n">
        <v>8</v>
      </c>
      <c r="Q1413" s="6" t="n">
        <v>-1.23</v>
      </c>
      <c r="R1413" s="20" t="n">
        <f aca="false">(L1413-K1413)/K1413</f>
        <v>0.122082126426989</v>
      </c>
    </row>
    <row r="1414" customFormat="false" ht="15" hidden="false" customHeight="false" outlineLevel="0" collapsed="false">
      <c r="A1414" s="6" t="s">
        <v>1576</v>
      </c>
      <c r="B1414" s="6" t="n">
        <v>46</v>
      </c>
      <c r="C1414" s="6" t="s">
        <v>134</v>
      </c>
      <c r="D1414" s="6" t="s">
        <v>135</v>
      </c>
      <c r="E1414" s="6" t="s">
        <v>88</v>
      </c>
      <c r="F1414" s="6" t="s">
        <v>157</v>
      </c>
      <c r="G1414" s="6" t="n">
        <v>23</v>
      </c>
      <c r="H1414" s="6" t="s">
        <v>81</v>
      </c>
      <c r="I1414" s="6" t="s">
        <v>80</v>
      </c>
      <c r="J1414" s="6" t="s">
        <v>60</v>
      </c>
      <c r="K1414" s="6" t="n">
        <v>116612</v>
      </c>
      <c r="L1414" s="6" t="n">
        <v>109076</v>
      </c>
      <c r="M1414" s="6" t="s">
        <v>142</v>
      </c>
      <c r="N1414" s="6" t="n">
        <v>47</v>
      </c>
      <c r="O1414" s="6" t="s">
        <v>60</v>
      </c>
      <c r="P1414" s="6" t="n">
        <v>5</v>
      </c>
      <c r="Q1414" s="6" t="n">
        <v>19.3</v>
      </c>
      <c r="R1414" s="20" t="n">
        <f aca="false">(L1414-K1414)/K1414</f>
        <v>-0.0646245669399376</v>
      </c>
    </row>
    <row r="1415" customFormat="false" ht="15" hidden="false" customHeight="false" outlineLevel="0" collapsed="false">
      <c r="A1415" s="6" t="s">
        <v>1577</v>
      </c>
      <c r="B1415" s="6" t="n">
        <v>47</v>
      </c>
      <c r="C1415" s="6" t="s">
        <v>159</v>
      </c>
      <c r="D1415" s="6" t="s">
        <v>148</v>
      </c>
      <c r="E1415" s="6" t="s">
        <v>92</v>
      </c>
      <c r="F1415" s="6" t="s">
        <v>222</v>
      </c>
      <c r="G1415" s="6" t="n">
        <v>25</v>
      </c>
      <c r="H1415" s="6" t="s">
        <v>80</v>
      </c>
      <c r="I1415" s="6" t="s">
        <v>82</v>
      </c>
      <c r="J1415" s="6" t="s">
        <v>60</v>
      </c>
      <c r="K1415" s="6" t="n">
        <v>92524</v>
      </c>
      <c r="L1415" s="6" t="n">
        <v>88346</v>
      </c>
      <c r="M1415" s="6" t="s">
        <v>142</v>
      </c>
      <c r="N1415" s="6" t="n">
        <v>46</v>
      </c>
      <c r="O1415" s="6" t="s">
        <v>60</v>
      </c>
      <c r="P1415" s="6" t="n">
        <v>4</v>
      </c>
      <c r="Q1415" s="6" t="n">
        <v>11.21</v>
      </c>
      <c r="R1415" s="20" t="n">
        <f aca="false">(L1415-K1415)/K1415</f>
        <v>-0.0451558514547577</v>
      </c>
    </row>
    <row r="1416" customFormat="false" ht="15" hidden="false" customHeight="false" outlineLevel="0" collapsed="false">
      <c r="A1416" s="6" t="s">
        <v>1578</v>
      </c>
      <c r="B1416" s="6" t="n">
        <v>59</v>
      </c>
      <c r="C1416" s="6" t="s">
        <v>159</v>
      </c>
      <c r="D1416" s="6" t="s">
        <v>144</v>
      </c>
      <c r="E1416" s="6" t="s">
        <v>90</v>
      </c>
      <c r="F1416" s="6" t="s">
        <v>202</v>
      </c>
      <c r="G1416" s="6" t="n">
        <v>33</v>
      </c>
      <c r="H1416" s="6" t="s">
        <v>80</v>
      </c>
      <c r="I1416" s="6" t="s">
        <v>80</v>
      </c>
      <c r="J1416" s="6" t="s">
        <v>58</v>
      </c>
      <c r="K1416" s="6" t="n">
        <v>100077</v>
      </c>
      <c r="L1416" s="6" t="n">
        <v>100681</v>
      </c>
      <c r="M1416" s="6" t="s">
        <v>142</v>
      </c>
      <c r="N1416" s="6" t="n">
        <v>39</v>
      </c>
      <c r="O1416" s="6" t="s">
        <v>60</v>
      </c>
      <c r="P1416" s="6" t="n">
        <v>5</v>
      </c>
      <c r="Q1416" s="6" t="n">
        <v>20.89</v>
      </c>
      <c r="R1416" s="20" t="n">
        <f aca="false">(L1416-K1416)/K1416</f>
        <v>0.00603535277836066</v>
      </c>
    </row>
    <row r="1417" customFormat="false" ht="15" hidden="false" customHeight="false" outlineLevel="0" collapsed="false">
      <c r="A1417" s="6" t="s">
        <v>1579</v>
      </c>
      <c r="B1417" s="6" t="n">
        <v>25</v>
      </c>
      <c r="C1417" s="6" t="s">
        <v>159</v>
      </c>
      <c r="D1417" s="6" t="s">
        <v>135</v>
      </c>
      <c r="E1417" s="6" t="s">
        <v>91</v>
      </c>
      <c r="F1417" s="6" t="s">
        <v>208</v>
      </c>
      <c r="G1417" s="6" t="n">
        <v>0</v>
      </c>
      <c r="H1417" s="6" t="s">
        <v>81</v>
      </c>
      <c r="I1417" s="6" t="s">
        <v>80</v>
      </c>
      <c r="J1417" s="6" t="s">
        <v>60</v>
      </c>
      <c r="K1417" s="6" t="n">
        <v>79416</v>
      </c>
      <c r="L1417" s="6" t="n">
        <v>87936</v>
      </c>
      <c r="M1417" s="6" t="s">
        <v>142</v>
      </c>
      <c r="N1417" s="6" t="n">
        <v>50</v>
      </c>
      <c r="O1417" s="6" t="s">
        <v>58</v>
      </c>
      <c r="P1417" s="6" t="n">
        <v>4</v>
      </c>
      <c r="Q1417" s="6" t="n">
        <v>4.25</v>
      </c>
      <c r="R1417" s="20" t="n">
        <f aca="false">(L1417-K1417)/K1417</f>
        <v>0.107283167119976</v>
      </c>
    </row>
    <row r="1418" customFormat="false" ht="15" hidden="false" customHeight="false" outlineLevel="0" collapsed="false">
      <c r="A1418" s="6" t="s">
        <v>1580</v>
      </c>
      <c r="B1418" s="6" t="n">
        <v>31</v>
      </c>
      <c r="C1418" s="6" t="s">
        <v>134</v>
      </c>
      <c r="D1418" s="6" t="s">
        <v>148</v>
      </c>
      <c r="E1418" s="6" t="s">
        <v>91</v>
      </c>
      <c r="F1418" s="6" t="s">
        <v>141</v>
      </c>
      <c r="G1418" s="6" t="n">
        <v>9</v>
      </c>
      <c r="H1418" s="6" t="s">
        <v>80</v>
      </c>
      <c r="I1418" s="6" t="s">
        <v>80</v>
      </c>
      <c r="J1418" s="6" t="s">
        <v>60</v>
      </c>
      <c r="K1418" s="6" t="n">
        <v>37044</v>
      </c>
      <c r="L1418" s="6" t="n">
        <v>35315</v>
      </c>
      <c r="M1418" s="6" t="s">
        <v>142</v>
      </c>
      <c r="N1418" s="6" t="n">
        <v>49</v>
      </c>
      <c r="O1418" s="6" t="s">
        <v>58</v>
      </c>
      <c r="P1418" s="6" t="n">
        <v>3</v>
      </c>
      <c r="Q1418" s="6" t="n">
        <v>-1.78</v>
      </c>
      <c r="R1418" s="20" t="n">
        <f aca="false">(L1418-K1418)/K1418</f>
        <v>-0.0466742252456538</v>
      </c>
    </row>
    <row r="1419" customFormat="false" ht="15" hidden="false" customHeight="false" outlineLevel="0" collapsed="false">
      <c r="A1419" s="6" t="s">
        <v>1581</v>
      </c>
      <c r="B1419" s="6" t="n">
        <v>25</v>
      </c>
      <c r="C1419" s="6" t="s">
        <v>159</v>
      </c>
      <c r="D1419" s="6" t="s">
        <v>144</v>
      </c>
      <c r="E1419" s="6" t="s">
        <v>92</v>
      </c>
      <c r="F1419" s="6" t="s">
        <v>222</v>
      </c>
      <c r="G1419" s="6" t="n">
        <v>1</v>
      </c>
      <c r="H1419" s="6" t="s">
        <v>82</v>
      </c>
      <c r="I1419" s="6" t="s">
        <v>81</v>
      </c>
      <c r="J1419" s="6" t="s">
        <v>58</v>
      </c>
      <c r="K1419" s="6" t="n">
        <v>62543</v>
      </c>
      <c r="L1419" s="6" t="n">
        <v>79870</v>
      </c>
      <c r="M1419" s="6" t="s">
        <v>146</v>
      </c>
      <c r="N1419" s="6" t="n">
        <v>44</v>
      </c>
      <c r="O1419" s="6" t="s">
        <v>58</v>
      </c>
      <c r="P1419" s="6" t="n">
        <v>4</v>
      </c>
      <c r="Q1419" s="6" t="n">
        <v>-9.12</v>
      </c>
      <c r="R1419" s="20" t="n">
        <f aca="false">(L1419-K1419)/K1419</f>
        <v>0.277041395519882</v>
      </c>
    </row>
    <row r="1420" customFormat="false" ht="15" hidden="false" customHeight="false" outlineLevel="0" collapsed="false">
      <c r="A1420" s="6" t="s">
        <v>1582</v>
      </c>
      <c r="B1420" s="6" t="n">
        <v>57</v>
      </c>
      <c r="C1420" s="6" t="s">
        <v>159</v>
      </c>
      <c r="D1420" s="6" t="s">
        <v>144</v>
      </c>
      <c r="E1420" s="6" t="s">
        <v>88</v>
      </c>
      <c r="F1420" s="6" t="s">
        <v>179</v>
      </c>
      <c r="G1420" s="6" t="n">
        <v>33</v>
      </c>
      <c r="H1420" s="6" t="s">
        <v>82</v>
      </c>
      <c r="I1420" s="6" t="s">
        <v>80</v>
      </c>
      <c r="J1420" s="6" t="s">
        <v>60</v>
      </c>
      <c r="K1420" s="6" t="n">
        <v>64157</v>
      </c>
      <c r="L1420" s="6" t="n">
        <v>81477</v>
      </c>
      <c r="M1420" s="6" t="s">
        <v>142</v>
      </c>
      <c r="N1420" s="6" t="n">
        <v>36</v>
      </c>
      <c r="O1420" s="6" t="s">
        <v>58</v>
      </c>
      <c r="P1420" s="6" t="n">
        <v>3</v>
      </c>
      <c r="Q1420" s="6" t="n">
        <v>37.77</v>
      </c>
      <c r="R1420" s="20" t="n">
        <f aca="false">(L1420-K1420)/K1420</f>
        <v>0.269962747634709</v>
      </c>
    </row>
    <row r="1421" customFormat="false" ht="15" hidden="false" customHeight="false" outlineLevel="0" collapsed="false">
      <c r="A1421" s="6" t="s">
        <v>1583</v>
      </c>
      <c r="B1421" s="6" t="n">
        <v>52</v>
      </c>
      <c r="C1421" s="6" t="s">
        <v>159</v>
      </c>
      <c r="D1421" s="6" t="s">
        <v>140</v>
      </c>
      <c r="E1421" s="6" t="s">
        <v>92</v>
      </c>
      <c r="F1421" s="6" t="s">
        <v>192</v>
      </c>
      <c r="G1421" s="6" t="n">
        <v>30</v>
      </c>
      <c r="H1421" s="6" t="s">
        <v>81</v>
      </c>
      <c r="I1421" s="6" t="s">
        <v>81</v>
      </c>
      <c r="J1421" s="6" t="s">
        <v>58</v>
      </c>
      <c r="K1421" s="6" t="n">
        <v>94808</v>
      </c>
      <c r="L1421" s="6" t="n">
        <v>111998</v>
      </c>
      <c r="M1421" s="6" t="s">
        <v>146</v>
      </c>
      <c r="N1421" s="6" t="n">
        <v>53</v>
      </c>
      <c r="O1421" s="6" t="s">
        <v>58</v>
      </c>
      <c r="P1421" s="6" t="n">
        <v>8</v>
      </c>
      <c r="Q1421" s="6" t="n">
        <v>-14.52</v>
      </c>
      <c r="R1421" s="20" t="n">
        <f aca="false">(L1421-K1421)/K1421</f>
        <v>0.181313813180322</v>
      </c>
    </row>
    <row r="1422" customFormat="false" ht="15" hidden="false" customHeight="false" outlineLevel="0" collapsed="false">
      <c r="A1422" s="6" t="s">
        <v>1584</v>
      </c>
      <c r="B1422" s="6" t="n">
        <v>56</v>
      </c>
      <c r="C1422" s="6" t="s">
        <v>139</v>
      </c>
      <c r="D1422" s="6" t="s">
        <v>135</v>
      </c>
      <c r="E1422" s="6" t="s">
        <v>93</v>
      </c>
      <c r="F1422" s="6" t="s">
        <v>197</v>
      </c>
      <c r="G1422" s="6" t="n">
        <v>30</v>
      </c>
      <c r="H1422" s="6" t="s">
        <v>81</v>
      </c>
      <c r="I1422" s="6" t="s">
        <v>80</v>
      </c>
      <c r="J1422" s="6" t="s">
        <v>60</v>
      </c>
      <c r="K1422" s="6" t="n">
        <v>30442</v>
      </c>
      <c r="L1422" s="6" t="n">
        <v>33054</v>
      </c>
      <c r="M1422" s="6" t="s">
        <v>142</v>
      </c>
      <c r="N1422" s="6" t="n">
        <v>42</v>
      </c>
      <c r="O1422" s="6" t="s">
        <v>58</v>
      </c>
      <c r="P1422" s="6" t="n">
        <v>5</v>
      </c>
      <c r="Q1422" s="6" t="n">
        <v>19.05</v>
      </c>
      <c r="R1422" s="20" t="n">
        <f aca="false">(L1422-K1422)/K1422</f>
        <v>0.0858025096905591</v>
      </c>
    </row>
    <row r="1423" customFormat="false" ht="15" hidden="false" customHeight="false" outlineLevel="0" collapsed="false">
      <c r="A1423" s="6" t="s">
        <v>1585</v>
      </c>
      <c r="B1423" s="6" t="n">
        <v>27</v>
      </c>
      <c r="C1423" s="6" t="s">
        <v>159</v>
      </c>
      <c r="D1423" s="6" t="s">
        <v>140</v>
      </c>
      <c r="E1423" s="6" t="s">
        <v>89</v>
      </c>
      <c r="F1423" s="6" t="s">
        <v>151</v>
      </c>
      <c r="G1423" s="6" t="n">
        <v>5</v>
      </c>
      <c r="H1423" s="6" t="s">
        <v>80</v>
      </c>
      <c r="I1423" s="6" t="s">
        <v>82</v>
      </c>
      <c r="J1423" s="6" t="s">
        <v>60</v>
      </c>
      <c r="K1423" s="6" t="n">
        <v>96567</v>
      </c>
      <c r="L1423" s="6" t="n">
        <v>94607</v>
      </c>
      <c r="M1423" s="6" t="s">
        <v>142</v>
      </c>
      <c r="N1423" s="6" t="n">
        <v>49</v>
      </c>
      <c r="O1423" s="6" t="s">
        <v>60</v>
      </c>
      <c r="P1423" s="6" t="n">
        <v>9</v>
      </c>
      <c r="Q1423" s="6" t="n">
        <v>-11.95</v>
      </c>
      <c r="R1423" s="20" t="n">
        <f aca="false">(L1423-K1423)/K1423</f>
        <v>-0.0202967887580644</v>
      </c>
    </row>
    <row r="1424" customFormat="false" ht="15" hidden="false" customHeight="false" outlineLevel="0" collapsed="false">
      <c r="A1424" s="6" t="s">
        <v>1586</v>
      </c>
      <c r="B1424" s="6" t="n">
        <v>40</v>
      </c>
      <c r="C1424" s="6" t="s">
        <v>134</v>
      </c>
      <c r="D1424" s="6" t="s">
        <v>140</v>
      </c>
      <c r="E1424" s="6" t="s">
        <v>89</v>
      </c>
      <c r="F1424" s="6" t="s">
        <v>153</v>
      </c>
      <c r="G1424" s="6" t="n">
        <v>14</v>
      </c>
      <c r="H1424" s="6" t="s">
        <v>81</v>
      </c>
      <c r="I1424" s="6" t="s">
        <v>82</v>
      </c>
      <c r="J1424" s="6" t="s">
        <v>58</v>
      </c>
      <c r="K1424" s="6" t="n">
        <v>89252</v>
      </c>
      <c r="L1424" s="6" t="n">
        <v>89442</v>
      </c>
      <c r="M1424" s="6" t="s">
        <v>142</v>
      </c>
      <c r="N1424" s="6" t="n">
        <v>41</v>
      </c>
      <c r="O1424" s="6" t="s">
        <v>60</v>
      </c>
      <c r="P1424" s="6" t="n">
        <v>3</v>
      </c>
      <c r="Q1424" s="6" t="n">
        <v>39.46</v>
      </c>
      <c r="R1424" s="20" t="n">
        <f aca="false">(L1424-K1424)/K1424</f>
        <v>0.0021288038363286</v>
      </c>
    </row>
    <row r="1425" customFormat="false" ht="15" hidden="false" customHeight="false" outlineLevel="0" collapsed="false">
      <c r="A1425" s="6" t="s">
        <v>1587</v>
      </c>
      <c r="B1425" s="6" t="n">
        <v>31</v>
      </c>
      <c r="C1425" s="6" t="s">
        <v>139</v>
      </c>
      <c r="D1425" s="6" t="s">
        <v>144</v>
      </c>
      <c r="E1425" s="6" t="s">
        <v>92</v>
      </c>
      <c r="F1425" s="6" t="s">
        <v>136</v>
      </c>
      <c r="G1425" s="6" t="n">
        <v>6</v>
      </c>
      <c r="H1425" s="6" t="s">
        <v>80</v>
      </c>
      <c r="I1425" s="6" t="s">
        <v>80</v>
      </c>
      <c r="J1425" s="6" t="s">
        <v>60</v>
      </c>
      <c r="K1425" s="6" t="n">
        <v>118901</v>
      </c>
      <c r="L1425" s="6" t="n">
        <v>120000</v>
      </c>
      <c r="M1425" s="6" t="s">
        <v>142</v>
      </c>
      <c r="N1425" s="6" t="n">
        <v>51</v>
      </c>
      <c r="O1425" s="6" t="s">
        <v>58</v>
      </c>
      <c r="P1425" s="6" t="n">
        <v>8</v>
      </c>
      <c r="Q1425" s="6" t="n">
        <v>0.1</v>
      </c>
      <c r="R1425" s="20" t="n">
        <f aca="false">(L1425-K1425)/K1425</f>
        <v>0.00924298365867402</v>
      </c>
    </row>
    <row r="1426" customFormat="false" ht="15" hidden="false" customHeight="false" outlineLevel="0" collapsed="false">
      <c r="A1426" s="6" t="s">
        <v>1588</v>
      </c>
      <c r="B1426" s="6" t="n">
        <v>37</v>
      </c>
      <c r="C1426" s="6" t="s">
        <v>134</v>
      </c>
      <c r="D1426" s="6" t="s">
        <v>148</v>
      </c>
      <c r="E1426" s="6" t="s">
        <v>92</v>
      </c>
      <c r="F1426" s="6" t="s">
        <v>136</v>
      </c>
      <c r="G1426" s="6" t="n">
        <v>11</v>
      </c>
      <c r="H1426" s="6" t="s">
        <v>82</v>
      </c>
      <c r="I1426" s="6" t="s">
        <v>81</v>
      </c>
      <c r="J1426" s="6" t="s">
        <v>58</v>
      </c>
      <c r="K1426" s="6" t="n">
        <v>36044</v>
      </c>
      <c r="L1426" s="6" t="n">
        <v>43735</v>
      </c>
      <c r="M1426" s="6" t="s">
        <v>146</v>
      </c>
      <c r="N1426" s="6" t="n">
        <v>40</v>
      </c>
      <c r="O1426" s="6" t="s">
        <v>58</v>
      </c>
      <c r="P1426" s="6" t="n">
        <v>5</v>
      </c>
      <c r="Q1426" s="6" t="n">
        <v>14.02</v>
      </c>
      <c r="R1426" s="20" t="n">
        <f aca="false">(L1426-K1426)/K1426</f>
        <v>0.213378093441349</v>
      </c>
    </row>
    <row r="1427" customFormat="false" ht="15" hidden="false" customHeight="false" outlineLevel="0" collapsed="false">
      <c r="A1427" s="6" t="s">
        <v>1589</v>
      </c>
      <c r="B1427" s="6" t="n">
        <v>56</v>
      </c>
      <c r="C1427" s="6" t="s">
        <v>134</v>
      </c>
      <c r="D1427" s="6" t="s">
        <v>144</v>
      </c>
      <c r="E1427" s="6" t="s">
        <v>91</v>
      </c>
      <c r="F1427" s="6" t="s">
        <v>141</v>
      </c>
      <c r="G1427" s="6" t="n">
        <v>34</v>
      </c>
      <c r="H1427" s="6" t="s">
        <v>82</v>
      </c>
      <c r="I1427" s="6" t="s">
        <v>81</v>
      </c>
      <c r="J1427" s="6" t="s">
        <v>60</v>
      </c>
      <c r="K1427" s="6" t="n">
        <v>113108</v>
      </c>
      <c r="L1427" s="6" t="n">
        <v>116088</v>
      </c>
      <c r="M1427" s="6" t="s">
        <v>146</v>
      </c>
      <c r="N1427" s="6" t="n">
        <v>48</v>
      </c>
      <c r="O1427" s="6" t="s">
        <v>58</v>
      </c>
      <c r="P1427" s="6" t="n">
        <v>3</v>
      </c>
      <c r="Q1427" s="6" t="n">
        <v>19.84</v>
      </c>
      <c r="R1427" s="20" t="n">
        <f aca="false">(L1427-K1427)/K1427</f>
        <v>0.0263465006896064</v>
      </c>
    </row>
    <row r="1428" customFormat="false" ht="15" hidden="false" customHeight="false" outlineLevel="0" collapsed="false">
      <c r="A1428" s="6" t="s">
        <v>1590</v>
      </c>
      <c r="B1428" s="6" t="n">
        <v>22</v>
      </c>
      <c r="C1428" s="6" t="s">
        <v>139</v>
      </c>
      <c r="D1428" s="6" t="s">
        <v>148</v>
      </c>
      <c r="E1428" s="6" t="s">
        <v>91</v>
      </c>
      <c r="F1428" s="6" t="s">
        <v>206</v>
      </c>
      <c r="G1428" s="6" t="n">
        <v>0</v>
      </c>
      <c r="H1428" s="6" t="s">
        <v>82</v>
      </c>
      <c r="I1428" s="6" t="s">
        <v>80</v>
      </c>
      <c r="J1428" s="6" t="s">
        <v>60</v>
      </c>
      <c r="K1428" s="6" t="n">
        <v>31894</v>
      </c>
      <c r="L1428" s="6" t="n">
        <v>28532</v>
      </c>
      <c r="M1428" s="6" t="s">
        <v>142</v>
      </c>
      <c r="N1428" s="6" t="n">
        <v>50</v>
      </c>
      <c r="O1428" s="6" t="s">
        <v>60</v>
      </c>
      <c r="P1428" s="6" t="n">
        <v>7</v>
      </c>
      <c r="Q1428" s="6" t="n">
        <v>-9.56</v>
      </c>
      <c r="R1428" s="20" t="n">
        <f aca="false">(L1428-K1428)/K1428</f>
        <v>-0.105411676177337</v>
      </c>
    </row>
    <row r="1429" customFormat="false" ht="15" hidden="false" customHeight="false" outlineLevel="0" collapsed="false">
      <c r="A1429" s="6" t="s">
        <v>1591</v>
      </c>
      <c r="B1429" s="6" t="n">
        <v>50</v>
      </c>
      <c r="C1429" s="6" t="s">
        <v>159</v>
      </c>
      <c r="D1429" s="6" t="s">
        <v>135</v>
      </c>
      <c r="E1429" s="6" t="s">
        <v>87</v>
      </c>
      <c r="F1429" s="6" t="s">
        <v>155</v>
      </c>
      <c r="G1429" s="6" t="n">
        <v>25</v>
      </c>
      <c r="H1429" s="6" t="s">
        <v>81</v>
      </c>
      <c r="I1429" s="6" t="s">
        <v>82</v>
      </c>
      <c r="J1429" s="6" t="s">
        <v>60</v>
      </c>
      <c r="K1429" s="6" t="n">
        <v>57659</v>
      </c>
      <c r="L1429" s="6" t="n">
        <v>58456</v>
      </c>
      <c r="M1429" s="6" t="s">
        <v>142</v>
      </c>
      <c r="N1429" s="6" t="n">
        <v>50</v>
      </c>
      <c r="O1429" s="6" t="s">
        <v>58</v>
      </c>
      <c r="P1429" s="6" t="n">
        <v>5</v>
      </c>
      <c r="Q1429" s="6" t="n">
        <v>10.39</v>
      </c>
      <c r="R1429" s="20" t="n">
        <f aca="false">(L1429-K1429)/K1429</f>
        <v>0.0138226469415009</v>
      </c>
    </row>
    <row r="1430" customFormat="false" ht="15" hidden="false" customHeight="false" outlineLevel="0" collapsed="false">
      <c r="A1430" s="6" t="s">
        <v>1592</v>
      </c>
      <c r="B1430" s="6" t="n">
        <v>33</v>
      </c>
      <c r="C1430" s="6" t="s">
        <v>134</v>
      </c>
      <c r="D1430" s="6" t="s">
        <v>140</v>
      </c>
      <c r="E1430" s="6" t="s">
        <v>87</v>
      </c>
      <c r="F1430" s="6" t="s">
        <v>160</v>
      </c>
      <c r="G1430" s="6" t="n">
        <v>7</v>
      </c>
      <c r="H1430" s="6" t="s">
        <v>81</v>
      </c>
      <c r="I1430" s="6" t="s">
        <v>82</v>
      </c>
      <c r="J1430" s="6" t="s">
        <v>58</v>
      </c>
      <c r="K1430" s="6" t="n">
        <v>44633</v>
      </c>
      <c r="L1430" s="6" t="n">
        <v>52605</v>
      </c>
      <c r="M1430" s="6" t="s">
        <v>142</v>
      </c>
      <c r="N1430" s="6" t="n">
        <v>36</v>
      </c>
      <c r="O1430" s="6" t="s">
        <v>58</v>
      </c>
      <c r="P1430" s="6" t="n">
        <v>9</v>
      </c>
      <c r="Q1430" s="6" t="n">
        <v>28.26</v>
      </c>
      <c r="R1430" s="20" t="n">
        <f aca="false">(L1430-K1430)/K1430</f>
        <v>0.178612237582058</v>
      </c>
    </row>
    <row r="1431" customFormat="false" ht="15" hidden="false" customHeight="false" outlineLevel="0" collapsed="false">
      <c r="A1431" s="6" t="s">
        <v>1593</v>
      </c>
      <c r="B1431" s="6" t="n">
        <v>56</v>
      </c>
      <c r="C1431" s="6" t="s">
        <v>134</v>
      </c>
      <c r="D1431" s="6" t="s">
        <v>148</v>
      </c>
      <c r="E1431" s="6" t="s">
        <v>89</v>
      </c>
      <c r="F1431" s="6" t="s">
        <v>153</v>
      </c>
      <c r="G1431" s="6" t="n">
        <v>34</v>
      </c>
      <c r="H1431" s="6" t="s">
        <v>81</v>
      </c>
      <c r="I1431" s="6" t="s">
        <v>81</v>
      </c>
      <c r="J1431" s="6" t="s">
        <v>58</v>
      </c>
      <c r="K1431" s="6" t="n">
        <v>103177</v>
      </c>
      <c r="L1431" s="6" t="n">
        <v>109924</v>
      </c>
      <c r="M1431" s="6" t="s">
        <v>146</v>
      </c>
      <c r="N1431" s="6" t="n">
        <v>49</v>
      </c>
      <c r="O1431" s="6" t="s">
        <v>60</v>
      </c>
      <c r="P1431" s="6" t="n">
        <v>8</v>
      </c>
      <c r="Q1431" s="6" t="n">
        <v>1.57</v>
      </c>
      <c r="R1431" s="20" t="n">
        <f aca="false">(L1431-K1431)/K1431</f>
        <v>0.0653924808823672</v>
      </c>
    </row>
    <row r="1432" customFormat="false" ht="15" hidden="false" customHeight="false" outlineLevel="0" collapsed="false">
      <c r="A1432" s="6" t="s">
        <v>1594</v>
      </c>
      <c r="B1432" s="6" t="n">
        <v>27</v>
      </c>
      <c r="C1432" s="6" t="s">
        <v>159</v>
      </c>
      <c r="D1432" s="6" t="s">
        <v>135</v>
      </c>
      <c r="E1432" s="6" t="s">
        <v>93</v>
      </c>
      <c r="F1432" s="6" t="s">
        <v>197</v>
      </c>
      <c r="G1432" s="6" t="n">
        <v>2</v>
      </c>
      <c r="H1432" s="6" t="s">
        <v>80</v>
      </c>
      <c r="I1432" s="6" t="s">
        <v>80</v>
      </c>
      <c r="J1432" s="6" t="s">
        <v>60</v>
      </c>
      <c r="K1432" s="6" t="n">
        <v>86151</v>
      </c>
      <c r="L1432" s="6" t="n">
        <v>87682</v>
      </c>
      <c r="M1432" s="6" t="s">
        <v>142</v>
      </c>
      <c r="N1432" s="6" t="n">
        <v>39</v>
      </c>
      <c r="O1432" s="6" t="s">
        <v>58</v>
      </c>
      <c r="P1432" s="6" t="n">
        <v>8</v>
      </c>
      <c r="Q1432" s="6" t="n">
        <v>27.82</v>
      </c>
      <c r="R1432" s="20" t="n">
        <f aca="false">(L1432-K1432)/K1432</f>
        <v>0.0177711227960209</v>
      </c>
    </row>
    <row r="1433" customFormat="false" ht="15" hidden="false" customHeight="false" outlineLevel="0" collapsed="false">
      <c r="A1433" s="6" t="s">
        <v>1595</v>
      </c>
      <c r="B1433" s="6" t="n">
        <v>25</v>
      </c>
      <c r="C1433" s="6" t="s">
        <v>159</v>
      </c>
      <c r="D1433" s="6" t="s">
        <v>135</v>
      </c>
      <c r="E1433" s="6" t="s">
        <v>91</v>
      </c>
      <c r="F1433" s="6" t="s">
        <v>208</v>
      </c>
      <c r="G1433" s="6" t="n">
        <v>2</v>
      </c>
      <c r="H1433" s="6" t="s">
        <v>81</v>
      </c>
      <c r="I1433" s="6" t="s">
        <v>82</v>
      </c>
      <c r="J1433" s="6" t="s">
        <v>58</v>
      </c>
      <c r="K1433" s="6" t="n">
        <v>47634</v>
      </c>
      <c r="L1433" s="6" t="n">
        <v>53019</v>
      </c>
      <c r="M1433" s="6" t="s">
        <v>142</v>
      </c>
      <c r="N1433" s="6" t="n">
        <v>36</v>
      </c>
      <c r="O1433" s="6" t="s">
        <v>60</v>
      </c>
      <c r="P1433" s="6" t="n">
        <v>7</v>
      </c>
      <c r="Q1433" s="6" t="n">
        <v>20.64</v>
      </c>
      <c r="R1433" s="20" t="n">
        <f aca="false">(L1433-K1433)/K1433</f>
        <v>0.113049502456229</v>
      </c>
    </row>
    <row r="1434" customFormat="false" ht="15" hidden="false" customHeight="false" outlineLevel="0" collapsed="false">
      <c r="A1434" s="6" t="s">
        <v>1596</v>
      </c>
      <c r="B1434" s="6" t="n">
        <v>36</v>
      </c>
      <c r="C1434" s="6" t="s">
        <v>159</v>
      </c>
      <c r="D1434" s="6" t="s">
        <v>135</v>
      </c>
      <c r="E1434" s="6" t="s">
        <v>88</v>
      </c>
      <c r="F1434" s="6" t="s">
        <v>179</v>
      </c>
      <c r="G1434" s="6" t="n">
        <v>10</v>
      </c>
      <c r="H1434" s="6" t="s">
        <v>81</v>
      </c>
      <c r="I1434" s="6" t="s">
        <v>81</v>
      </c>
      <c r="J1434" s="6" t="s">
        <v>60</v>
      </c>
      <c r="K1434" s="6" t="n">
        <v>116914</v>
      </c>
      <c r="L1434" s="6" t="n">
        <v>112803</v>
      </c>
      <c r="M1434" s="6" t="s">
        <v>146</v>
      </c>
      <c r="N1434" s="6" t="n">
        <v>37</v>
      </c>
      <c r="O1434" s="6" t="s">
        <v>58</v>
      </c>
      <c r="P1434" s="6" t="n">
        <v>6</v>
      </c>
      <c r="Q1434" s="6" t="n">
        <v>15.45</v>
      </c>
      <c r="R1434" s="20" t="n">
        <f aca="false">(L1434-K1434)/K1434</f>
        <v>-0.0351625981490668</v>
      </c>
    </row>
    <row r="1435" customFormat="false" ht="15" hidden="false" customHeight="false" outlineLevel="0" collapsed="false">
      <c r="A1435" s="6" t="s">
        <v>1597</v>
      </c>
      <c r="B1435" s="6" t="n">
        <v>44</v>
      </c>
      <c r="C1435" s="6" t="s">
        <v>159</v>
      </c>
      <c r="D1435" s="6" t="s">
        <v>144</v>
      </c>
      <c r="E1435" s="6" t="s">
        <v>89</v>
      </c>
      <c r="F1435" s="6" t="s">
        <v>153</v>
      </c>
      <c r="G1435" s="6" t="n">
        <v>19</v>
      </c>
      <c r="H1435" s="6" t="s">
        <v>82</v>
      </c>
      <c r="I1435" s="6" t="s">
        <v>82</v>
      </c>
      <c r="J1435" s="6" t="s">
        <v>60</v>
      </c>
      <c r="K1435" s="6" t="n">
        <v>119595</v>
      </c>
      <c r="L1435" s="6" t="n">
        <v>147064</v>
      </c>
      <c r="M1435" s="6" t="s">
        <v>146</v>
      </c>
      <c r="N1435" s="6" t="n">
        <v>38</v>
      </c>
      <c r="O1435" s="6" t="s">
        <v>60</v>
      </c>
      <c r="P1435" s="6" t="n">
        <v>3</v>
      </c>
      <c r="Q1435" s="6" t="n">
        <v>-7.75</v>
      </c>
      <c r="R1435" s="20" t="n">
        <f aca="false">(L1435-K1435)/K1435</f>
        <v>0.229683515197124</v>
      </c>
    </row>
    <row r="1436" customFormat="false" ht="15" hidden="false" customHeight="false" outlineLevel="0" collapsed="false">
      <c r="A1436" s="6" t="s">
        <v>1598</v>
      </c>
      <c r="B1436" s="6" t="n">
        <v>47</v>
      </c>
      <c r="C1436" s="6" t="s">
        <v>159</v>
      </c>
      <c r="D1436" s="6" t="s">
        <v>148</v>
      </c>
      <c r="E1436" s="6" t="s">
        <v>91</v>
      </c>
      <c r="F1436" s="6" t="s">
        <v>206</v>
      </c>
      <c r="G1436" s="6" t="n">
        <v>25</v>
      </c>
      <c r="H1436" s="6" t="s">
        <v>81</v>
      </c>
      <c r="I1436" s="6" t="s">
        <v>80</v>
      </c>
      <c r="J1436" s="6" t="s">
        <v>60</v>
      </c>
      <c r="K1436" s="6" t="n">
        <v>79063</v>
      </c>
      <c r="L1436" s="6" t="n">
        <v>74240</v>
      </c>
      <c r="M1436" s="6" t="s">
        <v>142</v>
      </c>
      <c r="N1436" s="6" t="n">
        <v>46</v>
      </c>
      <c r="O1436" s="6" t="s">
        <v>58</v>
      </c>
      <c r="P1436" s="6" t="n">
        <v>9</v>
      </c>
      <c r="Q1436" s="6" t="n">
        <v>-0.34</v>
      </c>
      <c r="R1436" s="20" t="n">
        <f aca="false">(L1436-K1436)/K1436</f>
        <v>-0.0610019857581928</v>
      </c>
    </row>
    <row r="1437" customFormat="false" ht="15" hidden="false" customHeight="false" outlineLevel="0" collapsed="false">
      <c r="A1437" s="6" t="s">
        <v>1599</v>
      </c>
      <c r="B1437" s="6" t="n">
        <v>40</v>
      </c>
      <c r="C1437" s="6" t="s">
        <v>134</v>
      </c>
      <c r="D1437" s="6" t="s">
        <v>140</v>
      </c>
      <c r="E1437" s="6" t="s">
        <v>92</v>
      </c>
      <c r="F1437" s="6" t="s">
        <v>136</v>
      </c>
      <c r="G1437" s="6" t="n">
        <v>17</v>
      </c>
      <c r="H1437" s="6" t="s">
        <v>81</v>
      </c>
      <c r="I1437" s="6" t="s">
        <v>82</v>
      </c>
      <c r="J1437" s="6" t="s">
        <v>58</v>
      </c>
      <c r="K1437" s="6" t="n">
        <v>91606</v>
      </c>
      <c r="L1437" s="6" t="n">
        <v>99066</v>
      </c>
      <c r="M1437" s="6" t="s">
        <v>142</v>
      </c>
      <c r="N1437" s="6" t="n">
        <v>43</v>
      </c>
      <c r="O1437" s="6" t="s">
        <v>58</v>
      </c>
      <c r="P1437" s="6" t="n">
        <v>9</v>
      </c>
      <c r="Q1437" s="6" t="n">
        <v>8.81</v>
      </c>
      <c r="R1437" s="20" t="n">
        <f aca="false">(L1437-K1437)/K1437</f>
        <v>0.0814357138178722</v>
      </c>
    </row>
    <row r="1438" customFormat="false" ht="15" hidden="false" customHeight="false" outlineLevel="0" collapsed="false">
      <c r="A1438" s="6" t="s">
        <v>1600</v>
      </c>
      <c r="B1438" s="6" t="n">
        <v>35</v>
      </c>
      <c r="C1438" s="6" t="s">
        <v>159</v>
      </c>
      <c r="D1438" s="6" t="s">
        <v>144</v>
      </c>
      <c r="E1438" s="6" t="s">
        <v>88</v>
      </c>
      <c r="F1438" s="6" t="s">
        <v>234</v>
      </c>
      <c r="G1438" s="6" t="n">
        <v>11</v>
      </c>
      <c r="H1438" s="6" t="s">
        <v>82</v>
      </c>
      <c r="I1438" s="6" t="s">
        <v>80</v>
      </c>
      <c r="J1438" s="6" t="s">
        <v>60</v>
      </c>
      <c r="K1438" s="6" t="n">
        <v>50422</v>
      </c>
      <c r="L1438" s="6" t="n">
        <v>44384</v>
      </c>
      <c r="M1438" s="6" t="s">
        <v>142</v>
      </c>
      <c r="N1438" s="6" t="n">
        <v>38</v>
      </c>
      <c r="O1438" s="6" t="s">
        <v>58</v>
      </c>
      <c r="P1438" s="6" t="n">
        <v>4</v>
      </c>
      <c r="Q1438" s="6" t="n">
        <v>33.14</v>
      </c>
      <c r="R1438" s="20" t="n">
        <f aca="false">(L1438-K1438)/K1438</f>
        <v>-0.11974931577486</v>
      </c>
    </row>
    <row r="1439" customFormat="false" ht="15" hidden="false" customHeight="false" outlineLevel="0" collapsed="false">
      <c r="A1439" s="6" t="s">
        <v>1601</v>
      </c>
      <c r="B1439" s="6" t="n">
        <v>40</v>
      </c>
      <c r="C1439" s="6" t="s">
        <v>159</v>
      </c>
      <c r="D1439" s="6" t="s">
        <v>144</v>
      </c>
      <c r="E1439" s="6" t="s">
        <v>91</v>
      </c>
      <c r="F1439" s="6" t="s">
        <v>208</v>
      </c>
      <c r="G1439" s="6" t="n">
        <v>18</v>
      </c>
      <c r="H1439" s="6" t="s">
        <v>81</v>
      </c>
      <c r="I1439" s="6" t="s">
        <v>80</v>
      </c>
      <c r="J1439" s="6" t="s">
        <v>60</v>
      </c>
      <c r="K1439" s="6" t="n">
        <v>98232</v>
      </c>
      <c r="L1439" s="6" t="n">
        <v>106349</v>
      </c>
      <c r="M1439" s="6" t="s">
        <v>142</v>
      </c>
      <c r="N1439" s="6" t="n">
        <v>43</v>
      </c>
      <c r="O1439" s="6" t="s">
        <v>58</v>
      </c>
      <c r="P1439" s="6" t="n">
        <v>9</v>
      </c>
      <c r="Q1439" s="6" t="n">
        <v>-9.24</v>
      </c>
      <c r="R1439" s="20" t="n">
        <f aca="false">(L1439-K1439)/K1439</f>
        <v>0.0826309145695904</v>
      </c>
    </row>
    <row r="1440" customFormat="false" ht="15" hidden="false" customHeight="false" outlineLevel="0" collapsed="false">
      <c r="A1440" s="6" t="s">
        <v>1602</v>
      </c>
      <c r="B1440" s="6" t="n">
        <v>37</v>
      </c>
      <c r="C1440" s="6" t="s">
        <v>159</v>
      </c>
      <c r="D1440" s="6" t="s">
        <v>135</v>
      </c>
      <c r="E1440" s="6" t="s">
        <v>93</v>
      </c>
      <c r="F1440" s="6" t="s">
        <v>197</v>
      </c>
      <c r="G1440" s="6" t="n">
        <v>13</v>
      </c>
      <c r="H1440" s="6" t="s">
        <v>80</v>
      </c>
      <c r="I1440" s="6" t="s">
        <v>81</v>
      </c>
      <c r="J1440" s="6" t="s">
        <v>58</v>
      </c>
      <c r="K1440" s="6" t="n">
        <v>37910</v>
      </c>
      <c r="L1440" s="6" t="n">
        <v>40622</v>
      </c>
      <c r="M1440" s="6" t="s">
        <v>146</v>
      </c>
      <c r="N1440" s="6" t="n">
        <v>46</v>
      </c>
      <c r="O1440" s="6" t="s">
        <v>58</v>
      </c>
      <c r="P1440" s="6" t="n">
        <v>7</v>
      </c>
      <c r="Q1440" s="6" t="n">
        <v>27.81</v>
      </c>
      <c r="R1440" s="20" t="n">
        <f aca="false">(L1440-K1440)/K1440</f>
        <v>0.0715378528092852</v>
      </c>
    </row>
    <row r="1441" customFormat="false" ht="15" hidden="false" customHeight="false" outlineLevel="0" collapsed="false">
      <c r="A1441" s="6" t="s">
        <v>1603</v>
      </c>
      <c r="B1441" s="6" t="n">
        <v>34</v>
      </c>
      <c r="C1441" s="6" t="s">
        <v>134</v>
      </c>
      <c r="D1441" s="6" t="s">
        <v>135</v>
      </c>
      <c r="E1441" s="6" t="s">
        <v>92</v>
      </c>
      <c r="F1441" s="6" t="s">
        <v>136</v>
      </c>
      <c r="G1441" s="6" t="n">
        <v>9</v>
      </c>
      <c r="H1441" s="6" t="s">
        <v>81</v>
      </c>
      <c r="I1441" s="6" t="s">
        <v>80</v>
      </c>
      <c r="J1441" s="6" t="s">
        <v>60</v>
      </c>
      <c r="K1441" s="6" t="n">
        <v>101934</v>
      </c>
      <c r="L1441" s="6" t="n">
        <v>105414</v>
      </c>
      <c r="M1441" s="6" t="s">
        <v>142</v>
      </c>
      <c r="N1441" s="6" t="n">
        <v>38</v>
      </c>
      <c r="O1441" s="6" t="s">
        <v>60</v>
      </c>
      <c r="P1441" s="6" t="n">
        <v>6</v>
      </c>
      <c r="Q1441" s="6" t="n">
        <v>6.22</v>
      </c>
      <c r="R1441" s="20" t="n">
        <f aca="false">(L1441-K1441)/K1441</f>
        <v>0.0341397374771911</v>
      </c>
    </row>
    <row r="1442" customFormat="false" ht="15" hidden="false" customHeight="false" outlineLevel="0" collapsed="false">
      <c r="A1442" s="6" t="s">
        <v>1604</v>
      </c>
      <c r="B1442" s="6" t="n">
        <v>45</v>
      </c>
      <c r="C1442" s="6" t="s">
        <v>139</v>
      </c>
      <c r="D1442" s="6" t="s">
        <v>140</v>
      </c>
      <c r="E1442" s="6" t="s">
        <v>90</v>
      </c>
      <c r="F1442" s="6" t="s">
        <v>236</v>
      </c>
      <c r="G1442" s="6" t="n">
        <v>19</v>
      </c>
      <c r="H1442" s="6" t="s">
        <v>80</v>
      </c>
      <c r="I1442" s="6" t="s">
        <v>80</v>
      </c>
      <c r="J1442" s="6" t="s">
        <v>60</v>
      </c>
      <c r="K1442" s="6" t="n">
        <v>30036</v>
      </c>
      <c r="L1442" s="6" t="n">
        <v>32009</v>
      </c>
      <c r="M1442" s="6" t="s">
        <v>142</v>
      </c>
      <c r="N1442" s="6" t="n">
        <v>37</v>
      </c>
      <c r="O1442" s="6" t="s">
        <v>58</v>
      </c>
      <c r="P1442" s="6" t="n">
        <v>7</v>
      </c>
      <c r="Q1442" s="6" t="n">
        <v>30.49</v>
      </c>
      <c r="R1442" s="20" t="n">
        <f aca="false">(L1442-K1442)/K1442</f>
        <v>0.0656878412571581</v>
      </c>
    </row>
    <row r="1443" customFormat="false" ht="15" hidden="false" customHeight="false" outlineLevel="0" collapsed="false">
      <c r="A1443" s="6" t="s">
        <v>1605</v>
      </c>
      <c r="B1443" s="6" t="n">
        <v>23</v>
      </c>
      <c r="C1443" s="6" t="s">
        <v>134</v>
      </c>
      <c r="D1443" s="6" t="s">
        <v>144</v>
      </c>
      <c r="E1443" s="6" t="s">
        <v>88</v>
      </c>
      <c r="F1443" s="6" t="s">
        <v>234</v>
      </c>
      <c r="G1443" s="6" t="n">
        <v>0</v>
      </c>
      <c r="H1443" s="6" t="s">
        <v>80</v>
      </c>
      <c r="I1443" s="6" t="s">
        <v>80</v>
      </c>
      <c r="J1443" s="6" t="s">
        <v>58</v>
      </c>
      <c r="K1443" s="6" t="n">
        <v>66648</v>
      </c>
      <c r="L1443" s="6" t="n">
        <v>63518</v>
      </c>
      <c r="M1443" s="6" t="s">
        <v>142</v>
      </c>
      <c r="N1443" s="6" t="n">
        <v>49</v>
      </c>
      <c r="O1443" s="6" t="s">
        <v>60</v>
      </c>
      <c r="P1443" s="6" t="n">
        <v>7</v>
      </c>
      <c r="Q1443" s="6" t="n">
        <v>8.76</v>
      </c>
      <c r="R1443" s="20" t="n">
        <f aca="false">(L1443-K1443)/K1443</f>
        <v>-0.0469631496819109</v>
      </c>
    </row>
    <row r="1444" customFormat="false" ht="15" hidden="false" customHeight="false" outlineLevel="0" collapsed="false">
      <c r="A1444" s="6" t="s">
        <v>1606</v>
      </c>
      <c r="B1444" s="6" t="n">
        <v>33</v>
      </c>
      <c r="C1444" s="6" t="s">
        <v>139</v>
      </c>
      <c r="D1444" s="6" t="s">
        <v>140</v>
      </c>
      <c r="E1444" s="6" t="s">
        <v>88</v>
      </c>
      <c r="F1444" s="6" t="s">
        <v>157</v>
      </c>
      <c r="G1444" s="6" t="n">
        <v>11</v>
      </c>
      <c r="H1444" s="6" t="s">
        <v>80</v>
      </c>
      <c r="I1444" s="6" t="s">
        <v>81</v>
      </c>
      <c r="J1444" s="6" t="s">
        <v>60</v>
      </c>
      <c r="K1444" s="6" t="n">
        <v>47045</v>
      </c>
      <c r="L1444" s="6" t="n">
        <v>45953</v>
      </c>
      <c r="M1444" s="6" t="s">
        <v>146</v>
      </c>
      <c r="N1444" s="6" t="n">
        <v>53</v>
      </c>
      <c r="O1444" s="6" t="s">
        <v>60</v>
      </c>
      <c r="P1444" s="6" t="n">
        <v>5</v>
      </c>
      <c r="Q1444" s="6" t="n">
        <v>0.26</v>
      </c>
      <c r="R1444" s="20" t="n">
        <f aca="false">(L1444-K1444)/K1444</f>
        <v>-0.0232118184716761</v>
      </c>
    </row>
    <row r="1445" customFormat="false" ht="15" hidden="false" customHeight="false" outlineLevel="0" collapsed="false">
      <c r="A1445" s="6" t="s">
        <v>1607</v>
      </c>
      <c r="B1445" s="6" t="n">
        <v>44</v>
      </c>
      <c r="C1445" s="6" t="s">
        <v>159</v>
      </c>
      <c r="D1445" s="6" t="s">
        <v>140</v>
      </c>
      <c r="E1445" s="6" t="s">
        <v>88</v>
      </c>
      <c r="F1445" s="6" t="s">
        <v>234</v>
      </c>
      <c r="G1445" s="6" t="n">
        <v>21</v>
      </c>
      <c r="H1445" s="6" t="s">
        <v>80</v>
      </c>
      <c r="I1445" s="6" t="s">
        <v>82</v>
      </c>
      <c r="J1445" s="6" t="s">
        <v>60</v>
      </c>
      <c r="K1445" s="6" t="n">
        <v>91009</v>
      </c>
      <c r="L1445" s="6" t="n">
        <v>95194</v>
      </c>
      <c r="M1445" s="6" t="s">
        <v>142</v>
      </c>
      <c r="N1445" s="6" t="n">
        <v>37</v>
      </c>
      <c r="O1445" s="6" t="s">
        <v>60</v>
      </c>
      <c r="P1445" s="6" t="n">
        <v>4</v>
      </c>
      <c r="Q1445" s="6" t="n">
        <v>31.62</v>
      </c>
      <c r="R1445" s="20" t="n">
        <f aca="false">(L1445-K1445)/K1445</f>
        <v>0.0459844630750805</v>
      </c>
    </row>
    <row r="1446" customFormat="false" ht="15" hidden="false" customHeight="false" outlineLevel="0" collapsed="false">
      <c r="A1446" s="6" t="s">
        <v>1608</v>
      </c>
      <c r="B1446" s="6" t="n">
        <v>44</v>
      </c>
      <c r="C1446" s="6" t="s">
        <v>159</v>
      </c>
      <c r="D1446" s="6" t="s">
        <v>135</v>
      </c>
      <c r="E1446" s="6" t="s">
        <v>92</v>
      </c>
      <c r="F1446" s="6" t="s">
        <v>222</v>
      </c>
      <c r="G1446" s="6" t="n">
        <v>20</v>
      </c>
      <c r="H1446" s="6" t="s">
        <v>80</v>
      </c>
      <c r="I1446" s="6" t="s">
        <v>80</v>
      </c>
      <c r="J1446" s="6" t="s">
        <v>58</v>
      </c>
      <c r="K1446" s="6" t="n">
        <v>108424</v>
      </c>
      <c r="L1446" s="6" t="n">
        <v>115147</v>
      </c>
      <c r="M1446" s="6" t="s">
        <v>142</v>
      </c>
      <c r="N1446" s="6" t="n">
        <v>54</v>
      </c>
      <c r="O1446" s="6" t="s">
        <v>60</v>
      </c>
      <c r="P1446" s="6" t="n">
        <v>9</v>
      </c>
      <c r="Q1446" s="6" t="n">
        <v>31.47</v>
      </c>
      <c r="R1446" s="20" t="n">
        <f aca="false">(L1446-K1446)/K1446</f>
        <v>0.062006566811776</v>
      </c>
    </row>
    <row r="1447" customFormat="false" ht="15" hidden="false" customHeight="false" outlineLevel="0" collapsed="false">
      <c r="A1447" s="6" t="s">
        <v>1609</v>
      </c>
      <c r="B1447" s="6" t="n">
        <v>46</v>
      </c>
      <c r="C1447" s="6" t="s">
        <v>134</v>
      </c>
      <c r="D1447" s="6" t="s">
        <v>140</v>
      </c>
      <c r="E1447" s="6" t="s">
        <v>90</v>
      </c>
      <c r="F1447" s="6" t="s">
        <v>145</v>
      </c>
      <c r="G1447" s="6" t="n">
        <v>24</v>
      </c>
      <c r="H1447" s="6" t="s">
        <v>81</v>
      </c>
      <c r="I1447" s="6" t="s">
        <v>80</v>
      </c>
      <c r="J1447" s="6" t="s">
        <v>60</v>
      </c>
      <c r="K1447" s="6" t="n">
        <v>58013</v>
      </c>
      <c r="L1447" s="6" t="n">
        <v>64597</v>
      </c>
      <c r="M1447" s="6" t="s">
        <v>142</v>
      </c>
      <c r="N1447" s="6" t="n">
        <v>50</v>
      </c>
      <c r="O1447" s="6" t="s">
        <v>58</v>
      </c>
      <c r="P1447" s="6" t="n">
        <v>6</v>
      </c>
      <c r="Q1447" s="6" t="n">
        <v>-7.34</v>
      </c>
      <c r="R1447" s="20" t="n">
        <f aca="false">(L1447-K1447)/K1447</f>
        <v>0.113491803561271</v>
      </c>
    </row>
    <row r="1448" customFormat="false" ht="15" hidden="false" customHeight="false" outlineLevel="0" collapsed="false">
      <c r="A1448" s="6" t="s">
        <v>1610</v>
      </c>
      <c r="B1448" s="6" t="n">
        <v>42</v>
      </c>
      <c r="C1448" s="6" t="s">
        <v>159</v>
      </c>
      <c r="D1448" s="6" t="s">
        <v>135</v>
      </c>
      <c r="E1448" s="6" t="s">
        <v>92</v>
      </c>
      <c r="F1448" s="6" t="s">
        <v>192</v>
      </c>
      <c r="G1448" s="6" t="n">
        <v>17</v>
      </c>
      <c r="H1448" s="6" t="s">
        <v>80</v>
      </c>
      <c r="I1448" s="6" t="s">
        <v>82</v>
      </c>
      <c r="J1448" s="6" t="s">
        <v>58</v>
      </c>
      <c r="K1448" s="6" t="n">
        <v>88726</v>
      </c>
      <c r="L1448" s="6" t="n">
        <v>85766</v>
      </c>
      <c r="M1448" s="6" t="s">
        <v>142</v>
      </c>
      <c r="N1448" s="6" t="n">
        <v>39</v>
      </c>
      <c r="O1448" s="6" t="s">
        <v>58</v>
      </c>
      <c r="P1448" s="6" t="n">
        <v>8</v>
      </c>
      <c r="Q1448" s="6" t="n">
        <v>-9.37</v>
      </c>
      <c r="R1448" s="20" t="n">
        <f aca="false">(L1448-K1448)/K1448</f>
        <v>-0.0333611342785655</v>
      </c>
    </row>
    <row r="1449" customFormat="false" ht="15" hidden="false" customHeight="false" outlineLevel="0" collapsed="false">
      <c r="A1449" s="6" t="s">
        <v>1611</v>
      </c>
      <c r="B1449" s="6" t="n">
        <v>25</v>
      </c>
      <c r="C1449" s="6" t="s">
        <v>139</v>
      </c>
      <c r="D1449" s="6" t="s">
        <v>144</v>
      </c>
      <c r="E1449" s="6" t="s">
        <v>87</v>
      </c>
      <c r="F1449" s="6" t="s">
        <v>155</v>
      </c>
      <c r="G1449" s="6" t="n">
        <v>1</v>
      </c>
      <c r="H1449" s="6" t="s">
        <v>80</v>
      </c>
      <c r="I1449" s="6" t="s">
        <v>80</v>
      </c>
      <c r="J1449" s="6" t="s">
        <v>60</v>
      </c>
      <c r="K1449" s="6" t="n">
        <v>77632</v>
      </c>
      <c r="L1449" s="6" t="n">
        <v>79137</v>
      </c>
      <c r="M1449" s="6" t="s">
        <v>142</v>
      </c>
      <c r="N1449" s="6" t="n">
        <v>45</v>
      </c>
      <c r="O1449" s="6" t="s">
        <v>60</v>
      </c>
      <c r="P1449" s="6" t="n">
        <v>6</v>
      </c>
      <c r="Q1449" s="6" t="n">
        <v>27.1</v>
      </c>
      <c r="R1449" s="20" t="n">
        <f aca="false">(L1449-K1449)/K1449</f>
        <v>0.0193863355317395</v>
      </c>
    </row>
    <row r="1450" customFormat="false" ht="15" hidden="false" customHeight="false" outlineLevel="0" collapsed="false">
      <c r="A1450" s="6" t="s">
        <v>1612</v>
      </c>
      <c r="B1450" s="6" t="n">
        <v>48</v>
      </c>
      <c r="C1450" s="6" t="s">
        <v>159</v>
      </c>
      <c r="D1450" s="6" t="s">
        <v>144</v>
      </c>
      <c r="E1450" s="6" t="s">
        <v>91</v>
      </c>
      <c r="F1450" s="6" t="s">
        <v>208</v>
      </c>
      <c r="G1450" s="6" t="n">
        <v>25</v>
      </c>
      <c r="H1450" s="6" t="s">
        <v>80</v>
      </c>
      <c r="I1450" s="6" t="s">
        <v>80</v>
      </c>
      <c r="J1450" s="6" t="s">
        <v>60</v>
      </c>
      <c r="K1450" s="6" t="n">
        <v>112336</v>
      </c>
      <c r="L1450" s="6" t="n">
        <v>119407</v>
      </c>
      <c r="M1450" s="6" t="s">
        <v>142</v>
      </c>
      <c r="N1450" s="6" t="n">
        <v>46</v>
      </c>
      <c r="O1450" s="6" t="s">
        <v>58</v>
      </c>
      <c r="P1450" s="6" t="n">
        <v>9</v>
      </c>
      <c r="Q1450" s="6" t="n">
        <v>28.67</v>
      </c>
      <c r="R1450" s="20" t="n">
        <f aca="false">(L1450-K1450)/K1450</f>
        <v>0.0629450932915539</v>
      </c>
    </row>
    <row r="1451" customFormat="false" ht="15" hidden="false" customHeight="false" outlineLevel="0" collapsed="false">
      <c r="A1451" s="6" t="s">
        <v>1613</v>
      </c>
      <c r="B1451" s="6" t="n">
        <v>55</v>
      </c>
      <c r="C1451" s="6" t="s">
        <v>159</v>
      </c>
      <c r="D1451" s="6" t="s">
        <v>148</v>
      </c>
      <c r="E1451" s="6" t="s">
        <v>89</v>
      </c>
      <c r="F1451" s="6" t="s">
        <v>153</v>
      </c>
      <c r="G1451" s="6" t="n">
        <v>30</v>
      </c>
      <c r="H1451" s="6" t="s">
        <v>81</v>
      </c>
      <c r="I1451" s="6" t="s">
        <v>81</v>
      </c>
      <c r="J1451" s="6" t="s">
        <v>58</v>
      </c>
      <c r="K1451" s="6" t="n">
        <v>96957</v>
      </c>
      <c r="L1451" s="6" t="n">
        <v>115251</v>
      </c>
      <c r="M1451" s="6" t="s">
        <v>146</v>
      </c>
      <c r="N1451" s="6" t="n">
        <v>44</v>
      </c>
      <c r="O1451" s="6" t="s">
        <v>60</v>
      </c>
      <c r="P1451" s="6" t="n">
        <v>3</v>
      </c>
      <c r="Q1451" s="6" t="n">
        <v>30.05</v>
      </c>
      <c r="R1451" s="20" t="n">
        <f aca="false">(L1451-K1451)/K1451</f>
        <v>0.188681580494446</v>
      </c>
    </row>
    <row r="1452" customFormat="false" ht="15" hidden="false" customHeight="false" outlineLevel="0" collapsed="false">
      <c r="A1452" s="6" t="s">
        <v>1614</v>
      </c>
      <c r="B1452" s="6" t="n">
        <v>33</v>
      </c>
      <c r="C1452" s="6" t="s">
        <v>134</v>
      </c>
      <c r="D1452" s="6" t="s">
        <v>144</v>
      </c>
      <c r="E1452" s="6" t="s">
        <v>88</v>
      </c>
      <c r="F1452" s="6" t="s">
        <v>157</v>
      </c>
      <c r="G1452" s="6" t="n">
        <v>9</v>
      </c>
      <c r="H1452" s="6" t="s">
        <v>80</v>
      </c>
      <c r="I1452" s="6" t="s">
        <v>82</v>
      </c>
      <c r="J1452" s="6" t="s">
        <v>58</v>
      </c>
      <c r="K1452" s="6" t="n">
        <v>65050</v>
      </c>
      <c r="L1452" s="6" t="n">
        <v>70502</v>
      </c>
      <c r="M1452" s="6" t="s">
        <v>142</v>
      </c>
      <c r="N1452" s="6" t="n">
        <v>50</v>
      </c>
      <c r="O1452" s="6" t="s">
        <v>58</v>
      </c>
      <c r="P1452" s="6" t="n">
        <v>6</v>
      </c>
      <c r="Q1452" s="6" t="n">
        <v>8.23</v>
      </c>
      <c r="R1452" s="20" t="n">
        <f aca="false">(L1452-K1452)/K1452</f>
        <v>0.0838124519600308</v>
      </c>
    </row>
    <row r="1453" customFormat="false" ht="15" hidden="false" customHeight="false" outlineLevel="0" collapsed="false">
      <c r="A1453" s="6" t="s">
        <v>1615</v>
      </c>
      <c r="B1453" s="6" t="n">
        <v>37</v>
      </c>
      <c r="C1453" s="6" t="s">
        <v>159</v>
      </c>
      <c r="D1453" s="6" t="s">
        <v>135</v>
      </c>
      <c r="E1453" s="6" t="s">
        <v>91</v>
      </c>
      <c r="F1453" s="6" t="s">
        <v>208</v>
      </c>
      <c r="G1453" s="6" t="n">
        <v>11</v>
      </c>
      <c r="H1453" s="6" t="s">
        <v>81</v>
      </c>
      <c r="I1453" s="6" t="s">
        <v>80</v>
      </c>
      <c r="J1453" s="6" t="s">
        <v>58</v>
      </c>
      <c r="K1453" s="6" t="n">
        <v>32260</v>
      </c>
      <c r="L1453" s="6" t="n">
        <v>35846</v>
      </c>
      <c r="M1453" s="6" t="s">
        <v>142</v>
      </c>
      <c r="N1453" s="6" t="n">
        <v>43</v>
      </c>
      <c r="O1453" s="6" t="s">
        <v>58</v>
      </c>
      <c r="P1453" s="6" t="n">
        <v>6</v>
      </c>
      <c r="Q1453" s="6" t="n">
        <v>19.05</v>
      </c>
      <c r="R1453" s="20" t="n">
        <f aca="false">(L1453-K1453)/K1453</f>
        <v>0.111159330440174</v>
      </c>
    </row>
    <row r="1454" customFormat="false" ht="15" hidden="false" customHeight="false" outlineLevel="0" collapsed="false">
      <c r="A1454" s="6" t="s">
        <v>1616</v>
      </c>
      <c r="B1454" s="6" t="n">
        <v>38</v>
      </c>
      <c r="C1454" s="6" t="s">
        <v>134</v>
      </c>
      <c r="D1454" s="6" t="s">
        <v>148</v>
      </c>
      <c r="E1454" s="6" t="s">
        <v>93</v>
      </c>
      <c r="F1454" s="6" t="s">
        <v>197</v>
      </c>
      <c r="G1454" s="6" t="n">
        <v>14</v>
      </c>
      <c r="H1454" s="6" t="s">
        <v>82</v>
      </c>
      <c r="I1454" s="6" t="s">
        <v>82</v>
      </c>
      <c r="J1454" s="6" t="s">
        <v>58</v>
      </c>
      <c r="K1454" s="6" t="n">
        <v>117616</v>
      </c>
      <c r="L1454" s="6" t="n">
        <v>127688</v>
      </c>
      <c r="M1454" s="6" t="s">
        <v>137</v>
      </c>
      <c r="N1454" s="6" t="n">
        <v>49</v>
      </c>
      <c r="O1454" s="6" t="s">
        <v>58</v>
      </c>
      <c r="P1454" s="6" t="n">
        <v>4</v>
      </c>
      <c r="Q1454" s="6" t="n">
        <v>21.35</v>
      </c>
      <c r="R1454" s="20" t="n">
        <f aca="false">(L1454-K1454)/K1454</f>
        <v>0.0856346075363896</v>
      </c>
    </row>
    <row r="1455" customFormat="false" ht="15" hidden="false" customHeight="false" outlineLevel="0" collapsed="false">
      <c r="A1455" s="6" t="s">
        <v>1617</v>
      </c>
      <c r="B1455" s="6" t="n">
        <v>56</v>
      </c>
      <c r="C1455" s="6" t="s">
        <v>139</v>
      </c>
      <c r="D1455" s="6" t="s">
        <v>140</v>
      </c>
      <c r="E1455" s="6" t="s">
        <v>93</v>
      </c>
      <c r="F1455" s="6" t="s">
        <v>181</v>
      </c>
      <c r="G1455" s="6" t="n">
        <v>33</v>
      </c>
      <c r="H1455" s="6" t="s">
        <v>81</v>
      </c>
      <c r="I1455" s="6" t="s">
        <v>81</v>
      </c>
      <c r="J1455" s="6" t="s">
        <v>58</v>
      </c>
      <c r="K1455" s="6" t="n">
        <v>75213</v>
      </c>
      <c r="L1455" s="6" t="n">
        <v>74320</v>
      </c>
      <c r="M1455" s="6" t="s">
        <v>146</v>
      </c>
      <c r="N1455" s="6" t="n">
        <v>37</v>
      </c>
      <c r="O1455" s="6" t="s">
        <v>60</v>
      </c>
      <c r="P1455" s="6" t="n">
        <v>9</v>
      </c>
      <c r="Q1455" s="6" t="n">
        <v>-3.36</v>
      </c>
      <c r="R1455" s="20" t="n">
        <f aca="false">(L1455-K1455)/K1455</f>
        <v>-0.0118729474957787</v>
      </c>
    </row>
    <row r="1456" customFormat="false" ht="15" hidden="false" customHeight="false" outlineLevel="0" collapsed="false">
      <c r="A1456" s="6" t="s">
        <v>1618</v>
      </c>
      <c r="B1456" s="6" t="n">
        <v>29</v>
      </c>
      <c r="C1456" s="6" t="s">
        <v>134</v>
      </c>
      <c r="D1456" s="6" t="s">
        <v>135</v>
      </c>
      <c r="E1456" s="6" t="s">
        <v>88</v>
      </c>
      <c r="F1456" s="6" t="s">
        <v>157</v>
      </c>
      <c r="G1456" s="6" t="n">
        <v>5</v>
      </c>
      <c r="H1456" s="6" t="s">
        <v>82</v>
      </c>
      <c r="I1456" s="6" t="s">
        <v>82</v>
      </c>
      <c r="J1456" s="6" t="s">
        <v>60</v>
      </c>
      <c r="K1456" s="6" t="n">
        <v>48961</v>
      </c>
      <c r="L1456" s="6" t="n">
        <v>48686</v>
      </c>
      <c r="M1456" s="6" t="s">
        <v>146</v>
      </c>
      <c r="N1456" s="6" t="n">
        <v>46</v>
      </c>
      <c r="O1456" s="6" t="s">
        <v>58</v>
      </c>
      <c r="P1456" s="6" t="n">
        <v>3</v>
      </c>
      <c r="Q1456" s="6" t="n">
        <v>15.23</v>
      </c>
      <c r="R1456" s="20" t="n">
        <f aca="false">(L1456-K1456)/K1456</f>
        <v>-0.00561671534486632</v>
      </c>
    </row>
    <row r="1457" customFormat="false" ht="15" hidden="false" customHeight="false" outlineLevel="0" collapsed="false">
      <c r="A1457" s="6" t="s">
        <v>1619</v>
      </c>
      <c r="B1457" s="6" t="n">
        <v>51</v>
      </c>
      <c r="C1457" s="6" t="s">
        <v>139</v>
      </c>
      <c r="D1457" s="6" t="s">
        <v>135</v>
      </c>
      <c r="E1457" s="6" t="s">
        <v>93</v>
      </c>
      <c r="F1457" s="6" t="s">
        <v>164</v>
      </c>
      <c r="G1457" s="6" t="n">
        <v>26</v>
      </c>
      <c r="H1457" s="6" t="s">
        <v>81</v>
      </c>
      <c r="I1457" s="6" t="s">
        <v>81</v>
      </c>
      <c r="J1457" s="6" t="s">
        <v>58</v>
      </c>
      <c r="K1457" s="6" t="n">
        <v>115013</v>
      </c>
      <c r="L1457" s="6" t="n">
        <v>137171</v>
      </c>
      <c r="M1457" s="6" t="s">
        <v>146</v>
      </c>
      <c r="N1457" s="6" t="n">
        <v>46</v>
      </c>
      <c r="O1457" s="6" t="s">
        <v>58</v>
      </c>
      <c r="P1457" s="6" t="n">
        <v>5</v>
      </c>
      <c r="Q1457" s="6" t="n">
        <v>-0.01</v>
      </c>
      <c r="R1457" s="20" t="n">
        <f aca="false">(L1457-K1457)/K1457</f>
        <v>0.192656482310695</v>
      </c>
    </row>
    <row r="1458" customFormat="false" ht="15" hidden="false" customHeight="false" outlineLevel="0" collapsed="false">
      <c r="A1458" s="6" t="s">
        <v>1620</v>
      </c>
      <c r="B1458" s="6" t="n">
        <v>28</v>
      </c>
      <c r="C1458" s="6" t="s">
        <v>139</v>
      </c>
      <c r="D1458" s="6" t="s">
        <v>140</v>
      </c>
      <c r="E1458" s="6" t="s">
        <v>89</v>
      </c>
      <c r="F1458" s="6" t="s">
        <v>153</v>
      </c>
      <c r="G1458" s="6" t="n">
        <v>2</v>
      </c>
      <c r="H1458" s="6" t="s">
        <v>82</v>
      </c>
      <c r="I1458" s="6" t="s">
        <v>81</v>
      </c>
      <c r="J1458" s="6" t="s">
        <v>60</v>
      </c>
      <c r="K1458" s="6" t="n">
        <v>37045</v>
      </c>
      <c r="L1458" s="6" t="n">
        <v>51186</v>
      </c>
      <c r="M1458" s="6" t="s">
        <v>146</v>
      </c>
      <c r="N1458" s="6" t="n">
        <v>53</v>
      </c>
      <c r="O1458" s="6" t="s">
        <v>58</v>
      </c>
      <c r="P1458" s="6" t="n">
        <v>3</v>
      </c>
      <c r="Q1458" s="6" t="n">
        <v>24.78</v>
      </c>
      <c r="R1458" s="20" t="n">
        <f aca="false">(L1458-K1458)/K1458</f>
        <v>0.381724929140235</v>
      </c>
    </row>
    <row r="1459" customFormat="false" ht="15" hidden="false" customHeight="false" outlineLevel="0" collapsed="false">
      <c r="A1459" s="6" t="s">
        <v>1621</v>
      </c>
      <c r="B1459" s="6" t="n">
        <v>57</v>
      </c>
      <c r="C1459" s="6" t="s">
        <v>139</v>
      </c>
      <c r="D1459" s="6" t="s">
        <v>135</v>
      </c>
      <c r="E1459" s="6" t="s">
        <v>89</v>
      </c>
      <c r="F1459" s="6" t="s">
        <v>153</v>
      </c>
      <c r="G1459" s="6" t="n">
        <v>33</v>
      </c>
      <c r="H1459" s="6" t="s">
        <v>80</v>
      </c>
      <c r="I1459" s="6" t="s">
        <v>80</v>
      </c>
      <c r="J1459" s="6" t="s">
        <v>60</v>
      </c>
      <c r="K1459" s="6" t="n">
        <v>56844</v>
      </c>
      <c r="L1459" s="6" t="n">
        <v>61320</v>
      </c>
      <c r="M1459" s="6" t="s">
        <v>142</v>
      </c>
      <c r="N1459" s="6" t="n">
        <v>44</v>
      </c>
      <c r="O1459" s="6" t="s">
        <v>58</v>
      </c>
      <c r="P1459" s="6" t="n">
        <v>9</v>
      </c>
      <c r="Q1459" s="6" t="n">
        <v>37.41</v>
      </c>
      <c r="R1459" s="20" t="n">
        <f aca="false">(L1459-K1459)/K1459</f>
        <v>0.0787418197171205</v>
      </c>
    </row>
    <row r="1460" customFormat="false" ht="15" hidden="false" customHeight="false" outlineLevel="0" collapsed="false">
      <c r="A1460" s="6" t="s">
        <v>1622</v>
      </c>
      <c r="B1460" s="6" t="n">
        <v>47</v>
      </c>
      <c r="C1460" s="6" t="s">
        <v>139</v>
      </c>
      <c r="D1460" s="6" t="s">
        <v>140</v>
      </c>
      <c r="E1460" s="6" t="s">
        <v>87</v>
      </c>
      <c r="F1460" s="6" t="s">
        <v>155</v>
      </c>
      <c r="G1460" s="6" t="n">
        <v>21</v>
      </c>
      <c r="H1460" s="6" t="s">
        <v>80</v>
      </c>
      <c r="I1460" s="6" t="s">
        <v>80</v>
      </c>
      <c r="J1460" s="6" t="s">
        <v>58</v>
      </c>
      <c r="K1460" s="6" t="n">
        <v>70581</v>
      </c>
      <c r="L1460" s="6" t="n">
        <v>67091</v>
      </c>
      <c r="M1460" s="6" t="s">
        <v>142</v>
      </c>
      <c r="N1460" s="6" t="n">
        <v>46</v>
      </c>
      <c r="O1460" s="6" t="s">
        <v>60</v>
      </c>
      <c r="P1460" s="6" t="n">
        <v>8</v>
      </c>
      <c r="Q1460" s="6" t="n">
        <v>-5.51</v>
      </c>
      <c r="R1460" s="20" t="n">
        <f aca="false">(L1460-K1460)/K1460</f>
        <v>-0.0494467349569998</v>
      </c>
    </row>
    <row r="1461" customFormat="false" ht="15" hidden="false" customHeight="false" outlineLevel="0" collapsed="false">
      <c r="A1461" s="6" t="s">
        <v>1623</v>
      </c>
      <c r="B1461" s="6" t="n">
        <v>22</v>
      </c>
      <c r="C1461" s="6" t="s">
        <v>159</v>
      </c>
      <c r="D1461" s="6" t="s">
        <v>144</v>
      </c>
      <c r="E1461" s="6" t="s">
        <v>88</v>
      </c>
      <c r="F1461" s="6" t="s">
        <v>157</v>
      </c>
      <c r="G1461" s="6" t="n">
        <v>0</v>
      </c>
      <c r="H1461" s="6" t="s">
        <v>82</v>
      </c>
      <c r="I1461" s="6" t="s">
        <v>80</v>
      </c>
      <c r="J1461" s="6" t="s">
        <v>60</v>
      </c>
      <c r="K1461" s="6" t="n">
        <v>32347</v>
      </c>
      <c r="L1461" s="6" t="n">
        <v>32675</v>
      </c>
      <c r="M1461" s="6" t="s">
        <v>142</v>
      </c>
      <c r="N1461" s="6" t="n">
        <v>54</v>
      </c>
      <c r="O1461" s="6" t="s">
        <v>60</v>
      </c>
      <c r="P1461" s="6" t="n">
        <v>9</v>
      </c>
      <c r="Q1461" s="6" t="n">
        <v>7.13</v>
      </c>
      <c r="R1461" s="20" t="n">
        <f aca="false">(L1461-K1461)/K1461</f>
        <v>0.0101400438989705</v>
      </c>
    </row>
    <row r="1462" customFormat="false" ht="15" hidden="false" customHeight="false" outlineLevel="0" collapsed="false">
      <c r="A1462" s="6" t="s">
        <v>1624</v>
      </c>
      <c r="B1462" s="6" t="n">
        <v>29</v>
      </c>
      <c r="C1462" s="6" t="s">
        <v>159</v>
      </c>
      <c r="D1462" s="6" t="s">
        <v>144</v>
      </c>
      <c r="E1462" s="6" t="s">
        <v>90</v>
      </c>
      <c r="F1462" s="6" t="s">
        <v>202</v>
      </c>
      <c r="G1462" s="6" t="n">
        <v>5</v>
      </c>
      <c r="H1462" s="6" t="s">
        <v>82</v>
      </c>
      <c r="I1462" s="6" t="s">
        <v>80</v>
      </c>
      <c r="J1462" s="6" t="s">
        <v>58</v>
      </c>
      <c r="K1462" s="6" t="n">
        <v>82136</v>
      </c>
      <c r="L1462" s="6" t="n">
        <v>73094</v>
      </c>
      <c r="M1462" s="6" t="s">
        <v>142</v>
      </c>
      <c r="N1462" s="6" t="n">
        <v>48</v>
      </c>
      <c r="O1462" s="6" t="s">
        <v>58</v>
      </c>
      <c r="P1462" s="6" t="n">
        <v>6</v>
      </c>
      <c r="Q1462" s="6" t="n">
        <v>14.31</v>
      </c>
      <c r="R1462" s="20" t="n">
        <f aca="false">(L1462-K1462)/K1462</f>
        <v>-0.110085711502873</v>
      </c>
    </row>
    <row r="1463" customFormat="false" ht="15" hidden="false" customHeight="false" outlineLevel="0" collapsed="false">
      <c r="A1463" s="6" t="s">
        <v>1625</v>
      </c>
      <c r="B1463" s="6" t="n">
        <v>53</v>
      </c>
      <c r="C1463" s="6" t="s">
        <v>134</v>
      </c>
      <c r="D1463" s="6" t="s">
        <v>140</v>
      </c>
      <c r="E1463" s="6" t="s">
        <v>90</v>
      </c>
      <c r="F1463" s="6" t="s">
        <v>236</v>
      </c>
      <c r="G1463" s="6" t="n">
        <v>30</v>
      </c>
      <c r="H1463" s="6" t="s">
        <v>80</v>
      </c>
      <c r="I1463" s="6" t="s">
        <v>80</v>
      </c>
      <c r="J1463" s="6" t="s">
        <v>58</v>
      </c>
      <c r="K1463" s="6" t="n">
        <v>119710</v>
      </c>
      <c r="L1463" s="6" t="n">
        <v>121249</v>
      </c>
      <c r="M1463" s="6" t="s">
        <v>142</v>
      </c>
      <c r="N1463" s="6" t="n">
        <v>42</v>
      </c>
      <c r="O1463" s="6" t="s">
        <v>60</v>
      </c>
      <c r="P1463" s="6" t="n">
        <v>5</v>
      </c>
      <c r="Q1463" s="6" t="n">
        <v>27</v>
      </c>
      <c r="R1463" s="20" t="n">
        <f aca="false">(L1463-K1463)/K1463</f>
        <v>0.0128560688330131</v>
      </c>
    </row>
    <row r="1464" customFormat="false" ht="15" hidden="false" customHeight="false" outlineLevel="0" collapsed="false">
      <c r="A1464" s="6" t="s">
        <v>1626</v>
      </c>
      <c r="B1464" s="6" t="n">
        <v>26</v>
      </c>
      <c r="C1464" s="6" t="s">
        <v>159</v>
      </c>
      <c r="D1464" s="6" t="s">
        <v>144</v>
      </c>
      <c r="E1464" s="6" t="s">
        <v>91</v>
      </c>
      <c r="F1464" s="6" t="s">
        <v>206</v>
      </c>
      <c r="G1464" s="6" t="n">
        <v>0</v>
      </c>
      <c r="H1464" s="6" t="s">
        <v>80</v>
      </c>
      <c r="I1464" s="6" t="s">
        <v>80</v>
      </c>
      <c r="J1464" s="6" t="s">
        <v>58</v>
      </c>
      <c r="K1464" s="6" t="n">
        <v>65999</v>
      </c>
      <c r="L1464" s="6" t="n">
        <v>71326</v>
      </c>
      <c r="M1464" s="6" t="s">
        <v>142</v>
      </c>
      <c r="N1464" s="6" t="n">
        <v>45</v>
      </c>
      <c r="O1464" s="6" t="s">
        <v>60</v>
      </c>
      <c r="P1464" s="6" t="n">
        <v>7</v>
      </c>
      <c r="Q1464" s="6" t="n">
        <v>-18.18</v>
      </c>
      <c r="R1464" s="20" t="n">
        <f aca="false">(L1464-K1464)/K1464</f>
        <v>0.0807133441415779</v>
      </c>
    </row>
    <row r="1465" customFormat="false" ht="15" hidden="false" customHeight="false" outlineLevel="0" collapsed="false">
      <c r="A1465" s="6" t="s">
        <v>1627</v>
      </c>
      <c r="B1465" s="6" t="n">
        <v>29</v>
      </c>
      <c r="C1465" s="6" t="s">
        <v>159</v>
      </c>
      <c r="D1465" s="6" t="s">
        <v>148</v>
      </c>
      <c r="E1465" s="6" t="s">
        <v>91</v>
      </c>
      <c r="F1465" s="6" t="s">
        <v>208</v>
      </c>
      <c r="G1465" s="6" t="n">
        <v>7</v>
      </c>
      <c r="H1465" s="6" t="s">
        <v>81</v>
      </c>
      <c r="I1465" s="6" t="s">
        <v>81</v>
      </c>
      <c r="J1465" s="6" t="s">
        <v>60</v>
      </c>
      <c r="K1465" s="6" t="n">
        <v>61655</v>
      </c>
      <c r="L1465" s="6" t="n">
        <v>64686</v>
      </c>
      <c r="M1465" s="6" t="s">
        <v>146</v>
      </c>
      <c r="N1465" s="6" t="n">
        <v>47</v>
      </c>
      <c r="O1465" s="6" t="s">
        <v>60</v>
      </c>
      <c r="P1465" s="6" t="n">
        <v>5</v>
      </c>
      <c r="Q1465" s="6" t="n">
        <v>5.2</v>
      </c>
      <c r="R1465" s="20" t="n">
        <f aca="false">(L1465-K1465)/K1465</f>
        <v>0.0491606520152461</v>
      </c>
    </row>
    <row r="1466" customFormat="false" ht="15" hidden="false" customHeight="false" outlineLevel="0" collapsed="false">
      <c r="A1466" s="6" t="s">
        <v>1628</v>
      </c>
      <c r="B1466" s="6" t="n">
        <v>57</v>
      </c>
      <c r="C1466" s="6" t="s">
        <v>139</v>
      </c>
      <c r="D1466" s="6" t="s">
        <v>140</v>
      </c>
      <c r="E1466" s="6" t="s">
        <v>92</v>
      </c>
      <c r="F1466" s="6" t="s">
        <v>222</v>
      </c>
      <c r="G1466" s="6" t="n">
        <v>33</v>
      </c>
      <c r="H1466" s="6" t="s">
        <v>81</v>
      </c>
      <c r="I1466" s="6" t="s">
        <v>82</v>
      </c>
      <c r="J1466" s="6" t="s">
        <v>58</v>
      </c>
      <c r="K1466" s="6" t="n">
        <v>58371</v>
      </c>
      <c r="L1466" s="6" t="n">
        <v>59782</v>
      </c>
      <c r="M1466" s="6" t="s">
        <v>142</v>
      </c>
      <c r="N1466" s="6" t="n">
        <v>47</v>
      </c>
      <c r="O1466" s="6" t="s">
        <v>58</v>
      </c>
      <c r="P1466" s="6" t="n">
        <v>3</v>
      </c>
      <c r="Q1466" s="6" t="n">
        <v>-3.8</v>
      </c>
      <c r="R1466" s="20" t="n">
        <f aca="false">(L1466-K1466)/K1466</f>
        <v>0.0241729626012917</v>
      </c>
    </row>
    <row r="1467" customFormat="false" ht="15" hidden="false" customHeight="false" outlineLevel="0" collapsed="false">
      <c r="A1467" s="6" t="s">
        <v>1629</v>
      </c>
      <c r="B1467" s="6" t="n">
        <v>49</v>
      </c>
      <c r="C1467" s="6" t="s">
        <v>134</v>
      </c>
      <c r="D1467" s="6" t="s">
        <v>140</v>
      </c>
      <c r="E1467" s="6" t="s">
        <v>88</v>
      </c>
      <c r="F1467" s="6" t="s">
        <v>157</v>
      </c>
      <c r="G1467" s="6" t="n">
        <v>27</v>
      </c>
      <c r="H1467" s="6" t="s">
        <v>80</v>
      </c>
      <c r="I1467" s="6" t="s">
        <v>81</v>
      </c>
      <c r="J1467" s="6" t="s">
        <v>58</v>
      </c>
      <c r="K1467" s="6" t="n">
        <v>39916</v>
      </c>
      <c r="L1467" s="6" t="n">
        <v>41438</v>
      </c>
      <c r="M1467" s="6" t="s">
        <v>146</v>
      </c>
      <c r="N1467" s="6" t="n">
        <v>48</v>
      </c>
      <c r="O1467" s="6" t="s">
        <v>58</v>
      </c>
      <c r="P1467" s="6" t="n">
        <v>8</v>
      </c>
      <c r="Q1467" s="6" t="n">
        <v>-4.32</v>
      </c>
      <c r="R1467" s="20" t="n">
        <f aca="false">(L1467-K1467)/K1467</f>
        <v>0.0381300731536226</v>
      </c>
    </row>
    <row r="1468" customFormat="false" ht="15" hidden="false" customHeight="false" outlineLevel="0" collapsed="false">
      <c r="A1468" s="6" t="s">
        <v>1630</v>
      </c>
      <c r="B1468" s="6" t="n">
        <v>22</v>
      </c>
      <c r="C1468" s="6" t="s">
        <v>139</v>
      </c>
      <c r="D1468" s="6" t="s">
        <v>140</v>
      </c>
      <c r="E1468" s="6" t="s">
        <v>89</v>
      </c>
      <c r="F1468" s="6" t="s">
        <v>153</v>
      </c>
      <c r="G1468" s="6" t="n">
        <v>0</v>
      </c>
      <c r="H1468" s="6" t="s">
        <v>80</v>
      </c>
      <c r="I1468" s="6" t="s">
        <v>81</v>
      </c>
      <c r="J1468" s="6" t="s">
        <v>60</v>
      </c>
      <c r="K1468" s="6" t="n">
        <v>111614</v>
      </c>
      <c r="L1468" s="6" t="n">
        <v>107958</v>
      </c>
      <c r="M1468" s="6" t="s">
        <v>146</v>
      </c>
      <c r="N1468" s="6" t="n">
        <v>47</v>
      </c>
      <c r="O1468" s="6" t="s">
        <v>60</v>
      </c>
      <c r="P1468" s="6" t="n">
        <v>3</v>
      </c>
      <c r="Q1468" s="6" t="n">
        <v>21.69</v>
      </c>
      <c r="R1468" s="20" t="n">
        <f aca="false">(L1468-K1468)/K1468</f>
        <v>-0.0327557474868744</v>
      </c>
    </row>
    <row r="1469" customFormat="false" ht="15" hidden="false" customHeight="false" outlineLevel="0" collapsed="false">
      <c r="A1469" s="6" t="s">
        <v>1631</v>
      </c>
      <c r="B1469" s="6" t="n">
        <v>36</v>
      </c>
      <c r="C1469" s="6" t="s">
        <v>134</v>
      </c>
      <c r="D1469" s="6" t="s">
        <v>140</v>
      </c>
      <c r="E1469" s="6" t="s">
        <v>87</v>
      </c>
      <c r="F1469" s="6" t="s">
        <v>155</v>
      </c>
      <c r="G1469" s="6" t="n">
        <v>14</v>
      </c>
      <c r="H1469" s="6" t="s">
        <v>81</v>
      </c>
      <c r="I1469" s="6" t="s">
        <v>80</v>
      </c>
      <c r="J1469" s="6" t="s">
        <v>58</v>
      </c>
      <c r="K1469" s="6" t="n">
        <v>70761</v>
      </c>
      <c r="L1469" s="6" t="n">
        <v>71793</v>
      </c>
      <c r="M1469" s="6" t="s">
        <v>142</v>
      </c>
      <c r="N1469" s="6" t="n">
        <v>42</v>
      </c>
      <c r="O1469" s="6" t="s">
        <v>58</v>
      </c>
      <c r="P1469" s="6" t="n">
        <v>7</v>
      </c>
      <c r="Q1469" s="6" t="n">
        <v>37.41</v>
      </c>
      <c r="R1469" s="20" t="n">
        <f aca="false">(L1469-K1469)/K1469</f>
        <v>0.0145843049137237</v>
      </c>
    </row>
    <row r="1470" customFormat="false" ht="15" hidden="false" customHeight="false" outlineLevel="0" collapsed="false">
      <c r="A1470" s="6" t="s">
        <v>1632</v>
      </c>
      <c r="B1470" s="6" t="n">
        <v>44</v>
      </c>
      <c r="C1470" s="6" t="s">
        <v>134</v>
      </c>
      <c r="D1470" s="6" t="s">
        <v>135</v>
      </c>
      <c r="E1470" s="6" t="s">
        <v>93</v>
      </c>
      <c r="F1470" s="6" t="s">
        <v>197</v>
      </c>
      <c r="G1470" s="6" t="n">
        <v>18</v>
      </c>
      <c r="H1470" s="6" t="s">
        <v>82</v>
      </c>
      <c r="I1470" s="6" t="s">
        <v>82</v>
      </c>
      <c r="J1470" s="6" t="s">
        <v>58</v>
      </c>
      <c r="K1470" s="6" t="n">
        <v>65367</v>
      </c>
      <c r="L1470" s="6" t="n">
        <v>62898</v>
      </c>
      <c r="M1470" s="6" t="s">
        <v>146</v>
      </c>
      <c r="N1470" s="6" t="n">
        <v>41</v>
      </c>
      <c r="O1470" s="6" t="s">
        <v>58</v>
      </c>
      <c r="P1470" s="6" t="n">
        <v>9</v>
      </c>
      <c r="Q1470" s="6" t="n">
        <v>28.21</v>
      </c>
      <c r="R1470" s="20" t="n">
        <f aca="false">(L1470-K1470)/K1470</f>
        <v>-0.0377713525173253</v>
      </c>
    </row>
    <row r="1471" customFormat="false" ht="15" hidden="false" customHeight="false" outlineLevel="0" collapsed="false">
      <c r="A1471" s="6" t="s">
        <v>1633</v>
      </c>
      <c r="B1471" s="6" t="n">
        <v>48</v>
      </c>
      <c r="C1471" s="6" t="s">
        <v>159</v>
      </c>
      <c r="D1471" s="6" t="s">
        <v>148</v>
      </c>
      <c r="E1471" s="6" t="s">
        <v>91</v>
      </c>
      <c r="F1471" s="6" t="s">
        <v>141</v>
      </c>
      <c r="G1471" s="6" t="n">
        <v>24</v>
      </c>
      <c r="H1471" s="6" t="s">
        <v>81</v>
      </c>
      <c r="I1471" s="6" t="s">
        <v>81</v>
      </c>
      <c r="J1471" s="6" t="s">
        <v>58</v>
      </c>
      <c r="K1471" s="6" t="n">
        <v>55989</v>
      </c>
      <c r="L1471" s="6" t="n">
        <v>51995</v>
      </c>
      <c r="M1471" s="6" t="s">
        <v>146</v>
      </c>
      <c r="N1471" s="6" t="n">
        <v>50</v>
      </c>
      <c r="O1471" s="6" t="s">
        <v>60</v>
      </c>
      <c r="P1471" s="6" t="n">
        <v>6</v>
      </c>
      <c r="Q1471" s="6" t="n">
        <v>-18.65</v>
      </c>
      <c r="R1471" s="20" t="n">
        <f aca="false">(L1471-K1471)/K1471</f>
        <v>-0.0713354408901749</v>
      </c>
    </row>
    <row r="1472" customFormat="false" ht="15" hidden="false" customHeight="false" outlineLevel="0" collapsed="false">
      <c r="A1472" s="6" t="s">
        <v>1634</v>
      </c>
      <c r="B1472" s="6" t="n">
        <v>41</v>
      </c>
      <c r="C1472" s="6" t="s">
        <v>139</v>
      </c>
      <c r="D1472" s="6" t="s">
        <v>148</v>
      </c>
      <c r="E1472" s="6" t="s">
        <v>93</v>
      </c>
      <c r="F1472" s="6" t="s">
        <v>181</v>
      </c>
      <c r="G1472" s="6" t="n">
        <v>15</v>
      </c>
      <c r="H1472" s="6" t="s">
        <v>82</v>
      </c>
      <c r="I1472" s="6" t="s">
        <v>81</v>
      </c>
      <c r="J1472" s="6" t="s">
        <v>58</v>
      </c>
      <c r="K1472" s="6" t="n">
        <v>70639</v>
      </c>
      <c r="L1472" s="6" t="n">
        <v>93522</v>
      </c>
      <c r="M1472" s="6" t="s">
        <v>146</v>
      </c>
      <c r="N1472" s="6" t="n">
        <v>35</v>
      </c>
      <c r="O1472" s="6" t="s">
        <v>58</v>
      </c>
      <c r="P1472" s="6" t="n">
        <v>4</v>
      </c>
      <c r="Q1472" s="6" t="n">
        <v>22.29</v>
      </c>
      <c r="R1472" s="20" t="n">
        <f aca="false">(L1472-K1472)/K1472</f>
        <v>0.323942864423336</v>
      </c>
    </row>
    <row r="1473" customFormat="false" ht="15" hidden="false" customHeight="false" outlineLevel="0" collapsed="false">
      <c r="A1473" s="6" t="s">
        <v>1635</v>
      </c>
      <c r="B1473" s="6" t="n">
        <v>50</v>
      </c>
      <c r="C1473" s="6" t="s">
        <v>134</v>
      </c>
      <c r="D1473" s="6" t="s">
        <v>140</v>
      </c>
      <c r="E1473" s="6" t="s">
        <v>92</v>
      </c>
      <c r="F1473" s="6" t="s">
        <v>136</v>
      </c>
      <c r="G1473" s="6" t="n">
        <v>24</v>
      </c>
      <c r="H1473" s="6" t="s">
        <v>81</v>
      </c>
      <c r="I1473" s="6" t="s">
        <v>80</v>
      </c>
      <c r="J1473" s="6" t="s">
        <v>60</v>
      </c>
      <c r="K1473" s="6" t="n">
        <v>62844</v>
      </c>
      <c r="L1473" s="6" t="n">
        <v>58641</v>
      </c>
      <c r="M1473" s="6" t="s">
        <v>142</v>
      </c>
      <c r="N1473" s="6" t="n">
        <v>38</v>
      </c>
      <c r="O1473" s="6" t="s">
        <v>60</v>
      </c>
      <c r="P1473" s="6" t="n">
        <v>7</v>
      </c>
      <c r="Q1473" s="6" t="n">
        <v>5.17</v>
      </c>
      <c r="R1473" s="20" t="n">
        <f aca="false">(L1473-K1473)/K1473</f>
        <v>-0.0668798930685507</v>
      </c>
    </row>
    <row r="1474" customFormat="false" ht="15" hidden="false" customHeight="false" outlineLevel="0" collapsed="false">
      <c r="A1474" s="6" t="s">
        <v>1636</v>
      </c>
      <c r="B1474" s="6" t="n">
        <v>48</v>
      </c>
      <c r="C1474" s="6" t="s">
        <v>139</v>
      </c>
      <c r="D1474" s="6" t="s">
        <v>148</v>
      </c>
      <c r="E1474" s="6" t="s">
        <v>93</v>
      </c>
      <c r="F1474" s="6" t="s">
        <v>181</v>
      </c>
      <c r="G1474" s="6" t="n">
        <v>23</v>
      </c>
      <c r="H1474" s="6" t="s">
        <v>82</v>
      </c>
      <c r="I1474" s="6" t="s">
        <v>81</v>
      </c>
      <c r="J1474" s="6" t="s">
        <v>58</v>
      </c>
      <c r="K1474" s="6" t="n">
        <v>101524</v>
      </c>
      <c r="L1474" s="6" t="n">
        <v>86791</v>
      </c>
      <c r="M1474" s="6" t="s">
        <v>146</v>
      </c>
      <c r="N1474" s="6" t="n">
        <v>48</v>
      </c>
      <c r="O1474" s="6" t="s">
        <v>58</v>
      </c>
      <c r="P1474" s="6" t="n">
        <v>4</v>
      </c>
      <c r="Q1474" s="6" t="n">
        <v>10.83</v>
      </c>
      <c r="R1474" s="20" t="n">
        <f aca="false">(L1474-K1474)/K1474</f>
        <v>-0.14511839565029</v>
      </c>
    </row>
    <row r="1475" customFormat="false" ht="15" hidden="false" customHeight="false" outlineLevel="0" collapsed="false">
      <c r="A1475" s="6" t="s">
        <v>1637</v>
      </c>
      <c r="B1475" s="6" t="n">
        <v>33</v>
      </c>
      <c r="C1475" s="6" t="s">
        <v>139</v>
      </c>
      <c r="D1475" s="6" t="s">
        <v>144</v>
      </c>
      <c r="E1475" s="6" t="s">
        <v>88</v>
      </c>
      <c r="F1475" s="6" t="s">
        <v>179</v>
      </c>
      <c r="G1475" s="6" t="n">
        <v>8</v>
      </c>
      <c r="H1475" s="6" t="s">
        <v>80</v>
      </c>
      <c r="I1475" s="6" t="s">
        <v>81</v>
      </c>
      <c r="J1475" s="6" t="s">
        <v>58</v>
      </c>
      <c r="K1475" s="6" t="n">
        <v>32419</v>
      </c>
      <c r="L1475" s="6" t="n">
        <v>34684</v>
      </c>
      <c r="M1475" s="6" t="s">
        <v>146</v>
      </c>
      <c r="N1475" s="6" t="n">
        <v>35</v>
      </c>
      <c r="O1475" s="6" t="s">
        <v>58</v>
      </c>
      <c r="P1475" s="6" t="n">
        <v>6</v>
      </c>
      <c r="Q1475" s="6" t="n">
        <v>33.92</v>
      </c>
      <c r="R1475" s="20" t="n">
        <f aca="false">(L1475-K1475)/K1475</f>
        <v>0.0698664363490546</v>
      </c>
    </row>
    <row r="1476" customFormat="false" ht="15" hidden="false" customHeight="false" outlineLevel="0" collapsed="false">
      <c r="A1476" s="6" t="s">
        <v>1638</v>
      </c>
      <c r="B1476" s="6" t="n">
        <v>55</v>
      </c>
      <c r="C1476" s="6" t="s">
        <v>139</v>
      </c>
      <c r="D1476" s="6" t="s">
        <v>140</v>
      </c>
      <c r="E1476" s="6" t="s">
        <v>91</v>
      </c>
      <c r="F1476" s="6" t="s">
        <v>206</v>
      </c>
      <c r="G1476" s="6" t="n">
        <v>30</v>
      </c>
      <c r="H1476" s="6" t="s">
        <v>81</v>
      </c>
      <c r="I1476" s="6" t="s">
        <v>82</v>
      </c>
      <c r="J1476" s="6" t="s">
        <v>58</v>
      </c>
      <c r="K1476" s="6" t="n">
        <v>36487</v>
      </c>
      <c r="L1476" s="6" t="n">
        <v>38920</v>
      </c>
      <c r="M1476" s="6" t="s">
        <v>142</v>
      </c>
      <c r="N1476" s="6" t="n">
        <v>43</v>
      </c>
      <c r="O1476" s="6" t="s">
        <v>60</v>
      </c>
      <c r="P1476" s="6" t="n">
        <v>5</v>
      </c>
      <c r="Q1476" s="6" t="n">
        <v>-9.79</v>
      </c>
      <c r="R1476" s="20" t="n">
        <f aca="false">(L1476-K1476)/K1476</f>
        <v>0.0666812837448954</v>
      </c>
    </row>
    <row r="1477" customFormat="false" ht="15" hidden="false" customHeight="false" outlineLevel="0" collapsed="false">
      <c r="A1477" s="6" t="s">
        <v>1639</v>
      </c>
      <c r="B1477" s="6" t="n">
        <v>36</v>
      </c>
      <c r="C1477" s="6" t="s">
        <v>134</v>
      </c>
      <c r="D1477" s="6" t="s">
        <v>148</v>
      </c>
      <c r="E1477" s="6" t="s">
        <v>87</v>
      </c>
      <c r="F1477" s="6" t="s">
        <v>149</v>
      </c>
      <c r="G1477" s="6" t="n">
        <v>13</v>
      </c>
      <c r="H1477" s="6" t="s">
        <v>80</v>
      </c>
      <c r="I1477" s="6" t="s">
        <v>81</v>
      </c>
      <c r="J1477" s="6" t="s">
        <v>60</v>
      </c>
      <c r="K1477" s="6" t="n">
        <v>116261</v>
      </c>
      <c r="L1477" s="6" t="n">
        <v>113122</v>
      </c>
      <c r="M1477" s="6" t="s">
        <v>146</v>
      </c>
      <c r="N1477" s="6" t="n">
        <v>51</v>
      </c>
      <c r="O1477" s="6" t="s">
        <v>58</v>
      </c>
      <c r="P1477" s="6" t="n">
        <v>7</v>
      </c>
      <c r="Q1477" s="6" t="n">
        <v>24</v>
      </c>
      <c r="R1477" s="20" t="n">
        <f aca="false">(L1477-K1477)/K1477</f>
        <v>-0.0269995957371776</v>
      </c>
    </row>
    <row r="1478" customFormat="false" ht="15" hidden="false" customHeight="false" outlineLevel="0" collapsed="false">
      <c r="A1478" s="6" t="s">
        <v>1640</v>
      </c>
      <c r="B1478" s="6" t="n">
        <v>43</v>
      </c>
      <c r="C1478" s="6" t="s">
        <v>134</v>
      </c>
      <c r="D1478" s="6" t="s">
        <v>135</v>
      </c>
      <c r="E1478" s="6" t="s">
        <v>87</v>
      </c>
      <c r="F1478" s="6" t="s">
        <v>155</v>
      </c>
      <c r="G1478" s="6" t="n">
        <v>17</v>
      </c>
      <c r="H1478" s="6" t="s">
        <v>81</v>
      </c>
      <c r="I1478" s="6" t="s">
        <v>82</v>
      </c>
      <c r="J1478" s="6" t="s">
        <v>60</v>
      </c>
      <c r="K1478" s="6" t="n">
        <v>105088</v>
      </c>
      <c r="L1478" s="6" t="n">
        <v>100428</v>
      </c>
      <c r="M1478" s="6" t="s">
        <v>142</v>
      </c>
      <c r="N1478" s="6" t="n">
        <v>41</v>
      </c>
      <c r="O1478" s="6" t="s">
        <v>58</v>
      </c>
      <c r="P1478" s="6" t="n">
        <v>4</v>
      </c>
      <c r="Q1478" s="6" t="n">
        <v>19.1</v>
      </c>
      <c r="R1478" s="20" t="n">
        <f aca="false">(L1478-K1478)/K1478</f>
        <v>-0.0443437880633374</v>
      </c>
    </row>
    <row r="1479" customFormat="false" ht="15" hidden="false" customHeight="false" outlineLevel="0" collapsed="false">
      <c r="A1479" s="6" t="s">
        <v>1641</v>
      </c>
      <c r="B1479" s="6" t="n">
        <v>26</v>
      </c>
      <c r="C1479" s="6" t="s">
        <v>139</v>
      </c>
      <c r="D1479" s="6" t="s">
        <v>148</v>
      </c>
      <c r="E1479" s="6" t="s">
        <v>90</v>
      </c>
      <c r="F1479" s="6" t="s">
        <v>202</v>
      </c>
      <c r="G1479" s="6" t="n">
        <v>1</v>
      </c>
      <c r="H1479" s="6" t="s">
        <v>81</v>
      </c>
      <c r="I1479" s="6" t="s">
        <v>80</v>
      </c>
      <c r="J1479" s="6" t="s">
        <v>60</v>
      </c>
      <c r="K1479" s="6" t="n">
        <v>52063</v>
      </c>
      <c r="L1479" s="6" t="n">
        <v>53322</v>
      </c>
      <c r="M1479" s="6" t="s">
        <v>142</v>
      </c>
      <c r="N1479" s="6" t="n">
        <v>37</v>
      </c>
      <c r="O1479" s="6" t="s">
        <v>58</v>
      </c>
      <c r="P1479" s="6" t="n">
        <v>6</v>
      </c>
      <c r="Q1479" s="6" t="n">
        <v>9</v>
      </c>
      <c r="R1479" s="20" t="n">
        <f aca="false">(L1479-K1479)/K1479</f>
        <v>0.0241822407467875</v>
      </c>
    </row>
    <row r="1480" customFormat="false" ht="15" hidden="false" customHeight="false" outlineLevel="0" collapsed="false">
      <c r="A1480" s="6" t="s">
        <v>1642</v>
      </c>
      <c r="B1480" s="6" t="n">
        <v>36</v>
      </c>
      <c r="C1480" s="6" t="s">
        <v>139</v>
      </c>
      <c r="D1480" s="6" t="s">
        <v>135</v>
      </c>
      <c r="E1480" s="6" t="s">
        <v>92</v>
      </c>
      <c r="F1480" s="6" t="s">
        <v>136</v>
      </c>
      <c r="G1480" s="6" t="n">
        <v>10</v>
      </c>
      <c r="H1480" s="6" t="s">
        <v>81</v>
      </c>
      <c r="I1480" s="6" t="s">
        <v>80</v>
      </c>
      <c r="J1480" s="6" t="s">
        <v>60</v>
      </c>
      <c r="K1480" s="6" t="n">
        <v>79725</v>
      </c>
      <c r="L1480" s="6" t="n">
        <v>90739</v>
      </c>
      <c r="M1480" s="6" t="s">
        <v>142</v>
      </c>
      <c r="N1480" s="6" t="n">
        <v>41</v>
      </c>
      <c r="O1480" s="6" t="s">
        <v>60</v>
      </c>
      <c r="P1480" s="6" t="n">
        <v>4</v>
      </c>
      <c r="Q1480" s="6" t="n">
        <v>19.68</v>
      </c>
      <c r="R1480" s="20" t="n">
        <f aca="false">(L1480-K1480)/K1480</f>
        <v>0.138149890247727</v>
      </c>
    </row>
    <row r="1481" customFormat="false" ht="15" hidden="false" customHeight="false" outlineLevel="0" collapsed="false">
      <c r="A1481" s="6" t="s">
        <v>1643</v>
      </c>
      <c r="B1481" s="6" t="n">
        <v>29</v>
      </c>
      <c r="C1481" s="6" t="s">
        <v>139</v>
      </c>
      <c r="D1481" s="6" t="s">
        <v>135</v>
      </c>
      <c r="E1481" s="6" t="s">
        <v>92</v>
      </c>
      <c r="F1481" s="6" t="s">
        <v>192</v>
      </c>
      <c r="G1481" s="6" t="n">
        <v>7</v>
      </c>
      <c r="H1481" s="6" t="s">
        <v>82</v>
      </c>
      <c r="I1481" s="6" t="s">
        <v>80</v>
      </c>
      <c r="J1481" s="6" t="s">
        <v>60</v>
      </c>
      <c r="K1481" s="6" t="n">
        <v>109834</v>
      </c>
      <c r="L1481" s="6" t="n">
        <v>139358</v>
      </c>
      <c r="M1481" s="6" t="s">
        <v>142</v>
      </c>
      <c r="N1481" s="6" t="n">
        <v>42</v>
      </c>
      <c r="O1481" s="6" t="s">
        <v>58</v>
      </c>
      <c r="P1481" s="6" t="n">
        <v>3</v>
      </c>
      <c r="Q1481" s="6" t="n">
        <v>20.8</v>
      </c>
      <c r="R1481" s="20" t="n">
        <f aca="false">(L1481-K1481)/K1481</f>
        <v>0.268805652165996</v>
      </c>
    </row>
    <row r="1482" customFormat="false" ht="15" hidden="false" customHeight="false" outlineLevel="0" collapsed="false">
      <c r="A1482" s="6" t="s">
        <v>1644</v>
      </c>
      <c r="B1482" s="6" t="n">
        <v>36</v>
      </c>
      <c r="C1482" s="6" t="s">
        <v>134</v>
      </c>
      <c r="D1482" s="6" t="s">
        <v>135</v>
      </c>
      <c r="E1482" s="6" t="s">
        <v>92</v>
      </c>
      <c r="F1482" s="6" t="s">
        <v>222</v>
      </c>
      <c r="G1482" s="6" t="n">
        <v>10</v>
      </c>
      <c r="H1482" s="6" t="s">
        <v>80</v>
      </c>
      <c r="I1482" s="6" t="s">
        <v>81</v>
      </c>
      <c r="J1482" s="6" t="s">
        <v>58</v>
      </c>
      <c r="K1482" s="6" t="n">
        <v>36050</v>
      </c>
      <c r="L1482" s="6" t="n">
        <v>37259</v>
      </c>
      <c r="M1482" s="6" t="s">
        <v>146</v>
      </c>
      <c r="N1482" s="6" t="n">
        <v>44</v>
      </c>
      <c r="O1482" s="6" t="s">
        <v>60</v>
      </c>
      <c r="P1482" s="6" t="n">
        <v>9</v>
      </c>
      <c r="Q1482" s="6" t="n">
        <v>27.24</v>
      </c>
      <c r="R1482" s="20" t="n">
        <f aca="false">(L1482-K1482)/K1482</f>
        <v>0.0335367545076283</v>
      </c>
    </row>
    <row r="1483" customFormat="false" ht="15" hidden="false" customHeight="false" outlineLevel="0" collapsed="false">
      <c r="A1483" s="6" t="s">
        <v>1645</v>
      </c>
      <c r="B1483" s="6" t="n">
        <v>49</v>
      </c>
      <c r="C1483" s="6" t="s">
        <v>159</v>
      </c>
      <c r="D1483" s="6" t="s">
        <v>140</v>
      </c>
      <c r="E1483" s="6" t="s">
        <v>89</v>
      </c>
      <c r="F1483" s="6" t="s">
        <v>162</v>
      </c>
      <c r="G1483" s="6" t="n">
        <v>23</v>
      </c>
      <c r="H1483" s="6" t="s">
        <v>81</v>
      </c>
      <c r="I1483" s="6" t="s">
        <v>82</v>
      </c>
      <c r="J1483" s="6" t="s">
        <v>60</v>
      </c>
      <c r="K1483" s="6" t="n">
        <v>117363</v>
      </c>
      <c r="L1483" s="6" t="n">
        <v>139281</v>
      </c>
      <c r="M1483" s="6" t="s">
        <v>142</v>
      </c>
      <c r="N1483" s="6" t="n">
        <v>35</v>
      </c>
      <c r="O1483" s="6" t="s">
        <v>58</v>
      </c>
      <c r="P1483" s="6" t="n">
        <v>6</v>
      </c>
      <c r="Q1483" s="6" t="n">
        <v>24.05</v>
      </c>
      <c r="R1483" s="20" t="n">
        <f aca="false">(L1483-K1483)/K1483</f>
        <v>0.186753917333402</v>
      </c>
    </row>
    <row r="1484" customFormat="false" ht="15" hidden="false" customHeight="false" outlineLevel="0" collapsed="false">
      <c r="A1484" s="6" t="s">
        <v>1646</v>
      </c>
      <c r="B1484" s="6" t="n">
        <v>26</v>
      </c>
      <c r="C1484" s="6" t="s">
        <v>139</v>
      </c>
      <c r="D1484" s="6" t="s">
        <v>144</v>
      </c>
      <c r="E1484" s="6" t="s">
        <v>88</v>
      </c>
      <c r="F1484" s="6" t="s">
        <v>179</v>
      </c>
      <c r="G1484" s="6" t="n">
        <v>2</v>
      </c>
      <c r="H1484" s="6" t="s">
        <v>80</v>
      </c>
      <c r="I1484" s="6" t="s">
        <v>82</v>
      </c>
      <c r="J1484" s="6" t="s">
        <v>60</v>
      </c>
      <c r="K1484" s="6" t="n">
        <v>92695</v>
      </c>
      <c r="L1484" s="6" t="n">
        <v>93594</v>
      </c>
      <c r="M1484" s="6" t="s">
        <v>142</v>
      </c>
      <c r="N1484" s="6" t="n">
        <v>54</v>
      </c>
      <c r="O1484" s="6" t="s">
        <v>58</v>
      </c>
      <c r="P1484" s="6" t="n">
        <v>9</v>
      </c>
      <c r="Q1484" s="6" t="n">
        <v>10.82</v>
      </c>
      <c r="R1484" s="20" t="n">
        <f aca="false">(L1484-K1484)/K1484</f>
        <v>0.00969847348832192</v>
      </c>
    </row>
    <row r="1485" customFormat="false" ht="15" hidden="false" customHeight="false" outlineLevel="0" collapsed="false">
      <c r="A1485" s="6" t="s">
        <v>1647</v>
      </c>
      <c r="B1485" s="6" t="n">
        <v>44</v>
      </c>
      <c r="C1485" s="6" t="s">
        <v>159</v>
      </c>
      <c r="D1485" s="6" t="s">
        <v>148</v>
      </c>
      <c r="E1485" s="6" t="s">
        <v>88</v>
      </c>
      <c r="F1485" s="6" t="s">
        <v>234</v>
      </c>
      <c r="G1485" s="6" t="n">
        <v>19</v>
      </c>
      <c r="H1485" s="6" t="s">
        <v>80</v>
      </c>
      <c r="I1485" s="6" t="s">
        <v>81</v>
      </c>
      <c r="J1485" s="6" t="s">
        <v>58</v>
      </c>
      <c r="K1485" s="6" t="n">
        <v>68108</v>
      </c>
      <c r="L1485" s="6" t="n">
        <v>65680</v>
      </c>
      <c r="M1485" s="6" t="s">
        <v>146</v>
      </c>
      <c r="N1485" s="6" t="n">
        <v>47</v>
      </c>
      <c r="O1485" s="6" t="s">
        <v>58</v>
      </c>
      <c r="P1485" s="6" t="n">
        <v>5</v>
      </c>
      <c r="Q1485" s="6" t="n">
        <v>34.88</v>
      </c>
      <c r="R1485" s="20" t="n">
        <f aca="false">(L1485-K1485)/K1485</f>
        <v>-0.035649262935338</v>
      </c>
    </row>
    <row r="1486" customFormat="false" ht="15" hidden="false" customHeight="false" outlineLevel="0" collapsed="false">
      <c r="A1486" s="6" t="s">
        <v>1648</v>
      </c>
      <c r="B1486" s="6" t="n">
        <v>42</v>
      </c>
      <c r="C1486" s="6" t="s">
        <v>134</v>
      </c>
      <c r="D1486" s="6" t="s">
        <v>140</v>
      </c>
      <c r="E1486" s="6" t="s">
        <v>92</v>
      </c>
      <c r="F1486" s="6" t="s">
        <v>222</v>
      </c>
      <c r="G1486" s="6" t="n">
        <v>19</v>
      </c>
      <c r="H1486" s="6" t="s">
        <v>82</v>
      </c>
      <c r="I1486" s="6" t="s">
        <v>82</v>
      </c>
      <c r="J1486" s="6" t="s">
        <v>60</v>
      </c>
      <c r="K1486" s="6" t="n">
        <v>102683</v>
      </c>
      <c r="L1486" s="6" t="n">
        <v>116833</v>
      </c>
      <c r="M1486" s="6" t="s">
        <v>146</v>
      </c>
      <c r="N1486" s="6" t="n">
        <v>38</v>
      </c>
      <c r="O1486" s="6" t="s">
        <v>60</v>
      </c>
      <c r="P1486" s="6" t="n">
        <v>5</v>
      </c>
      <c r="Q1486" s="6" t="n">
        <v>1.4</v>
      </c>
      <c r="R1486" s="20" t="n">
        <f aca="false">(L1486-K1486)/K1486</f>
        <v>0.137802752159559</v>
      </c>
    </row>
    <row r="1487" customFormat="false" ht="15" hidden="false" customHeight="false" outlineLevel="0" collapsed="false">
      <c r="A1487" s="6" t="s">
        <v>1649</v>
      </c>
      <c r="B1487" s="6" t="n">
        <v>44</v>
      </c>
      <c r="C1487" s="6" t="s">
        <v>139</v>
      </c>
      <c r="D1487" s="6" t="s">
        <v>144</v>
      </c>
      <c r="E1487" s="6" t="s">
        <v>87</v>
      </c>
      <c r="F1487" s="6" t="s">
        <v>149</v>
      </c>
      <c r="G1487" s="6" t="n">
        <v>18</v>
      </c>
      <c r="H1487" s="6" t="s">
        <v>82</v>
      </c>
      <c r="I1487" s="6" t="s">
        <v>80</v>
      </c>
      <c r="J1487" s="6" t="s">
        <v>60</v>
      </c>
      <c r="K1487" s="6" t="n">
        <v>95587</v>
      </c>
      <c r="L1487" s="6" t="n">
        <v>127938</v>
      </c>
      <c r="M1487" s="6" t="s">
        <v>142</v>
      </c>
      <c r="N1487" s="6" t="n">
        <v>54</v>
      </c>
      <c r="O1487" s="6" t="s">
        <v>60</v>
      </c>
      <c r="P1487" s="6" t="n">
        <v>5</v>
      </c>
      <c r="Q1487" s="6" t="n">
        <v>19.37</v>
      </c>
      <c r="R1487" s="20" t="n">
        <f aca="false">(L1487-K1487)/K1487</f>
        <v>0.338445604527812</v>
      </c>
    </row>
    <row r="1488" customFormat="false" ht="15" hidden="false" customHeight="false" outlineLevel="0" collapsed="false">
      <c r="A1488" s="6" t="s">
        <v>1650</v>
      </c>
      <c r="B1488" s="6" t="n">
        <v>28</v>
      </c>
      <c r="C1488" s="6" t="s">
        <v>139</v>
      </c>
      <c r="D1488" s="6" t="s">
        <v>144</v>
      </c>
      <c r="E1488" s="6" t="s">
        <v>91</v>
      </c>
      <c r="F1488" s="6" t="s">
        <v>141</v>
      </c>
      <c r="G1488" s="6" t="n">
        <v>2</v>
      </c>
      <c r="H1488" s="6" t="s">
        <v>80</v>
      </c>
      <c r="I1488" s="6" t="s">
        <v>81</v>
      </c>
      <c r="J1488" s="6" t="s">
        <v>58</v>
      </c>
      <c r="K1488" s="6" t="n">
        <v>36057</v>
      </c>
      <c r="L1488" s="6" t="n">
        <v>36892</v>
      </c>
      <c r="M1488" s="6" t="s">
        <v>146</v>
      </c>
      <c r="N1488" s="6" t="n">
        <v>43</v>
      </c>
      <c r="O1488" s="6" t="s">
        <v>58</v>
      </c>
      <c r="P1488" s="6" t="n">
        <v>6</v>
      </c>
      <c r="Q1488" s="6" t="n">
        <v>-1.13</v>
      </c>
      <c r="R1488" s="20" t="n">
        <f aca="false">(L1488-K1488)/K1488</f>
        <v>0.0231577779626702</v>
      </c>
    </row>
    <row r="1489" customFormat="false" ht="15" hidden="false" customHeight="false" outlineLevel="0" collapsed="false">
      <c r="A1489" s="6" t="s">
        <v>1651</v>
      </c>
      <c r="B1489" s="6" t="n">
        <v>37</v>
      </c>
      <c r="C1489" s="6" t="s">
        <v>159</v>
      </c>
      <c r="D1489" s="6" t="s">
        <v>135</v>
      </c>
      <c r="E1489" s="6" t="s">
        <v>87</v>
      </c>
      <c r="F1489" s="6" t="s">
        <v>149</v>
      </c>
      <c r="G1489" s="6" t="n">
        <v>15</v>
      </c>
      <c r="H1489" s="6" t="s">
        <v>82</v>
      </c>
      <c r="I1489" s="6" t="s">
        <v>81</v>
      </c>
      <c r="J1489" s="6" t="s">
        <v>60</v>
      </c>
      <c r="K1489" s="6" t="n">
        <v>64293</v>
      </c>
      <c r="L1489" s="6" t="n">
        <v>58173</v>
      </c>
      <c r="M1489" s="6" t="s">
        <v>146</v>
      </c>
      <c r="N1489" s="6" t="n">
        <v>48</v>
      </c>
      <c r="O1489" s="6" t="s">
        <v>60</v>
      </c>
      <c r="P1489" s="6" t="n">
        <v>5</v>
      </c>
      <c r="Q1489" s="6" t="n">
        <v>-8.08</v>
      </c>
      <c r="R1489" s="20" t="n">
        <f aca="false">(L1489-K1489)/K1489</f>
        <v>-0.0951892118893192</v>
      </c>
    </row>
    <row r="1490" customFormat="false" ht="15" hidden="false" customHeight="false" outlineLevel="0" collapsed="false">
      <c r="A1490" s="6" t="s">
        <v>1652</v>
      </c>
      <c r="B1490" s="6" t="n">
        <v>42</v>
      </c>
      <c r="C1490" s="6" t="s">
        <v>134</v>
      </c>
      <c r="D1490" s="6" t="s">
        <v>135</v>
      </c>
      <c r="E1490" s="6" t="s">
        <v>90</v>
      </c>
      <c r="F1490" s="6" t="s">
        <v>145</v>
      </c>
      <c r="G1490" s="6" t="n">
        <v>18</v>
      </c>
      <c r="H1490" s="6" t="s">
        <v>80</v>
      </c>
      <c r="I1490" s="6" t="s">
        <v>80</v>
      </c>
      <c r="J1490" s="6" t="s">
        <v>58</v>
      </c>
      <c r="K1490" s="6" t="n">
        <v>53284</v>
      </c>
      <c r="L1490" s="6" t="n">
        <v>52001</v>
      </c>
      <c r="M1490" s="6" t="s">
        <v>142</v>
      </c>
      <c r="N1490" s="6" t="n">
        <v>54</v>
      </c>
      <c r="O1490" s="6" t="s">
        <v>58</v>
      </c>
      <c r="P1490" s="6" t="n">
        <v>6</v>
      </c>
      <c r="Q1490" s="6" t="n">
        <v>0.67</v>
      </c>
      <c r="R1490" s="20" t="n">
        <f aca="false">(L1490-K1490)/K1490</f>
        <v>-0.0240785226334359</v>
      </c>
    </row>
    <row r="1491" customFormat="false" ht="15" hidden="false" customHeight="false" outlineLevel="0" collapsed="false">
      <c r="A1491" s="6" t="s">
        <v>1653</v>
      </c>
      <c r="B1491" s="6" t="n">
        <v>47</v>
      </c>
      <c r="C1491" s="6" t="s">
        <v>139</v>
      </c>
      <c r="D1491" s="6" t="s">
        <v>148</v>
      </c>
      <c r="E1491" s="6" t="s">
        <v>93</v>
      </c>
      <c r="F1491" s="6" t="s">
        <v>164</v>
      </c>
      <c r="G1491" s="6" t="n">
        <v>24</v>
      </c>
      <c r="H1491" s="6" t="s">
        <v>81</v>
      </c>
      <c r="I1491" s="6" t="s">
        <v>80</v>
      </c>
      <c r="J1491" s="6" t="s">
        <v>60</v>
      </c>
      <c r="K1491" s="6" t="n">
        <v>111490</v>
      </c>
      <c r="L1491" s="6" t="n">
        <v>110799</v>
      </c>
      <c r="M1491" s="6" t="s">
        <v>142</v>
      </c>
      <c r="N1491" s="6" t="n">
        <v>51</v>
      </c>
      <c r="O1491" s="6" t="s">
        <v>58</v>
      </c>
      <c r="P1491" s="6" t="n">
        <v>3</v>
      </c>
      <c r="Q1491" s="6" t="n">
        <v>-13.65</v>
      </c>
      <c r="R1491" s="20" t="n">
        <f aca="false">(L1491-K1491)/K1491</f>
        <v>-0.00619786527939726</v>
      </c>
    </row>
    <row r="1492" customFormat="false" ht="15" hidden="false" customHeight="false" outlineLevel="0" collapsed="false">
      <c r="A1492" s="6" t="s">
        <v>1654</v>
      </c>
      <c r="B1492" s="6" t="n">
        <v>44</v>
      </c>
      <c r="C1492" s="6" t="s">
        <v>159</v>
      </c>
      <c r="D1492" s="6" t="s">
        <v>135</v>
      </c>
      <c r="E1492" s="6" t="s">
        <v>90</v>
      </c>
      <c r="F1492" s="6" t="s">
        <v>145</v>
      </c>
      <c r="G1492" s="6" t="n">
        <v>21</v>
      </c>
      <c r="H1492" s="6" t="s">
        <v>80</v>
      </c>
      <c r="I1492" s="6" t="s">
        <v>80</v>
      </c>
      <c r="J1492" s="6" t="s">
        <v>60</v>
      </c>
      <c r="K1492" s="6" t="n">
        <v>82328</v>
      </c>
      <c r="L1492" s="6" t="n">
        <v>88060</v>
      </c>
      <c r="M1492" s="6" t="s">
        <v>142</v>
      </c>
      <c r="N1492" s="6" t="n">
        <v>37</v>
      </c>
      <c r="O1492" s="6" t="s">
        <v>60</v>
      </c>
      <c r="P1492" s="6" t="n">
        <v>5</v>
      </c>
      <c r="Q1492" s="6" t="n">
        <v>12.28</v>
      </c>
      <c r="R1492" s="20" t="n">
        <f aca="false">(L1492-K1492)/K1492</f>
        <v>0.0696239432513847</v>
      </c>
    </row>
    <row r="1493" customFormat="false" ht="15" hidden="false" customHeight="false" outlineLevel="0" collapsed="false">
      <c r="A1493" s="6" t="s">
        <v>1655</v>
      </c>
      <c r="B1493" s="6" t="n">
        <v>49</v>
      </c>
      <c r="C1493" s="6" t="s">
        <v>134</v>
      </c>
      <c r="D1493" s="6" t="s">
        <v>140</v>
      </c>
      <c r="E1493" s="6" t="s">
        <v>91</v>
      </c>
      <c r="F1493" s="6" t="s">
        <v>141</v>
      </c>
      <c r="G1493" s="6" t="n">
        <v>25</v>
      </c>
      <c r="H1493" s="6" t="s">
        <v>80</v>
      </c>
      <c r="I1493" s="6" t="s">
        <v>81</v>
      </c>
      <c r="J1493" s="6" t="s">
        <v>58</v>
      </c>
      <c r="K1493" s="6" t="n">
        <v>112533</v>
      </c>
      <c r="L1493" s="6" t="n">
        <v>113707</v>
      </c>
      <c r="M1493" s="6" t="s">
        <v>146</v>
      </c>
      <c r="N1493" s="6" t="n">
        <v>47</v>
      </c>
      <c r="O1493" s="6" t="s">
        <v>60</v>
      </c>
      <c r="P1493" s="6" t="n">
        <v>5</v>
      </c>
      <c r="Q1493" s="6" t="n">
        <v>34.43</v>
      </c>
      <c r="R1493" s="20" t="n">
        <f aca="false">(L1493-K1493)/K1493</f>
        <v>0.0104324953569175</v>
      </c>
    </row>
    <row r="1494" customFormat="false" ht="15" hidden="false" customHeight="false" outlineLevel="0" collapsed="false">
      <c r="A1494" s="6" t="s">
        <v>1656</v>
      </c>
      <c r="B1494" s="6" t="n">
        <v>32</v>
      </c>
      <c r="C1494" s="6" t="s">
        <v>134</v>
      </c>
      <c r="D1494" s="6" t="s">
        <v>140</v>
      </c>
      <c r="E1494" s="6" t="s">
        <v>92</v>
      </c>
      <c r="F1494" s="6" t="s">
        <v>192</v>
      </c>
      <c r="G1494" s="6" t="n">
        <v>6</v>
      </c>
      <c r="H1494" s="6" t="s">
        <v>82</v>
      </c>
      <c r="I1494" s="6" t="s">
        <v>82</v>
      </c>
      <c r="J1494" s="6" t="s">
        <v>58</v>
      </c>
      <c r="K1494" s="6" t="n">
        <v>55792</v>
      </c>
      <c r="L1494" s="6" t="n">
        <v>56275</v>
      </c>
      <c r="M1494" s="6" t="s">
        <v>137</v>
      </c>
      <c r="N1494" s="6" t="n">
        <v>37</v>
      </c>
      <c r="O1494" s="6" t="s">
        <v>58</v>
      </c>
      <c r="P1494" s="6" t="n">
        <v>9</v>
      </c>
      <c r="Q1494" s="6" t="n">
        <v>11.23</v>
      </c>
      <c r="R1494" s="20" t="n">
        <f aca="false">(L1494-K1494)/K1494</f>
        <v>0.00865715514769143</v>
      </c>
    </row>
    <row r="1495" customFormat="false" ht="15" hidden="false" customHeight="false" outlineLevel="0" collapsed="false">
      <c r="A1495" s="6" t="s">
        <v>1657</v>
      </c>
      <c r="B1495" s="6" t="n">
        <v>47</v>
      </c>
      <c r="C1495" s="6" t="s">
        <v>134</v>
      </c>
      <c r="D1495" s="6" t="s">
        <v>148</v>
      </c>
      <c r="E1495" s="6" t="s">
        <v>90</v>
      </c>
      <c r="F1495" s="6" t="s">
        <v>202</v>
      </c>
      <c r="G1495" s="6" t="n">
        <v>21</v>
      </c>
      <c r="H1495" s="6" t="s">
        <v>82</v>
      </c>
      <c r="I1495" s="6" t="s">
        <v>82</v>
      </c>
      <c r="J1495" s="6" t="s">
        <v>60</v>
      </c>
      <c r="K1495" s="6" t="n">
        <v>78542</v>
      </c>
      <c r="L1495" s="6" t="n">
        <v>98309</v>
      </c>
      <c r="M1495" s="6" t="s">
        <v>137</v>
      </c>
      <c r="N1495" s="6" t="n">
        <v>42</v>
      </c>
      <c r="O1495" s="6" t="s">
        <v>58</v>
      </c>
      <c r="P1495" s="6" t="n">
        <v>6</v>
      </c>
      <c r="Q1495" s="6" t="n">
        <v>29.4</v>
      </c>
      <c r="R1495" s="20" t="n">
        <f aca="false">(L1495-K1495)/K1495</f>
        <v>0.251674263451402</v>
      </c>
    </row>
    <row r="1496" customFormat="false" ht="15" hidden="false" customHeight="false" outlineLevel="0" collapsed="false">
      <c r="A1496" s="6" t="s">
        <v>1658</v>
      </c>
      <c r="B1496" s="6" t="n">
        <v>46</v>
      </c>
      <c r="C1496" s="6" t="s">
        <v>159</v>
      </c>
      <c r="D1496" s="6" t="s">
        <v>144</v>
      </c>
      <c r="E1496" s="6" t="s">
        <v>90</v>
      </c>
      <c r="F1496" s="6" t="s">
        <v>145</v>
      </c>
      <c r="G1496" s="6" t="n">
        <v>22</v>
      </c>
      <c r="H1496" s="6" t="s">
        <v>82</v>
      </c>
      <c r="I1496" s="6" t="s">
        <v>82</v>
      </c>
      <c r="J1496" s="6" t="s">
        <v>58</v>
      </c>
      <c r="K1496" s="6" t="n">
        <v>116120</v>
      </c>
      <c r="L1496" s="6" t="n">
        <v>126898</v>
      </c>
      <c r="M1496" s="6" t="s">
        <v>137</v>
      </c>
      <c r="N1496" s="6" t="n">
        <v>43</v>
      </c>
      <c r="O1496" s="6" t="s">
        <v>60</v>
      </c>
      <c r="P1496" s="6" t="n">
        <v>9</v>
      </c>
      <c r="Q1496" s="6" t="n">
        <v>-10.71</v>
      </c>
      <c r="R1496" s="20" t="n">
        <f aca="false">(L1496-K1496)/K1496</f>
        <v>0.0928177747158112</v>
      </c>
    </row>
    <row r="1497" customFormat="false" ht="15" hidden="false" customHeight="false" outlineLevel="0" collapsed="false">
      <c r="A1497" s="6" t="s">
        <v>1659</v>
      </c>
      <c r="B1497" s="6" t="n">
        <v>44</v>
      </c>
      <c r="C1497" s="6" t="s">
        <v>159</v>
      </c>
      <c r="D1497" s="6" t="s">
        <v>144</v>
      </c>
      <c r="E1497" s="6" t="s">
        <v>90</v>
      </c>
      <c r="F1497" s="6" t="s">
        <v>145</v>
      </c>
      <c r="G1497" s="6" t="n">
        <v>18</v>
      </c>
      <c r="H1497" s="6" t="s">
        <v>82</v>
      </c>
      <c r="I1497" s="6" t="s">
        <v>81</v>
      </c>
      <c r="J1497" s="6" t="s">
        <v>58</v>
      </c>
      <c r="K1497" s="6" t="n">
        <v>105700</v>
      </c>
      <c r="L1497" s="6" t="n">
        <v>147546</v>
      </c>
      <c r="M1497" s="6" t="s">
        <v>146</v>
      </c>
      <c r="N1497" s="6" t="n">
        <v>48</v>
      </c>
      <c r="O1497" s="6" t="s">
        <v>58</v>
      </c>
      <c r="P1497" s="6" t="n">
        <v>8</v>
      </c>
      <c r="Q1497" s="6" t="n">
        <v>-13.63</v>
      </c>
      <c r="R1497" s="20" t="n">
        <f aca="false">(L1497-K1497)/K1497</f>
        <v>0.395894039735099</v>
      </c>
    </row>
    <row r="1498" customFormat="false" ht="15" hidden="false" customHeight="false" outlineLevel="0" collapsed="false">
      <c r="A1498" s="6" t="s">
        <v>1660</v>
      </c>
      <c r="B1498" s="6" t="n">
        <v>33</v>
      </c>
      <c r="C1498" s="6" t="s">
        <v>139</v>
      </c>
      <c r="D1498" s="6" t="s">
        <v>140</v>
      </c>
      <c r="E1498" s="6" t="s">
        <v>88</v>
      </c>
      <c r="F1498" s="6" t="s">
        <v>234</v>
      </c>
      <c r="G1498" s="6" t="n">
        <v>10</v>
      </c>
      <c r="H1498" s="6" t="s">
        <v>82</v>
      </c>
      <c r="I1498" s="6" t="s">
        <v>81</v>
      </c>
      <c r="J1498" s="6" t="s">
        <v>58</v>
      </c>
      <c r="K1498" s="6" t="n">
        <v>118090</v>
      </c>
      <c r="L1498" s="6" t="n">
        <v>130712</v>
      </c>
      <c r="M1498" s="6" t="s">
        <v>146</v>
      </c>
      <c r="N1498" s="6" t="n">
        <v>35</v>
      </c>
      <c r="O1498" s="6" t="s">
        <v>58</v>
      </c>
      <c r="P1498" s="6" t="n">
        <v>6</v>
      </c>
      <c r="Q1498" s="6" t="n">
        <v>18.64</v>
      </c>
      <c r="R1498" s="20" t="n">
        <f aca="false">(L1498-K1498)/K1498</f>
        <v>0.106884579557964</v>
      </c>
    </row>
    <row r="1499" customFormat="false" ht="15" hidden="false" customHeight="false" outlineLevel="0" collapsed="false">
      <c r="A1499" s="6" t="s">
        <v>1661</v>
      </c>
      <c r="B1499" s="6" t="n">
        <v>49</v>
      </c>
      <c r="C1499" s="6" t="s">
        <v>134</v>
      </c>
      <c r="D1499" s="6" t="s">
        <v>135</v>
      </c>
      <c r="E1499" s="6" t="s">
        <v>90</v>
      </c>
      <c r="F1499" s="6" t="s">
        <v>202</v>
      </c>
      <c r="G1499" s="6" t="n">
        <v>27</v>
      </c>
      <c r="H1499" s="6" t="s">
        <v>82</v>
      </c>
      <c r="I1499" s="6" t="s">
        <v>81</v>
      </c>
      <c r="J1499" s="6" t="s">
        <v>60</v>
      </c>
      <c r="K1499" s="6" t="n">
        <v>90162</v>
      </c>
      <c r="L1499" s="6" t="n">
        <v>118026</v>
      </c>
      <c r="M1499" s="6" t="s">
        <v>146</v>
      </c>
      <c r="N1499" s="6" t="n">
        <v>36</v>
      </c>
      <c r="O1499" s="6" t="s">
        <v>60</v>
      </c>
      <c r="P1499" s="6" t="n">
        <v>7</v>
      </c>
      <c r="Q1499" s="6" t="n">
        <v>-18.78</v>
      </c>
      <c r="R1499" s="20" t="n">
        <f aca="false">(L1499-K1499)/K1499</f>
        <v>0.309043721301657</v>
      </c>
    </row>
    <row r="1500" customFormat="false" ht="15" hidden="false" customHeight="false" outlineLevel="0" collapsed="false">
      <c r="A1500" s="6" t="s">
        <v>1662</v>
      </c>
      <c r="B1500" s="6" t="n">
        <v>46</v>
      </c>
      <c r="C1500" s="6" t="s">
        <v>139</v>
      </c>
      <c r="D1500" s="6" t="s">
        <v>135</v>
      </c>
      <c r="E1500" s="6" t="s">
        <v>93</v>
      </c>
      <c r="F1500" s="6" t="s">
        <v>181</v>
      </c>
      <c r="G1500" s="6" t="n">
        <v>21</v>
      </c>
      <c r="H1500" s="6" t="s">
        <v>82</v>
      </c>
      <c r="I1500" s="6" t="s">
        <v>80</v>
      </c>
      <c r="J1500" s="6" t="s">
        <v>58</v>
      </c>
      <c r="K1500" s="6" t="n">
        <v>89622</v>
      </c>
      <c r="L1500" s="6" t="n">
        <v>94846</v>
      </c>
      <c r="M1500" s="6" t="s">
        <v>142</v>
      </c>
      <c r="N1500" s="6" t="n">
        <v>44</v>
      </c>
      <c r="O1500" s="6" t="s">
        <v>60</v>
      </c>
      <c r="P1500" s="6" t="n">
        <v>8</v>
      </c>
      <c r="Q1500" s="6" t="n">
        <v>8.03</v>
      </c>
      <c r="R1500" s="20" t="n">
        <f aca="false">(L1500-K1500)/K1500</f>
        <v>0.0582892593336458</v>
      </c>
    </row>
    <row r="1501" customFormat="false" ht="15" hidden="false" customHeight="false" outlineLevel="0" collapsed="false">
      <c r="A1501" s="6" t="s">
        <v>1663</v>
      </c>
      <c r="B1501" s="6" t="n">
        <v>50</v>
      </c>
      <c r="C1501" s="6" t="s">
        <v>134</v>
      </c>
      <c r="D1501" s="6" t="s">
        <v>144</v>
      </c>
      <c r="E1501" s="6" t="s">
        <v>88</v>
      </c>
      <c r="F1501" s="6" t="s">
        <v>179</v>
      </c>
      <c r="G1501" s="6" t="n">
        <v>28</v>
      </c>
      <c r="H1501" s="6" t="s">
        <v>81</v>
      </c>
      <c r="I1501" s="6" t="s">
        <v>82</v>
      </c>
      <c r="J1501" s="6" t="s">
        <v>60</v>
      </c>
      <c r="K1501" s="6" t="n">
        <v>57301</v>
      </c>
      <c r="L1501" s="6" t="n">
        <v>58606</v>
      </c>
      <c r="M1501" s="6" t="s">
        <v>142</v>
      </c>
      <c r="N1501" s="6" t="n">
        <v>45</v>
      </c>
      <c r="O1501" s="6" t="s">
        <v>58</v>
      </c>
      <c r="P1501" s="6" t="n">
        <v>5</v>
      </c>
      <c r="Q1501" s="6" t="n">
        <v>-2.65</v>
      </c>
      <c r="R1501" s="20" t="n">
        <f aca="false">(L1501-K1501)/K1501</f>
        <v>0.0227744716497094</v>
      </c>
    </row>
    <row r="1502" customFormat="false" ht="15" hidden="false" customHeight="false" outlineLevel="0" collapsed="false">
      <c r="A1502" s="6" t="s">
        <v>1664</v>
      </c>
      <c r="B1502" s="6" t="n">
        <v>40</v>
      </c>
      <c r="C1502" s="6" t="s">
        <v>139</v>
      </c>
      <c r="D1502" s="6" t="s">
        <v>140</v>
      </c>
      <c r="E1502" s="6" t="s">
        <v>91</v>
      </c>
      <c r="F1502" s="6" t="s">
        <v>141</v>
      </c>
      <c r="G1502" s="6" t="n">
        <v>17</v>
      </c>
      <c r="H1502" s="6" t="s">
        <v>82</v>
      </c>
      <c r="I1502" s="6" t="s">
        <v>81</v>
      </c>
      <c r="J1502" s="6" t="s">
        <v>60</v>
      </c>
      <c r="K1502" s="6" t="n">
        <v>55230</v>
      </c>
      <c r="L1502" s="6" t="n">
        <v>73580</v>
      </c>
      <c r="M1502" s="6" t="s">
        <v>146</v>
      </c>
      <c r="N1502" s="6" t="n">
        <v>47</v>
      </c>
      <c r="O1502" s="6" t="s">
        <v>60</v>
      </c>
      <c r="P1502" s="6" t="n">
        <v>7</v>
      </c>
      <c r="Q1502" s="6" t="n">
        <v>1.49</v>
      </c>
      <c r="R1502" s="20" t="n">
        <f aca="false">(L1502-K1502)/K1502</f>
        <v>0.332246967227956</v>
      </c>
    </row>
    <row r="1503" customFormat="false" ht="15" hidden="false" customHeight="false" outlineLevel="0" collapsed="false">
      <c r="A1503" s="6" t="s">
        <v>1665</v>
      </c>
      <c r="B1503" s="6" t="n">
        <v>25</v>
      </c>
      <c r="C1503" s="6" t="s">
        <v>134</v>
      </c>
      <c r="D1503" s="6" t="s">
        <v>135</v>
      </c>
      <c r="E1503" s="6" t="s">
        <v>87</v>
      </c>
      <c r="F1503" s="6" t="s">
        <v>149</v>
      </c>
      <c r="G1503" s="6" t="n">
        <v>0</v>
      </c>
      <c r="H1503" s="6" t="s">
        <v>81</v>
      </c>
      <c r="I1503" s="6" t="s">
        <v>80</v>
      </c>
      <c r="J1503" s="6" t="s">
        <v>58</v>
      </c>
      <c r="K1503" s="6" t="n">
        <v>35239</v>
      </c>
      <c r="L1503" s="6" t="n">
        <v>36367</v>
      </c>
      <c r="M1503" s="6" t="s">
        <v>142</v>
      </c>
      <c r="N1503" s="6" t="n">
        <v>46</v>
      </c>
      <c r="O1503" s="6" t="s">
        <v>58</v>
      </c>
      <c r="P1503" s="6" t="n">
        <v>7</v>
      </c>
      <c r="Q1503" s="6" t="n">
        <v>-14.53</v>
      </c>
      <c r="R1503" s="20" t="n">
        <f aca="false">(L1503-K1503)/K1503</f>
        <v>0.0320099889327166</v>
      </c>
    </row>
    <row r="1504" customFormat="false" ht="15" hidden="false" customHeight="false" outlineLevel="0" collapsed="false">
      <c r="A1504" s="6" t="s">
        <v>1666</v>
      </c>
      <c r="B1504" s="6" t="n">
        <v>32</v>
      </c>
      <c r="C1504" s="6" t="s">
        <v>159</v>
      </c>
      <c r="D1504" s="6" t="s">
        <v>135</v>
      </c>
      <c r="E1504" s="6" t="s">
        <v>90</v>
      </c>
      <c r="F1504" s="6" t="s">
        <v>202</v>
      </c>
      <c r="G1504" s="6" t="n">
        <v>7</v>
      </c>
      <c r="H1504" s="6" t="s">
        <v>81</v>
      </c>
      <c r="I1504" s="6" t="s">
        <v>81</v>
      </c>
      <c r="J1504" s="6" t="s">
        <v>58</v>
      </c>
      <c r="K1504" s="6" t="n">
        <v>64674</v>
      </c>
      <c r="L1504" s="6" t="n">
        <v>76846</v>
      </c>
      <c r="M1504" s="6" t="s">
        <v>146</v>
      </c>
      <c r="N1504" s="6" t="n">
        <v>36</v>
      </c>
      <c r="O1504" s="6" t="s">
        <v>58</v>
      </c>
      <c r="P1504" s="6" t="n">
        <v>4</v>
      </c>
      <c r="Q1504" s="6" t="n">
        <v>9.97</v>
      </c>
      <c r="R1504" s="20" t="n">
        <f aca="false">(L1504-K1504)/K1504</f>
        <v>0.188205461236355</v>
      </c>
    </row>
    <row r="1505" customFormat="false" ht="15" hidden="false" customHeight="false" outlineLevel="0" collapsed="false">
      <c r="A1505" s="6" t="s">
        <v>1667</v>
      </c>
      <c r="B1505" s="6" t="n">
        <v>46</v>
      </c>
      <c r="C1505" s="6" t="s">
        <v>159</v>
      </c>
      <c r="D1505" s="6" t="s">
        <v>140</v>
      </c>
      <c r="E1505" s="6" t="s">
        <v>92</v>
      </c>
      <c r="F1505" s="6" t="s">
        <v>136</v>
      </c>
      <c r="G1505" s="6" t="n">
        <v>20</v>
      </c>
      <c r="H1505" s="6" t="s">
        <v>80</v>
      </c>
      <c r="I1505" s="6" t="s">
        <v>82</v>
      </c>
      <c r="J1505" s="6" t="s">
        <v>60</v>
      </c>
      <c r="K1505" s="6" t="n">
        <v>89254</v>
      </c>
      <c r="L1505" s="6" t="n">
        <v>90076</v>
      </c>
      <c r="M1505" s="6" t="s">
        <v>142</v>
      </c>
      <c r="N1505" s="6" t="n">
        <v>36</v>
      </c>
      <c r="O1505" s="6" t="s">
        <v>60</v>
      </c>
      <c r="P1505" s="6" t="n">
        <v>5</v>
      </c>
      <c r="Q1505" s="6" t="n">
        <v>37.2</v>
      </c>
      <c r="R1505" s="20" t="n">
        <f aca="false">(L1505-K1505)/K1505</f>
        <v>0.00920967127523696</v>
      </c>
    </row>
    <row r="1506" customFormat="false" ht="15" hidden="false" customHeight="false" outlineLevel="0" collapsed="false">
      <c r="A1506" s="6" t="s">
        <v>1668</v>
      </c>
      <c r="B1506" s="6" t="n">
        <v>40</v>
      </c>
      <c r="C1506" s="6" t="s">
        <v>134</v>
      </c>
      <c r="D1506" s="6" t="s">
        <v>140</v>
      </c>
      <c r="E1506" s="6" t="s">
        <v>92</v>
      </c>
      <c r="F1506" s="6" t="s">
        <v>192</v>
      </c>
      <c r="G1506" s="6" t="n">
        <v>16</v>
      </c>
      <c r="H1506" s="6" t="s">
        <v>81</v>
      </c>
      <c r="I1506" s="6" t="s">
        <v>82</v>
      </c>
      <c r="J1506" s="6" t="s">
        <v>60</v>
      </c>
      <c r="K1506" s="6" t="n">
        <v>80100</v>
      </c>
      <c r="L1506" s="6" t="n">
        <v>84056</v>
      </c>
      <c r="M1506" s="6" t="s">
        <v>142</v>
      </c>
      <c r="N1506" s="6" t="n">
        <v>44</v>
      </c>
      <c r="O1506" s="6" t="s">
        <v>60</v>
      </c>
      <c r="P1506" s="6" t="n">
        <v>5</v>
      </c>
      <c r="Q1506" s="6" t="n">
        <v>13.25</v>
      </c>
      <c r="R1506" s="20" t="n">
        <f aca="false">(L1506-K1506)/K1506</f>
        <v>0.0493882646691635</v>
      </c>
    </row>
    <row r="1507" customFormat="false" ht="15" hidden="false" customHeight="false" outlineLevel="0" collapsed="false">
      <c r="A1507" s="6" t="s">
        <v>1669</v>
      </c>
      <c r="B1507" s="6" t="n">
        <v>59</v>
      </c>
      <c r="C1507" s="6" t="s">
        <v>139</v>
      </c>
      <c r="D1507" s="6" t="s">
        <v>148</v>
      </c>
      <c r="E1507" s="6" t="s">
        <v>88</v>
      </c>
      <c r="F1507" s="6" t="s">
        <v>157</v>
      </c>
      <c r="G1507" s="6" t="n">
        <v>33</v>
      </c>
      <c r="H1507" s="6" t="s">
        <v>81</v>
      </c>
      <c r="I1507" s="6" t="s">
        <v>80</v>
      </c>
      <c r="J1507" s="6" t="s">
        <v>58</v>
      </c>
      <c r="K1507" s="6" t="n">
        <v>102790</v>
      </c>
      <c r="L1507" s="6" t="n">
        <v>100288</v>
      </c>
      <c r="M1507" s="6" t="s">
        <v>142</v>
      </c>
      <c r="N1507" s="6" t="n">
        <v>44</v>
      </c>
      <c r="O1507" s="6" t="s">
        <v>58</v>
      </c>
      <c r="P1507" s="6" t="n">
        <v>9</v>
      </c>
      <c r="Q1507" s="6" t="n">
        <v>28.64</v>
      </c>
      <c r="R1507" s="20" t="n">
        <f aca="false">(L1507-K1507)/K1507</f>
        <v>-0.0243408891915556</v>
      </c>
    </row>
    <row r="1508" customFormat="false" ht="15" hidden="false" customHeight="false" outlineLevel="0" collapsed="false">
      <c r="A1508" s="6" t="s">
        <v>1670</v>
      </c>
      <c r="B1508" s="6" t="n">
        <v>25</v>
      </c>
      <c r="C1508" s="6" t="s">
        <v>139</v>
      </c>
      <c r="D1508" s="6" t="s">
        <v>144</v>
      </c>
      <c r="E1508" s="6" t="s">
        <v>92</v>
      </c>
      <c r="F1508" s="6" t="s">
        <v>222</v>
      </c>
      <c r="G1508" s="6" t="n">
        <v>2</v>
      </c>
      <c r="H1508" s="6" t="s">
        <v>82</v>
      </c>
      <c r="I1508" s="6" t="s">
        <v>81</v>
      </c>
      <c r="J1508" s="6" t="s">
        <v>58</v>
      </c>
      <c r="K1508" s="6" t="n">
        <v>117618</v>
      </c>
      <c r="L1508" s="6" t="n">
        <v>98333</v>
      </c>
      <c r="M1508" s="6" t="s">
        <v>146</v>
      </c>
      <c r="N1508" s="6" t="n">
        <v>44</v>
      </c>
      <c r="O1508" s="6" t="s">
        <v>60</v>
      </c>
      <c r="P1508" s="6" t="n">
        <v>5</v>
      </c>
      <c r="Q1508" s="6" t="n">
        <v>-0.47</v>
      </c>
      <c r="R1508" s="20" t="n">
        <f aca="false">(L1508-K1508)/K1508</f>
        <v>-0.163962998860719</v>
      </c>
    </row>
    <row r="1509" customFormat="false" ht="15" hidden="false" customHeight="false" outlineLevel="0" collapsed="false">
      <c r="A1509" s="6" t="s">
        <v>1671</v>
      </c>
      <c r="B1509" s="6" t="n">
        <v>49</v>
      </c>
      <c r="C1509" s="6" t="s">
        <v>159</v>
      </c>
      <c r="D1509" s="6" t="s">
        <v>144</v>
      </c>
      <c r="E1509" s="6" t="s">
        <v>88</v>
      </c>
      <c r="F1509" s="6" t="s">
        <v>234</v>
      </c>
      <c r="G1509" s="6" t="n">
        <v>27</v>
      </c>
      <c r="H1509" s="6" t="s">
        <v>81</v>
      </c>
      <c r="I1509" s="6" t="s">
        <v>80</v>
      </c>
      <c r="J1509" s="6" t="s">
        <v>60</v>
      </c>
      <c r="K1509" s="6" t="n">
        <v>45003</v>
      </c>
      <c r="L1509" s="6" t="n">
        <v>45887</v>
      </c>
      <c r="M1509" s="6" t="s">
        <v>142</v>
      </c>
      <c r="N1509" s="6" t="n">
        <v>47</v>
      </c>
      <c r="O1509" s="6" t="s">
        <v>58</v>
      </c>
      <c r="P1509" s="6" t="n">
        <v>7</v>
      </c>
      <c r="Q1509" s="6" t="n">
        <v>34.26</v>
      </c>
      <c r="R1509" s="20" t="n">
        <f aca="false">(L1509-K1509)/K1509</f>
        <v>0.0196431349021176</v>
      </c>
    </row>
    <row r="1510" customFormat="false" ht="15" hidden="false" customHeight="false" outlineLevel="0" collapsed="false">
      <c r="A1510" s="6" t="s">
        <v>1672</v>
      </c>
      <c r="B1510" s="6" t="n">
        <v>32</v>
      </c>
      <c r="C1510" s="6" t="s">
        <v>139</v>
      </c>
      <c r="D1510" s="6" t="s">
        <v>135</v>
      </c>
      <c r="E1510" s="6" t="s">
        <v>87</v>
      </c>
      <c r="F1510" s="6" t="s">
        <v>155</v>
      </c>
      <c r="G1510" s="6" t="n">
        <v>10</v>
      </c>
      <c r="H1510" s="6" t="s">
        <v>80</v>
      </c>
      <c r="I1510" s="6" t="s">
        <v>81</v>
      </c>
      <c r="J1510" s="6" t="s">
        <v>60</v>
      </c>
      <c r="K1510" s="6" t="n">
        <v>63717</v>
      </c>
      <c r="L1510" s="6" t="n">
        <v>67093</v>
      </c>
      <c r="M1510" s="6" t="s">
        <v>146</v>
      </c>
      <c r="N1510" s="6" t="n">
        <v>39</v>
      </c>
      <c r="O1510" s="6" t="s">
        <v>58</v>
      </c>
      <c r="P1510" s="6" t="n">
        <v>9</v>
      </c>
      <c r="Q1510" s="6" t="n">
        <v>5</v>
      </c>
      <c r="R1510" s="20" t="n">
        <f aca="false">(L1510-K1510)/K1510</f>
        <v>0.0529842899069322</v>
      </c>
    </row>
    <row r="1511" customFormat="false" ht="15" hidden="false" customHeight="false" outlineLevel="0" collapsed="false">
      <c r="A1511" s="6" t="s">
        <v>1673</v>
      </c>
      <c r="B1511" s="6" t="n">
        <v>55</v>
      </c>
      <c r="C1511" s="6" t="s">
        <v>134</v>
      </c>
      <c r="D1511" s="6" t="s">
        <v>144</v>
      </c>
      <c r="E1511" s="6" t="s">
        <v>92</v>
      </c>
      <c r="F1511" s="6" t="s">
        <v>136</v>
      </c>
      <c r="G1511" s="6" t="n">
        <v>33</v>
      </c>
      <c r="H1511" s="6" t="s">
        <v>82</v>
      </c>
      <c r="I1511" s="6" t="s">
        <v>80</v>
      </c>
      <c r="J1511" s="6" t="s">
        <v>60</v>
      </c>
      <c r="K1511" s="6" t="n">
        <v>74331</v>
      </c>
      <c r="L1511" s="6" t="n">
        <v>60556</v>
      </c>
      <c r="M1511" s="6" t="s">
        <v>142</v>
      </c>
      <c r="N1511" s="6" t="n">
        <v>36</v>
      </c>
      <c r="O1511" s="6" t="s">
        <v>60</v>
      </c>
      <c r="P1511" s="6" t="n">
        <v>5</v>
      </c>
      <c r="Q1511" s="6" t="n">
        <v>27.44</v>
      </c>
      <c r="R1511" s="20" t="n">
        <f aca="false">(L1511-K1511)/K1511</f>
        <v>-0.185319718556188</v>
      </c>
    </row>
    <row r="1512" customFormat="false" ht="15" hidden="false" customHeight="false" outlineLevel="0" collapsed="false">
      <c r="A1512" s="6" t="s">
        <v>1674</v>
      </c>
      <c r="B1512" s="6" t="n">
        <v>49</v>
      </c>
      <c r="C1512" s="6" t="s">
        <v>134</v>
      </c>
      <c r="D1512" s="6" t="s">
        <v>135</v>
      </c>
      <c r="E1512" s="6" t="s">
        <v>93</v>
      </c>
      <c r="F1512" s="6" t="s">
        <v>181</v>
      </c>
      <c r="G1512" s="6" t="n">
        <v>26</v>
      </c>
      <c r="H1512" s="6" t="s">
        <v>80</v>
      </c>
      <c r="I1512" s="6" t="s">
        <v>80</v>
      </c>
      <c r="J1512" s="6" t="s">
        <v>58</v>
      </c>
      <c r="K1512" s="6" t="n">
        <v>45701</v>
      </c>
      <c r="L1512" s="6" t="n">
        <v>47568</v>
      </c>
      <c r="M1512" s="6" t="s">
        <v>142</v>
      </c>
      <c r="N1512" s="6" t="n">
        <v>46</v>
      </c>
      <c r="O1512" s="6" t="s">
        <v>58</v>
      </c>
      <c r="P1512" s="6" t="n">
        <v>6</v>
      </c>
      <c r="Q1512" s="6" t="n">
        <v>37.77</v>
      </c>
      <c r="R1512" s="20" t="n">
        <f aca="false">(L1512-K1512)/K1512</f>
        <v>0.0408524977571607</v>
      </c>
    </row>
    <row r="1513" customFormat="false" ht="15" hidden="false" customHeight="false" outlineLevel="0" collapsed="false">
      <c r="A1513" s="6" t="s">
        <v>1675</v>
      </c>
      <c r="B1513" s="6" t="n">
        <v>33</v>
      </c>
      <c r="C1513" s="6" t="s">
        <v>159</v>
      </c>
      <c r="D1513" s="6" t="s">
        <v>140</v>
      </c>
      <c r="E1513" s="6" t="s">
        <v>93</v>
      </c>
      <c r="F1513" s="6" t="s">
        <v>181</v>
      </c>
      <c r="G1513" s="6" t="n">
        <v>9</v>
      </c>
      <c r="H1513" s="6" t="s">
        <v>82</v>
      </c>
      <c r="I1513" s="6" t="s">
        <v>81</v>
      </c>
      <c r="J1513" s="6" t="s">
        <v>58</v>
      </c>
      <c r="K1513" s="6" t="n">
        <v>88715</v>
      </c>
      <c r="L1513" s="6" t="n">
        <v>89594</v>
      </c>
      <c r="M1513" s="6" t="s">
        <v>146</v>
      </c>
      <c r="N1513" s="6" t="n">
        <v>40</v>
      </c>
      <c r="O1513" s="6" t="s">
        <v>60</v>
      </c>
      <c r="P1513" s="6" t="n">
        <v>3</v>
      </c>
      <c r="Q1513" s="6" t="n">
        <v>17.65</v>
      </c>
      <c r="R1513" s="20" t="n">
        <f aca="false">(L1513-K1513)/K1513</f>
        <v>0.00990813278476019</v>
      </c>
    </row>
    <row r="1514" customFormat="false" ht="15" hidden="false" customHeight="false" outlineLevel="0" collapsed="false">
      <c r="A1514" s="6" t="s">
        <v>1676</v>
      </c>
      <c r="B1514" s="6" t="n">
        <v>54</v>
      </c>
      <c r="C1514" s="6" t="s">
        <v>159</v>
      </c>
      <c r="D1514" s="6" t="s">
        <v>140</v>
      </c>
      <c r="E1514" s="6" t="s">
        <v>88</v>
      </c>
      <c r="F1514" s="6" t="s">
        <v>157</v>
      </c>
      <c r="G1514" s="6" t="n">
        <v>29</v>
      </c>
      <c r="H1514" s="6" t="s">
        <v>82</v>
      </c>
      <c r="I1514" s="6" t="s">
        <v>80</v>
      </c>
      <c r="J1514" s="6" t="s">
        <v>60</v>
      </c>
      <c r="K1514" s="6" t="n">
        <v>31626</v>
      </c>
      <c r="L1514" s="6" t="n">
        <v>41687</v>
      </c>
      <c r="M1514" s="6" t="s">
        <v>142</v>
      </c>
      <c r="N1514" s="6" t="n">
        <v>45</v>
      </c>
      <c r="O1514" s="6" t="s">
        <v>60</v>
      </c>
      <c r="P1514" s="6" t="n">
        <v>7</v>
      </c>
      <c r="Q1514" s="6" t="n">
        <v>20.44</v>
      </c>
      <c r="R1514" s="20" t="n">
        <f aca="false">(L1514-K1514)/K1514</f>
        <v>0.318124328084487</v>
      </c>
    </row>
    <row r="1515" customFormat="false" ht="15" hidden="false" customHeight="false" outlineLevel="0" collapsed="false">
      <c r="A1515" s="6" t="s">
        <v>1677</v>
      </c>
      <c r="B1515" s="6" t="n">
        <v>55</v>
      </c>
      <c r="C1515" s="6" t="s">
        <v>134</v>
      </c>
      <c r="D1515" s="6" t="s">
        <v>135</v>
      </c>
      <c r="E1515" s="6" t="s">
        <v>87</v>
      </c>
      <c r="F1515" s="6" t="s">
        <v>149</v>
      </c>
      <c r="G1515" s="6" t="n">
        <v>30</v>
      </c>
      <c r="H1515" s="6" t="s">
        <v>81</v>
      </c>
      <c r="I1515" s="6" t="s">
        <v>80</v>
      </c>
      <c r="J1515" s="6" t="s">
        <v>60</v>
      </c>
      <c r="K1515" s="6" t="n">
        <v>64875</v>
      </c>
      <c r="L1515" s="6" t="n">
        <v>72346</v>
      </c>
      <c r="M1515" s="6" t="s">
        <v>142</v>
      </c>
      <c r="N1515" s="6" t="n">
        <v>37</v>
      </c>
      <c r="O1515" s="6" t="s">
        <v>58</v>
      </c>
      <c r="P1515" s="6" t="n">
        <v>4</v>
      </c>
      <c r="Q1515" s="6" t="n">
        <v>29.98</v>
      </c>
      <c r="R1515" s="20" t="n">
        <f aca="false">(L1515-K1515)/K1515</f>
        <v>0.115159922928709</v>
      </c>
    </row>
    <row r="1516" customFormat="false" ht="15" hidden="false" customHeight="false" outlineLevel="0" collapsed="false">
      <c r="A1516" s="6" t="s">
        <v>1678</v>
      </c>
      <c r="B1516" s="6" t="n">
        <v>40</v>
      </c>
      <c r="C1516" s="6" t="s">
        <v>134</v>
      </c>
      <c r="D1516" s="6" t="s">
        <v>144</v>
      </c>
      <c r="E1516" s="6" t="s">
        <v>93</v>
      </c>
      <c r="F1516" s="6" t="s">
        <v>181</v>
      </c>
      <c r="G1516" s="6" t="n">
        <v>18</v>
      </c>
      <c r="H1516" s="6" t="s">
        <v>80</v>
      </c>
      <c r="I1516" s="6" t="s">
        <v>80</v>
      </c>
      <c r="J1516" s="6" t="s">
        <v>58</v>
      </c>
      <c r="K1516" s="6" t="n">
        <v>46427</v>
      </c>
      <c r="L1516" s="6" t="n">
        <v>48921</v>
      </c>
      <c r="M1516" s="6" t="s">
        <v>142</v>
      </c>
      <c r="N1516" s="6" t="n">
        <v>38</v>
      </c>
      <c r="O1516" s="6" t="s">
        <v>60</v>
      </c>
      <c r="P1516" s="6" t="n">
        <v>3</v>
      </c>
      <c r="Q1516" s="6" t="n">
        <v>33</v>
      </c>
      <c r="R1516" s="20" t="n">
        <f aca="false">(L1516-K1516)/K1516</f>
        <v>0.0537187412497038</v>
      </c>
    </row>
    <row r="1517" customFormat="false" ht="15" hidden="false" customHeight="false" outlineLevel="0" collapsed="false">
      <c r="A1517" s="6" t="s">
        <v>1679</v>
      </c>
      <c r="B1517" s="6" t="n">
        <v>45</v>
      </c>
      <c r="C1517" s="6" t="s">
        <v>139</v>
      </c>
      <c r="D1517" s="6" t="s">
        <v>148</v>
      </c>
      <c r="E1517" s="6" t="s">
        <v>91</v>
      </c>
      <c r="F1517" s="6" t="s">
        <v>208</v>
      </c>
      <c r="G1517" s="6" t="n">
        <v>19</v>
      </c>
      <c r="H1517" s="6" t="s">
        <v>82</v>
      </c>
      <c r="I1517" s="6" t="s">
        <v>80</v>
      </c>
      <c r="J1517" s="6" t="s">
        <v>58</v>
      </c>
      <c r="K1517" s="6" t="n">
        <v>90289</v>
      </c>
      <c r="L1517" s="6" t="n">
        <v>84152</v>
      </c>
      <c r="M1517" s="6" t="s">
        <v>142</v>
      </c>
      <c r="N1517" s="6" t="n">
        <v>46</v>
      </c>
      <c r="O1517" s="6" t="s">
        <v>60</v>
      </c>
      <c r="P1517" s="6" t="n">
        <v>6</v>
      </c>
      <c r="Q1517" s="6" t="n">
        <v>3.31</v>
      </c>
      <c r="R1517" s="20" t="n">
        <f aca="false">(L1517-K1517)/K1517</f>
        <v>-0.0679706276512089</v>
      </c>
    </row>
    <row r="1518" customFormat="false" ht="15" hidden="false" customHeight="false" outlineLevel="0" collapsed="false">
      <c r="A1518" s="6" t="s">
        <v>1680</v>
      </c>
      <c r="B1518" s="6" t="n">
        <v>33</v>
      </c>
      <c r="C1518" s="6" t="s">
        <v>159</v>
      </c>
      <c r="D1518" s="6" t="s">
        <v>140</v>
      </c>
      <c r="E1518" s="6" t="s">
        <v>88</v>
      </c>
      <c r="F1518" s="6" t="s">
        <v>234</v>
      </c>
      <c r="G1518" s="6" t="n">
        <v>9</v>
      </c>
      <c r="H1518" s="6" t="s">
        <v>80</v>
      </c>
      <c r="I1518" s="6" t="s">
        <v>80</v>
      </c>
      <c r="J1518" s="6" t="s">
        <v>58</v>
      </c>
      <c r="K1518" s="6" t="n">
        <v>40360</v>
      </c>
      <c r="L1518" s="6" t="n">
        <v>42372</v>
      </c>
      <c r="M1518" s="6" t="s">
        <v>142</v>
      </c>
      <c r="N1518" s="6" t="n">
        <v>45</v>
      </c>
      <c r="O1518" s="6" t="s">
        <v>60</v>
      </c>
      <c r="P1518" s="6" t="n">
        <v>7</v>
      </c>
      <c r="Q1518" s="6" t="n">
        <v>-7.18</v>
      </c>
      <c r="R1518" s="20" t="n">
        <f aca="false">(L1518-K1518)/K1518</f>
        <v>0.0498513379583746</v>
      </c>
    </row>
    <row r="1519" customFormat="false" ht="15" hidden="false" customHeight="false" outlineLevel="0" collapsed="false">
      <c r="A1519" s="6" t="s">
        <v>1681</v>
      </c>
      <c r="B1519" s="6" t="n">
        <v>48</v>
      </c>
      <c r="C1519" s="6" t="s">
        <v>134</v>
      </c>
      <c r="D1519" s="6" t="s">
        <v>135</v>
      </c>
      <c r="E1519" s="6" t="s">
        <v>89</v>
      </c>
      <c r="F1519" s="6" t="s">
        <v>153</v>
      </c>
      <c r="G1519" s="6" t="n">
        <v>25</v>
      </c>
      <c r="H1519" s="6" t="s">
        <v>80</v>
      </c>
      <c r="I1519" s="6" t="s">
        <v>81</v>
      </c>
      <c r="J1519" s="6" t="s">
        <v>58</v>
      </c>
      <c r="K1519" s="6" t="n">
        <v>50927</v>
      </c>
      <c r="L1519" s="6" t="n">
        <v>55847</v>
      </c>
      <c r="M1519" s="6" t="s">
        <v>146</v>
      </c>
      <c r="N1519" s="6" t="n">
        <v>48</v>
      </c>
      <c r="O1519" s="6" t="s">
        <v>60</v>
      </c>
      <c r="P1519" s="6" t="n">
        <v>6</v>
      </c>
      <c r="Q1519" s="6" t="n">
        <v>-3.1</v>
      </c>
      <c r="R1519" s="20" t="n">
        <f aca="false">(L1519-K1519)/K1519</f>
        <v>0.0966088715219824</v>
      </c>
    </row>
    <row r="1520" customFormat="false" ht="15" hidden="false" customHeight="false" outlineLevel="0" collapsed="false">
      <c r="A1520" s="6" t="s">
        <v>1682</v>
      </c>
      <c r="B1520" s="6" t="n">
        <v>23</v>
      </c>
      <c r="C1520" s="6" t="s">
        <v>134</v>
      </c>
      <c r="D1520" s="6" t="s">
        <v>135</v>
      </c>
      <c r="E1520" s="6" t="s">
        <v>90</v>
      </c>
      <c r="F1520" s="6" t="s">
        <v>145</v>
      </c>
      <c r="G1520" s="6" t="n">
        <v>1</v>
      </c>
      <c r="H1520" s="6" t="s">
        <v>81</v>
      </c>
      <c r="I1520" s="6" t="s">
        <v>80</v>
      </c>
      <c r="J1520" s="6" t="s">
        <v>60</v>
      </c>
      <c r="K1520" s="6" t="n">
        <v>83767</v>
      </c>
      <c r="L1520" s="6" t="n">
        <v>86098</v>
      </c>
      <c r="M1520" s="6" t="s">
        <v>142</v>
      </c>
      <c r="N1520" s="6" t="n">
        <v>37</v>
      </c>
      <c r="O1520" s="6" t="s">
        <v>60</v>
      </c>
      <c r="P1520" s="6" t="n">
        <v>9</v>
      </c>
      <c r="Q1520" s="6" t="n">
        <v>-2.75</v>
      </c>
      <c r="R1520" s="20" t="n">
        <f aca="false">(L1520-K1520)/K1520</f>
        <v>0.0278271873172013</v>
      </c>
    </row>
    <row r="1521" customFormat="false" ht="15" hidden="false" customHeight="false" outlineLevel="0" collapsed="false">
      <c r="A1521" s="6" t="s">
        <v>1683</v>
      </c>
      <c r="B1521" s="6" t="n">
        <v>36</v>
      </c>
      <c r="C1521" s="6" t="s">
        <v>159</v>
      </c>
      <c r="D1521" s="6" t="s">
        <v>148</v>
      </c>
      <c r="E1521" s="6" t="s">
        <v>91</v>
      </c>
      <c r="F1521" s="6" t="s">
        <v>206</v>
      </c>
      <c r="G1521" s="6" t="n">
        <v>13</v>
      </c>
      <c r="H1521" s="6" t="s">
        <v>81</v>
      </c>
      <c r="I1521" s="6" t="s">
        <v>81</v>
      </c>
      <c r="J1521" s="6" t="s">
        <v>58</v>
      </c>
      <c r="K1521" s="6" t="n">
        <v>45932</v>
      </c>
      <c r="L1521" s="6" t="n">
        <v>48456</v>
      </c>
      <c r="M1521" s="6" t="s">
        <v>146</v>
      </c>
      <c r="N1521" s="6" t="n">
        <v>54</v>
      </c>
      <c r="O1521" s="6" t="s">
        <v>60</v>
      </c>
      <c r="P1521" s="6" t="n">
        <v>6</v>
      </c>
      <c r="Q1521" s="6" t="n">
        <v>10.28</v>
      </c>
      <c r="R1521" s="20" t="n">
        <f aca="false">(L1521-K1521)/K1521</f>
        <v>0.0549507968300967</v>
      </c>
    </row>
    <row r="1522" customFormat="false" ht="15" hidden="false" customHeight="false" outlineLevel="0" collapsed="false">
      <c r="A1522" s="6" t="s">
        <v>1684</v>
      </c>
      <c r="B1522" s="6" t="n">
        <v>24</v>
      </c>
      <c r="C1522" s="6" t="s">
        <v>139</v>
      </c>
      <c r="D1522" s="6" t="s">
        <v>135</v>
      </c>
      <c r="E1522" s="6" t="s">
        <v>88</v>
      </c>
      <c r="F1522" s="6" t="s">
        <v>157</v>
      </c>
      <c r="G1522" s="6" t="n">
        <v>0</v>
      </c>
      <c r="H1522" s="6" t="s">
        <v>82</v>
      </c>
      <c r="I1522" s="6" t="s">
        <v>82</v>
      </c>
      <c r="J1522" s="6" t="s">
        <v>60</v>
      </c>
      <c r="K1522" s="6" t="n">
        <v>59250</v>
      </c>
      <c r="L1522" s="6" t="n">
        <v>80517</v>
      </c>
      <c r="M1522" s="6" t="s">
        <v>146</v>
      </c>
      <c r="N1522" s="6" t="n">
        <v>46</v>
      </c>
      <c r="O1522" s="6" t="s">
        <v>60</v>
      </c>
      <c r="P1522" s="6" t="n">
        <v>7</v>
      </c>
      <c r="Q1522" s="6" t="n">
        <v>22.47</v>
      </c>
      <c r="R1522" s="20" t="n">
        <f aca="false">(L1522-K1522)/K1522</f>
        <v>0.35893670886076</v>
      </c>
    </row>
    <row r="1523" customFormat="false" ht="15" hidden="false" customHeight="false" outlineLevel="0" collapsed="false">
      <c r="A1523" s="6" t="s">
        <v>1685</v>
      </c>
      <c r="B1523" s="6" t="n">
        <v>38</v>
      </c>
      <c r="C1523" s="6" t="s">
        <v>139</v>
      </c>
      <c r="D1523" s="6" t="s">
        <v>148</v>
      </c>
      <c r="E1523" s="6" t="s">
        <v>93</v>
      </c>
      <c r="F1523" s="6" t="s">
        <v>197</v>
      </c>
      <c r="G1523" s="6" t="n">
        <v>13</v>
      </c>
      <c r="H1523" s="6" t="s">
        <v>82</v>
      </c>
      <c r="I1523" s="6" t="s">
        <v>81</v>
      </c>
      <c r="J1523" s="6" t="s">
        <v>58</v>
      </c>
      <c r="K1523" s="6" t="n">
        <v>75530</v>
      </c>
      <c r="L1523" s="6" t="n">
        <v>76795</v>
      </c>
      <c r="M1523" s="6" t="s">
        <v>146</v>
      </c>
      <c r="N1523" s="6" t="n">
        <v>40</v>
      </c>
      <c r="O1523" s="6" t="s">
        <v>58</v>
      </c>
      <c r="P1523" s="6" t="n">
        <v>9</v>
      </c>
      <c r="Q1523" s="6" t="n">
        <v>-7.2</v>
      </c>
      <c r="R1523" s="20" t="n">
        <f aca="false">(L1523-K1523)/K1523</f>
        <v>0.0167483119290348</v>
      </c>
    </row>
    <row r="1524" customFormat="false" ht="15" hidden="false" customHeight="false" outlineLevel="0" collapsed="false">
      <c r="A1524" s="6" t="s">
        <v>1686</v>
      </c>
      <c r="B1524" s="6" t="n">
        <v>46</v>
      </c>
      <c r="C1524" s="6" t="s">
        <v>139</v>
      </c>
      <c r="D1524" s="6" t="s">
        <v>144</v>
      </c>
      <c r="E1524" s="6" t="s">
        <v>92</v>
      </c>
      <c r="F1524" s="6" t="s">
        <v>192</v>
      </c>
      <c r="G1524" s="6" t="n">
        <v>20</v>
      </c>
      <c r="H1524" s="6" t="s">
        <v>81</v>
      </c>
      <c r="I1524" s="6" t="s">
        <v>81</v>
      </c>
      <c r="J1524" s="6" t="s">
        <v>58</v>
      </c>
      <c r="K1524" s="6" t="n">
        <v>81357</v>
      </c>
      <c r="L1524" s="6" t="n">
        <v>85990</v>
      </c>
      <c r="M1524" s="6" t="s">
        <v>146</v>
      </c>
      <c r="N1524" s="6" t="n">
        <v>45</v>
      </c>
      <c r="O1524" s="6" t="s">
        <v>60</v>
      </c>
      <c r="P1524" s="6" t="n">
        <v>8</v>
      </c>
      <c r="Q1524" s="6" t="n">
        <v>33.92</v>
      </c>
      <c r="R1524" s="20" t="n">
        <f aca="false">(L1524-K1524)/K1524</f>
        <v>0.0569465442432735</v>
      </c>
    </row>
    <row r="1525" customFormat="false" ht="15" hidden="false" customHeight="false" outlineLevel="0" collapsed="false">
      <c r="A1525" s="6" t="s">
        <v>1687</v>
      </c>
      <c r="B1525" s="6" t="n">
        <v>42</v>
      </c>
      <c r="C1525" s="6" t="s">
        <v>134</v>
      </c>
      <c r="D1525" s="6" t="s">
        <v>135</v>
      </c>
      <c r="E1525" s="6" t="s">
        <v>89</v>
      </c>
      <c r="F1525" s="6" t="s">
        <v>162</v>
      </c>
      <c r="G1525" s="6" t="n">
        <v>20</v>
      </c>
      <c r="H1525" s="6" t="s">
        <v>81</v>
      </c>
      <c r="I1525" s="6" t="s">
        <v>82</v>
      </c>
      <c r="J1525" s="6" t="s">
        <v>58</v>
      </c>
      <c r="K1525" s="6" t="n">
        <v>92028</v>
      </c>
      <c r="L1525" s="6" t="n">
        <v>90031</v>
      </c>
      <c r="M1525" s="6" t="s">
        <v>142</v>
      </c>
      <c r="N1525" s="6" t="n">
        <v>49</v>
      </c>
      <c r="O1525" s="6" t="s">
        <v>60</v>
      </c>
      <c r="P1525" s="6" t="n">
        <v>7</v>
      </c>
      <c r="Q1525" s="6" t="n">
        <v>12.28</v>
      </c>
      <c r="R1525" s="20" t="n">
        <f aca="false">(L1525-K1525)/K1525</f>
        <v>-0.0216999174164385</v>
      </c>
    </row>
    <row r="1526" customFormat="false" ht="15" hidden="false" customHeight="false" outlineLevel="0" collapsed="false">
      <c r="A1526" s="6" t="s">
        <v>1688</v>
      </c>
      <c r="B1526" s="6" t="n">
        <v>52</v>
      </c>
      <c r="C1526" s="6" t="s">
        <v>134</v>
      </c>
      <c r="D1526" s="6" t="s">
        <v>135</v>
      </c>
      <c r="E1526" s="6" t="s">
        <v>91</v>
      </c>
      <c r="F1526" s="6" t="s">
        <v>208</v>
      </c>
      <c r="G1526" s="6" t="n">
        <v>28</v>
      </c>
      <c r="H1526" s="6" t="s">
        <v>82</v>
      </c>
      <c r="I1526" s="6" t="s">
        <v>81</v>
      </c>
      <c r="J1526" s="6" t="s">
        <v>60</v>
      </c>
      <c r="K1526" s="6" t="n">
        <v>45701</v>
      </c>
      <c r="L1526" s="6" t="n">
        <v>47841</v>
      </c>
      <c r="M1526" s="6" t="s">
        <v>146</v>
      </c>
      <c r="N1526" s="6" t="n">
        <v>50</v>
      </c>
      <c r="O1526" s="6" t="s">
        <v>60</v>
      </c>
      <c r="P1526" s="6" t="n">
        <v>4</v>
      </c>
      <c r="Q1526" s="6" t="n">
        <v>36.86</v>
      </c>
      <c r="R1526" s="20" t="n">
        <f aca="false">(L1526-K1526)/K1526</f>
        <v>0.046826108837881</v>
      </c>
    </row>
    <row r="1527" customFormat="false" ht="15" hidden="false" customHeight="false" outlineLevel="0" collapsed="false">
      <c r="A1527" s="6" t="s">
        <v>1689</v>
      </c>
      <c r="B1527" s="6" t="n">
        <v>26</v>
      </c>
      <c r="C1527" s="6" t="s">
        <v>159</v>
      </c>
      <c r="D1527" s="6" t="s">
        <v>148</v>
      </c>
      <c r="E1527" s="6" t="s">
        <v>90</v>
      </c>
      <c r="F1527" s="6" t="s">
        <v>202</v>
      </c>
      <c r="G1527" s="6" t="n">
        <v>4</v>
      </c>
      <c r="H1527" s="6" t="s">
        <v>80</v>
      </c>
      <c r="I1527" s="6" t="s">
        <v>80</v>
      </c>
      <c r="J1527" s="6" t="s">
        <v>58</v>
      </c>
      <c r="K1527" s="6" t="n">
        <v>45021</v>
      </c>
      <c r="L1527" s="6" t="n">
        <v>47989</v>
      </c>
      <c r="M1527" s="6" t="s">
        <v>142</v>
      </c>
      <c r="N1527" s="6" t="n">
        <v>44</v>
      </c>
      <c r="O1527" s="6" t="s">
        <v>60</v>
      </c>
      <c r="P1527" s="6" t="n">
        <v>8</v>
      </c>
      <c r="Q1527" s="6" t="n">
        <v>0.34</v>
      </c>
      <c r="R1527" s="20" t="n">
        <f aca="false">(L1527-K1527)/K1527</f>
        <v>0.0659247906532507</v>
      </c>
    </row>
    <row r="1528" customFormat="false" ht="15" hidden="false" customHeight="false" outlineLevel="0" collapsed="false">
      <c r="A1528" s="6" t="s">
        <v>1690</v>
      </c>
      <c r="B1528" s="6" t="n">
        <v>47</v>
      </c>
      <c r="C1528" s="6" t="s">
        <v>134</v>
      </c>
      <c r="D1528" s="6" t="s">
        <v>135</v>
      </c>
      <c r="E1528" s="6" t="s">
        <v>89</v>
      </c>
      <c r="F1528" s="6" t="s">
        <v>162</v>
      </c>
      <c r="G1528" s="6" t="n">
        <v>21</v>
      </c>
      <c r="H1528" s="6" t="s">
        <v>80</v>
      </c>
      <c r="I1528" s="6" t="s">
        <v>80</v>
      </c>
      <c r="J1528" s="6" t="s">
        <v>60</v>
      </c>
      <c r="K1528" s="6" t="n">
        <v>79004</v>
      </c>
      <c r="L1528" s="6" t="n">
        <v>80218</v>
      </c>
      <c r="M1528" s="6" t="s">
        <v>142</v>
      </c>
      <c r="N1528" s="6" t="n">
        <v>44</v>
      </c>
      <c r="O1528" s="6" t="s">
        <v>58</v>
      </c>
      <c r="P1528" s="6" t="n">
        <v>5</v>
      </c>
      <c r="Q1528" s="6" t="n">
        <v>7.14</v>
      </c>
      <c r="R1528" s="20" t="n">
        <f aca="false">(L1528-K1528)/K1528</f>
        <v>0.0153663105665536</v>
      </c>
    </row>
    <row r="1529" customFormat="false" ht="15" hidden="false" customHeight="false" outlineLevel="0" collapsed="false">
      <c r="A1529" s="6" t="s">
        <v>1691</v>
      </c>
      <c r="B1529" s="6" t="n">
        <v>52</v>
      </c>
      <c r="C1529" s="6" t="s">
        <v>134</v>
      </c>
      <c r="D1529" s="6" t="s">
        <v>148</v>
      </c>
      <c r="E1529" s="6" t="s">
        <v>87</v>
      </c>
      <c r="F1529" s="6" t="s">
        <v>155</v>
      </c>
      <c r="G1529" s="6" t="n">
        <v>26</v>
      </c>
      <c r="H1529" s="6" t="s">
        <v>80</v>
      </c>
      <c r="I1529" s="6" t="s">
        <v>82</v>
      </c>
      <c r="J1529" s="6" t="s">
        <v>58</v>
      </c>
      <c r="K1529" s="6" t="n">
        <v>33810</v>
      </c>
      <c r="L1529" s="6" t="n">
        <v>35508</v>
      </c>
      <c r="M1529" s="6" t="s">
        <v>142</v>
      </c>
      <c r="N1529" s="6" t="n">
        <v>51</v>
      </c>
      <c r="O1529" s="6" t="s">
        <v>58</v>
      </c>
      <c r="P1529" s="6" t="n">
        <v>8</v>
      </c>
      <c r="Q1529" s="6" t="n">
        <v>33.75</v>
      </c>
      <c r="R1529" s="20" t="n">
        <f aca="false">(L1529-K1529)/K1529</f>
        <v>0.0502218278615794</v>
      </c>
    </row>
    <row r="1530" customFormat="false" ht="15" hidden="false" customHeight="false" outlineLevel="0" collapsed="false">
      <c r="A1530" s="6" t="s">
        <v>1692</v>
      </c>
      <c r="B1530" s="6" t="n">
        <v>53</v>
      </c>
      <c r="C1530" s="6" t="s">
        <v>139</v>
      </c>
      <c r="D1530" s="6" t="s">
        <v>135</v>
      </c>
      <c r="E1530" s="6" t="s">
        <v>89</v>
      </c>
      <c r="F1530" s="6" t="s">
        <v>151</v>
      </c>
      <c r="G1530" s="6" t="n">
        <v>28</v>
      </c>
      <c r="H1530" s="6" t="s">
        <v>82</v>
      </c>
      <c r="I1530" s="6" t="s">
        <v>80</v>
      </c>
      <c r="J1530" s="6" t="s">
        <v>58</v>
      </c>
      <c r="K1530" s="6" t="n">
        <v>36163</v>
      </c>
      <c r="L1530" s="6" t="n">
        <v>37686</v>
      </c>
      <c r="M1530" s="6" t="s">
        <v>142</v>
      </c>
      <c r="N1530" s="6" t="n">
        <v>49</v>
      </c>
      <c r="O1530" s="6" t="s">
        <v>60</v>
      </c>
      <c r="P1530" s="6" t="n">
        <v>4</v>
      </c>
      <c r="Q1530" s="6" t="n">
        <v>-11.78</v>
      </c>
      <c r="R1530" s="20" t="n">
        <f aca="false">(L1530-K1530)/K1530</f>
        <v>0.0421148687885408</v>
      </c>
    </row>
    <row r="1531" customFormat="false" ht="15" hidden="false" customHeight="false" outlineLevel="0" collapsed="false">
      <c r="A1531" s="6" t="s">
        <v>1693</v>
      </c>
      <c r="B1531" s="6" t="n">
        <v>22</v>
      </c>
      <c r="C1531" s="6" t="s">
        <v>134</v>
      </c>
      <c r="D1531" s="6" t="s">
        <v>135</v>
      </c>
      <c r="E1531" s="6" t="s">
        <v>90</v>
      </c>
      <c r="F1531" s="6" t="s">
        <v>145</v>
      </c>
      <c r="G1531" s="6" t="n">
        <v>0</v>
      </c>
      <c r="H1531" s="6" t="s">
        <v>81</v>
      </c>
      <c r="I1531" s="6" t="s">
        <v>82</v>
      </c>
      <c r="J1531" s="6" t="s">
        <v>58</v>
      </c>
      <c r="K1531" s="6" t="n">
        <v>78348</v>
      </c>
      <c r="L1531" s="6" t="n">
        <v>88461</v>
      </c>
      <c r="M1531" s="6" t="s">
        <v>142</v>
      </c>
      <c r="N1531" s="6" t="n">
        <v>46</v>
      </c>
      <c r="O1531" s="6" t="s">
        <v>60</v>
      </c>
      <c r="P1531" s="6" t="n">
        <v>9</v>
      </c>
      <c r="Q1531" s="6" t="n">
        <v>-4.5</v>
      </c>
      <c r="R1531" s="20" t="n">
        <f aca="false">(L1531-K1531)/K1531</f>
        <v>0.129077959871343</v>
      </c>
    </row>
    <row r="1532" customFormat="false" ht="15" hidden="false" customHeight="false" outlineLevel="0" collapsed="false">
      <c r="A1532" s="6" t="s">
        <v>1694</v>
      </c>
      <c r="B1532" s="6" t="n">
        <v>29</v>
      </c>
      <c r="C1532" s="6" t="s">
        <v>134</v>
      </c>
      <c r="D1532" s="6" t="s">
        <v>148</v>
      </c>
      <c r="E1532" s="6" t="s">
        <v>87</v>
      </c>
      <c r="F1532" s="6" t="s">
        <v>149</v>
      </c>
      <c r="G1532" s="6" t="n">
        <v>4</v>
      </c>
      <c r="H1532" s="6" t="s">
        <v>80</v>
      </c>
      <c r="I1532" s="6" t="s">
        <v>80</v>
      </c>
      <c r="J1532" s="6" t="s">
        <v>60</v>
      </c>
      <c r="K1532" s="6" t="n">
        <v>89405</v>
      </c>
      <c r="L1532" s="6" t="n">
        <v>95232</v>
      </c>
      <c r="M1532" s="6" t="s">
        <v>142</v>
      </c>
      <c r="N1532" s="6" t="n">
        <v>50</v>
      </c>
      <c r="O1532" s="6" t="s">
        <v>60</v>
      </c>
      <c r="P1532" s="6" t="n">
        <v>7</v>
      </c>
      <c r="Q1532" s="6" t="n">
        <v>-17.57</v>
      </c>
      <c r="R1532" s="20" t="n">
        <f aca="false">(L1532-K1532)/K1532</f>
        <v>0.0651753257647783</v>
      </c>
    </row>
    <row r="1533" customFormat="false" ht="15" hidden="false" customHeight="false" outlineLevel="0" collapsed="false">
      <c r="A1533" s="6" t="s">
        <v>1695</v>
      </c>
      <c r="B1533" s="6" t="n">
        <v>28</v>
      </c>
      <c r="C1533" s="6" t="s">
        <v>159</v>
      </c>
      <c r="D1533" s="6" t="s">
        <v>135</v>
      </c>
      <c r="E1533" s="6" t="s">
        <v>88</v>
      </c>
      <c r="F1533" s="6" t="s">
        <v>179</v>
      </c>
      <c r="G1533" s="6" t="n">
        <v>4</v>
      </c>
      <c r="H1533" s="6" t="s">
        <v>82</v>
      </c>
      <c r="I1533" s="6" t="s">
        <v>81</v>
      </c>
      <c r="J1533" s="6" t="s">
        <v>60</v>
      </c>
      <c r="K1533" s="6" t="n">
        <v>88445</v>
      </c>
      <c r="L1533" s="6" t="n">
        <v>103672</v>
      </c>
      <c r="M1533" s="6" t="s">
        <v>146</v>
      </c>
      <c r="N1533" s="6" t="n">
        <v>54</v>
      </c>
      <c r="O1533" s="6" t="s">
        <v>58</v>
      </c>
      <c r="P1533" s="6" t="n">
        <v>7</v>
      </c>
      <c r="Q1533" s="6" t="n">
        <v>-2.34</v>
      </c>
      <c r="R1533" s="20" t="n">
        <f aca="false">(L1533-K1533)/K1533</f>
        <v>0.172163491435355</v>
      </c>
    </row>
    <row r="1534" customFormat="false" ht="15" hidden="false" customHeight="false" outlineLevel="0" collapsed="false">
      <c r="A1534" s="6" t="s">
        <v>1696</v>
      </c>
      <c r="B1534" s="6" t="n">
        <v>57</v>
      </c>
      <c r="C1534" s="6" t="s">
        <v>139</v>
      </c>
      <c r="D1534" s="6" t="s">
        <v>148</v>
      </c>
      <c r="E1534" s="6" t="s">
        <v>90</v>
      </c>
      <c r="F1534" s="6" t="s">
        <v>236</v>
      </c>
      <c r="G1534" s="6" t="n">
        <v>33</v>
      </c>
      <c r="H1534" s="6" t="s">
        <v>80</v>
      </c>
      <c r="I1534" s="6" t="s">
        <v>82</v>
      </c>
      <c r="J1534" s="6" t="s">
        <v>58</v>
      </c>
      <c r="K1534" s="6" t="n">
        <v>79116</v>
      </c>
      <c r="L1534" s="6" t="n">
        <v>82604</v>
      </c>
      <c r="M1534" s="6" t="s">
        <v>142</v>
      </c>
      <c r="N1534" s="6" t="n">
        <v>42</v>
      </c>
      <c r="O1534" s="6" t="s">
        <v>60</v>
      </c>
      <c r="P1534" s="6" t="n">
        <v>9</v>
      </c>
      <c r="Q1534" s="6" t="n">
        <v>-1.91</v>
      </c>
      <c r="R1534" s="20" t="n">
        <f aca="false">(L1534-K1534)/K1534</f>
        <v>0.0440871631528389</v>
      </c>
    </row>
    <row r="1535" customFormat="false" ht="15" hidden="false" customHeight="false" outlineLevel="0" collapsed="false">
      <c r="A1535" s="6" t="s">
        <v>1697</v>
      </c>
      <c r="B1535" s="6" t="n">
        <v>59</v>
      </c>
      <c r="C1535" s="6" t="s">
        <v>134</v>
      </c>
      <c r="D1535" s="6" t="s">
        <v>140</v>
      </c>
      <c r="E1535" s="6" t="s">
        <v>87</v>
      </c>
      <c r="F1535" s="6" t="s">
        <v>155</v>
      </c>
      <c r="G1535" s="6" t="n">
        <v>36</v>
      </c>
      <c r="H1535" s="6" t="s">
        <v>82</v>
      </c>
      <c r="I1535" s="6" t="s">
        <v>80</v>
      </c>
      <c r="J1535" s="6" t="s">
        <v>58</v>
      </c>
      <c r="K1535" s="6" t="n">
        <v>63615</v>
      </c>
      <c r="L1535" s="6" t="n">
        <v>75713</v>
      </c>
      <c r="M1535" s="6" t="s">
        <v>142</v>
      </c>
      <c r="N1535" s="6" t="n">
        <v>40</v>
      </c>
      <c r="O1535" s="6" t="s">
        <v>60</v>
      </c>
      <c r="P1535" s="6" t="n">
        <v>3</v>
      </c>
      <c r="Q1535" s="6" t="n">
        <v>-0.26</v>
      </c>
      <c r="R1535" s="20" t="n">
        <f aca="false">(L1535-K1535)/K1535</f>
        <v>0.190175273127407</v>
      </c>
    </row>
    <row r="1536" customFormat="false" ht="15" hidden="false" customHeight="false" outlineLevel="0" collapsed="false">
      <c r="A1536" s="6" t="s">
        <v>1698</v>
      </c>
      <c r="B1536" s="6" t="n">
        <v>33</v>
      </c>
      <c r="C1536" s="6" t="s">
        <v>159</v>
      </c>
      <c r="D1536" s="6" t="s">
        <v>135</v>
      </c>
      <c r="E1536" s="6" t="s">
        <v>92</v>
      </c>
      <c r="F1536" s="6" t="s">
        <v>222</v>
      </c>
      <c r="G1536" s="6" t="n">
        <v>9</v>
      </c>
      <c r="H1536" s="6" t="s">
        <v>82</v>
      </c>
      <c r="I1536" s="6" t="s">
        <v>80</v>
      </c>
      <c r="J1536" s="6" t="s">
        <v>60</v>
      </c>
      <c r="K1536" s="6" t="n">
        <v>32365</v>
      </c>
      <c r="L1536" s="6" t="n">
        <v>41038</v>
      </c>
      <c r="M1536" s="6" t="s">
        <v>142</v>
      </c>
      <c r="N1536" s="6" t="n">
        <v>47</v>
      </c>
      <c r="O1536" s="6" t="s">
        <v>58</v>
      </c>
      <c r="P1536" s="6" t="n">
        <v>7</v>
      </c>
      <c r="Q1536" s="6" t="n">
        <v>20</v>
      </c>
      <c r="R1536" s="20" t="n">
        <f aca="false">(L1536-K1536)/K1536</f>
        <v>0.267974663988877</v>
      </c>
    </row>
    <row r="1537" customFormat="false" ht="15" hidden="false" customHeight="false" outlineLevel="0" collapsed="false">
      <c r="A1537" s="6" t="s">
        <v>1699</v>
      </c>
      <c r="B1537" s="6" t="n">
        <v>51</v>
      </c>
      <c r="C1537" s="6" t="s">
        <v>159</v>
      </c>
      <c r="D1537" s="6" t="s">
        <v>135</v>
      </c>
      <c r="E1537" s="6" t="s">
        <v>91</v>
      </c>
      <c r="F1537" s="6" t="s">
        <v>141</v>
      </c>
      <c r="G1537" s="6" t="n">
        <v>25</v>
      </c>
      <c r="H1537" s="6" t="s">
        <v>81</v>
      </c>
      <c r="I1537" s="6" t="s">
        <v>80</v>
      </c>
      <c r="J1537" s="6" t="s">
        <v>58</v>
      </c>
      <c r="K1537" s="6" t="n">
        <v>61912</v>
      </c>
      <c r="L1537" s="6" t="n">
        <v>66372</v>
      </c>
      <c r="M1537" s="6" t="s">
        <v>142</v>
      </c>
      <c r="N1537" s="6" t="n">
        <v>36</v>
      </c>
      <c r="O1537" s="6" t="s">
        <v>60</v>
      </c>
      <c r="P1537" s="6" t="n">
        <v>6</v>
      </c>
      <c r="Q1537" s="6" t="n">
        <v>31.22</v>
      </c>
      <c r="R1537" s="20" t="n">
        <f aca="false">(L1537-K1537)/K1537</f>
        <v>0.0720377309729939</v>
      </c>
    </row>
    <row r="1538" customFormat="false" ht="15" hidden="false" customHeight="false" outlineLevel="0" collapsed="false">
      <c r="A1538" s="6" t="s">
        <v>1700</v>
      </c>
      <c r="B1538" s="6" t="n">
        <v>39</v>
      </c>
      <c r="C1538" s="6" t="s">
        <v>139</v>
      </c>
      <c r="D1538" s="6" t="s">
        <v>148</v>
      </c>
      <c r="E1538" s="6" t="s">
        <v>91</v>
      </c>
      <c r="F1538" s="6" t="s">
        <v>206</v>
      </c>
      <c r="G1538" s="6" t="n">
        <v>13</v>
      </c>
      <c r="H1538" s="6" t="s">
        <v>81</v>
      </c>
      <c r="I1538" s="6" t="s">
        <v>82</v>
      </c>
      <c r="J1538" s="6" t="s">
        <v>60</v>
      </c>
      <c r="K1538" s="6" t="n">
        <v>63298</v>
      </c>
      <c r="L1538" s="6" t="n">
        <v>66691</v>
      </c>
      <c r="M1538" s="6" t="s">
        <v>142</v>
      </c>
      <c r="N1538" s="6" t="n">
        <v>44</v>
      </c>
      <c r="O1538" s="6" t="s">
        <v>60</v>
      </c>
      <c r="P1538" s="6" t="n">
        <v>7</v>
      </c>
      <c r="Q1538" s="6" t="n">
        <v>39.53</v>
      </c>
      <c r="R1538" s="20" t="n">
        <f aca="false">(L1538-K1538)/K1538</f>
        <v>0.0536035893709122</v>
      </c>
    </row>
    <row r="1539" customFormat="false" ht="15" hidden="false" customHeight="false" outlineLevel="0" collapsed="false">
      <c r="A1539" s="6" t="s">
        <v>1701</v>
      </c>
      <c r="B1539" s="6" t="n">
        <v>43</v>
      </c>
      <c r="C1539" s="6" t="s">
        <v>159</v>
      </c>
      <c r="D1539" s="6" t="s">
        <v>135</v>
      </c>
      <c r="E1539" s="6" t="s">
        <v>88</v>
      </c>
      <c r="F1539" s="6" t="s">
        <v>157</v>
      </c>
      <c r="G1539" s="6" t="n">
        <v>17</v>
      </c>
      <c r="H1539" s="6" t="s">
        <v>82</v>
      </c>
      <c r="I1539" s="6" t="s">
        <v>81</v>
      </c>
      <c r="J1539" s="6" t="s">
        <v>58</v>
      </c>
      <c r="K1539" s="6" t="n">
        <v>51686</v>
      </c>
      <c r="L1539" s="6" t="n">
        <v>45819</v>
      </c>
      <c r="M1539" s="6" t="s">
        <v>146</v>
      </c>
      <c r="N1539" s="6" t="n">
        <v>48</v>
      </c>
      <c r="O1539" s="6" t="s">
        <v>58</v>
      </c>
      <c r="P1539" s="6" t="n">
        <v>8</v>
      </c>
      <c r="Q1539" s="6" t="n">
        <v>35.22</v>
      </c>
      <c r="R1539" s="20" t="n">
        <f aca="false">(L1539-K1539)/K1539</f>
        <v>-0.113512363115737</v>
      </c>
    </row>
    <row r="1540" customFormat="false" ht="15" hidden="false" customHeight="false" outlineLevel="0" collapsed="false">
      <c r="A1540" s="6" t="s">
        <v>1702</v>
      </c>
      <c r="B1540" s="6" t="n">
        <v>29</v>
      </c>
      <c r="C1540" s="6" t="s">
        <v>134</v>
      </c>
      <c r="D1540" s="6" t="s">
        <v>148</v>
      </c>
      <c r="E1540" s="6" t="s">
        <v>87</v>
      </c>
      <c r="F1540" s="6" t="s">
        <v>160</v>
      </c>
      <c r="G1540" s="6" t="n">
        <v>3</v>
      </c>
      <c r="H1540" s="6" t="s">
        <v>80</v>
      </c>
      <c r="I1540" s="6" t="s">
        <v>80</v>
      </c>
      <c r="J1540" s="6" t="s">
        <v>58</v>
      </c>
      <c r="K1540" s="6" t="n">
        <v>60226</v>
      </c>
      <c r="L1540" s="6" t="n">
        <v>62706</v>
      </c>
      <c r="M1540" s="6" t="s">
        <v>142</v>
      </c>
      <c r="N1540" s="6" t="n">
        <v>41</v>
      </c>
      <c r="O1540" s="6" t="s">
        <v>60</v>
      </c>
      <c r="P1540" s="6" t="n">
        <v>5</v>
      </c>
      <c r="Q1540" s="6" t="n">
        <v>-13.71</v>
      </c>
      <c r="R1540" s="20" t="n">
        <f aca="false">(L1540-K1540)/K1540</f>
        <v>0.0411782286720021</v>
      </c>
    </row>
    <row r="1541" customFormat="false" ht="15" hidden="false" customHeight="false" outlineLevel="0" collapsed="false">
      <c r="A1541" s="6" t="s">
        <v>1703</v>
      </c>
      <c r="B1541" s="6" t="n">
        <v>47</v>
      </c>
      <c r="C1541" s="6" t="s">
        <v>139</v>
      </c>
      <c r="D1541" s="6" t="s">
        <v>148</v>
      </c>
      <c r="E1541" s="6" t="s">
        <v>91</v>
      </c>
      <c r="F1541" s="6" t="s">
        <v>206</v>
      </c>
      <c r="G1541" s="6" t="n">
        <v>22</v>
      </c>
      <c r="H1541" s="6" t="s">
        <v>80</v>
      </c>
      <c r="I1541" s="6" t="s">
        <v>81</v>
      </c>
      <c r="J1541" s="6" t="s">
        <v>58</v>
      </c>
      <c r="K1541" s="6" t="n">
        <v>30557</v>
      </c>
      <c r="L1541" s="6" t="n">
        <v>32345</v>
      </c>
      <c r="M1541" s="6" t="s">
        <v>146</v>
      </c>
      <c r="N1541" s="6" t="n">
        <v>42</v>
      </c>
      <c r="O1541" s="6" t="s">
        <v>60</v>
      </c>
      <c r="P1541" s="6" t="n">
        <v>5</v>
      </c>
      <c r="Q1541" s="6" t="n">
        <v>29.96</v>
      </c>
      <c r="R1541" s="20" t="n">
        <f aca="false">(L1541-K1541)/K1541</f>
        <v>0.0585135975390254</v>
      </c>
    </row>
    <row r="1542" customFormat="false" ht="15" hidden="false" customHeight="false" outlineLevel="0" collapsed="false">
      <c r="A1542" s="6" t="s">
        <v>1704</v>
      </c>
      <c r="B1542" s="6" t="n">
        <v>49</v>
      </c>
      <c r="C1542" s="6" t="s">
        <v>134</v>
      </c>
      <c r="D1542" s="6" t="s">
        <v>148</v>
      </c>
      <c r="E1542" s="6" t="s">
        <v>92</v>
      </c>
      <c r="F1542" s="6" t="s">
        <v>192</v>
      </c>
      <c r="G1542" s="6" t="n">
        <v>23</v>
      </c>
      <c r="H1542" s="6" t="s">
        <v>82</v>
      </c>
      <c r="I1542" s="6" t="s">
        <v>82</v>
      </c>
      <c r="J1542" s="6" t="s">
        <v>58</v>
      </c>
      <c r="K1542" s="6" t="n">
        <v>87500</v>
      </c>
      <c r="L1542" s="6" t="n">
        <v>88387</v>
      </c>
      <c r="M1542" s="6" t="s">
        <v>146</v>
      </c>
      <c r="N1542" s="6" t="n">
        <v>47</v>
      </c>
      <c r="O1542" s="6" t="s">
        <v>58</v>
      </c>
      <c r="P1542" s="6" t="n">
        <v>6</v>
      </c>
      <c r="Q1542" s="6" t="n">
        <v>35.03</v>
      </c>
      <c r="R1542" s="20" t="n">
        <f aca="false">(L1542-K1542)/K1542</f>
        <v>0.0101371428571429</v>
      </c>
    </row>
    <row r="1543" customFormat="false" ht="15" hidden="false" customHeight="false" outlineLevel="0" collapsed="false">
      <c r="A1543" s="6" t="s">
        <v>1705</v>
      </c>
      <c r="B1543" s="6" t="n">
        <v>26</v>
      </c>
      <c r="C1543" s="6" t="s">
        <v>134</v>
      </c>
      <c r="D1543" s="6" t="s">
        <v>144</v>
      </c>
      <c r="E1543" s="6" t="s">
        <v>89</v>
      </c>
      <c r="F1543" s="6" t="s">
        <v>162</v>
      </c>
      <c r="G1543" s="6" t="n">
        <v>2</v>
      </c>
      <c r="H1543" s="6" t="s">
        <v>82</v>
      </c>
      <c r="I1543" s="6" t="s">
        <v>82</v>
      </c>
      <c r="J1543" s="6" t="s">
        <v>60</v>
      </c>
      <c r="K1543" s="6" t="n">
        <v>100202</v>
      </c>
      <c r="L1543" s="6" t="n">
        <v>89409</v>
      </c>
      <c r="M1543" s="6" t="s">
        <v>146</v>
      </c>
      <c r="N1543" s="6" t="n">
        <v>49</v>
      </c>
      <c r="O1543" s="6" t="s">
        <v>60</v>
      </c>
      <c r="P1543" s="6" t="n">
        <v>9</v>
      </c>
      <c r="Q1543" s="6" t="n">
        <v>27.61</v>
      </c>
      <c r="R1543" s="20" t="n">
        <f aca="false">(L1543-K1543)/K1543</f>
        <v>-0.107712420909762</v>
      </c>
    </row>
    <row r="1544" customFormat="false" ht="15" hidden="false" customHeight="false" outlineLevel="0" collapsed="false">
      <c r="A1544" s="6" t="s">
        <v>1706</v>
      </c>
      <c r="B1544" s="6" t="n">
        <v>52</v>
      </c>
      <c r="C1544" s="6" t="s">
        <v>159</v>
      </c>
      <c r="D1544" s="6" t="s">
        <v>148</v>
      </c>
      <c r="E1544" s="6" t="s">
        <v>87</v>
      </c>
      <c r="F1544" s="6" t="s">
        <v>149</v>
      </c>
      <c r="G1544" s="6" t="n">
        <v>26</v>
      </c>
      <c r="H1544" s="6" t="s">
        <v>82</v>
      </c>
      <c r="I1544" s="6" t="s">
        <v>82</v>
      </c>
      <c r="J1544" s="6" t="s">
        <v>60</v>
      </c>
      <c r="K1544" s="6" t="n">
        <v>64928</v>
      </c>
      <c r="L1544" s="6" t="n">
        <v>88297</v>
      </c>
      <c r="M1544" s="6" t="s">
        <v>137</v>
      </c>
      <c r="N1544" s="6" t="n">
        <v>35</v>
      </c>
      <c r="O1544" s="6" t="s">
        <v>58</v>
      </c>
      <c r="P1544" s="6" t="n">
        <v>8</v>
      </c>
      <c r="Q1544" s="6" t="n">
        <v>36.3</v>
      </c>
      <c r="R1544" s="20" t="n">
        <f aca="false">(L1544-K1544)/K1544</f>
        <v>0.359921759487432</v>
      </c>
    </row>
    <row r="1545" customFormat="false" ht="15" hidden="false" customHeight="false" outlineLevel="0" collapsed="false">
      <c r="A1545" s="6" t="s">
        <v>1707</v>
      </c>
      <c r="B1545" s="6" t="n">
        <v>36</v>
      </c>
      <c r="C1545" s="6" t="s">
        <v>134</v>
      </c>
      <c r="D1545" s="6" t="s">
        <v>144</v>
      </c>
      <c r="E1545" s="6" t="s">
        <v>87</v>
      </c>
      <c r="F1545" s="6" t="s">
        <v>160</v>
      </c>
      <c r="G1545" s="6" t="n">
        <v>11</v>
      </c>
      <c r="H1545" s="6" t="s">
        <v>82</v>
      </c>
      <c r="I1545" s="6" t="s">
        <v>82</v>
      </c>
      <c r="J1545" s="6" t="s">
        <v>58</v>
      </c>
      <c r="K1545" s="6" t="n">
        <v>48361</v>
      </c>
      <c r="L1545" s="6" t="n">
        <v>38899</v>
      </c>
      <c r="M1545" s="6" t="s">
        <v>137</v>
      </c>
      <c r="N1545" s="6" t="n">
        <v>49</v>
      </c>
      <c r="O1545" s="6" t="s">
        <v>58</v>
      </c>
      <c r="P1545" s="6" t="n">
        <v>6</v>
      </c>
      <c r="Q1545" s="6" t="n">
        <v>-16.35</v>
      </c>
      <c r="R1545" s="20" t="n">
        <f aca="false">(L1545-K1545)/K1545</f>
        <v>-0.19565352246645</v>
      </c>
    </row>
    <row r="1546" customFormat="false" ht="15" hidden="false" customHeight="false" outlineLevel="0" collapsed="false">
      <c r="A1546" s="6" t="s">
        <v>1708</v>
      </c>
      <c r="B1546" s="6" t="n">
        <v>25</v>
      </c>
      <c r="C1546" s="6" t="s">
        <v>134</v>
      </c>
      <c r="D1546" s="6" t="s">
        <v>135</v>
      </c>
      <c r="E1546" s="6" t="s">
        <v>89</v>
      </c>
      <c r="F1546" s="6" t="s">
        <v>151</v>
      </c>
      <c r="G1546" s="6" t="n">
        <v>2</v>
      </c>
      <c r="H1546" s="6" t="s">
        <v>82</v>
      </c>
      <c r="I1546" s="6" t="s">
        <v>80</v>
      </c>
      <c r="J1546" s="6" t="s">
        <v>58</v>
      </c>
      <c r="K1546" s="6" t="n">
        <v>38798</v>
      </c>
      <c r="L1546" s="6" t="n">
        <v>50797</v>
      </c>
      <c r="M1546" s="6" t="s">
        <v>142</v>
      </c>
      <c r="N1546" s="6" t="n">
        <v>54</v>
      </c>
      <c r="O1546" s="6" t="s">
        <v>60</v>
      </c>
      <c r="P1546" s="6" t="n">
        <v>3</v>
      </c>
      <c r="Q1546" s="6" t="n">
        <v>-2.11</v>
      </c>
      <c r="R1546" s="20" t="n">
        <f aca="false">(L1546-K1546)/K1546</f>
        <v>0.309268518995825</v>
      </c>
    </row>
    <row r="1547" customFormat="false" ht="15" hidden="false" customHeight="false" outlineLevel="0" collapsed="false">
      <c r="A1547" s="6" t="s">
        <v>1709</v>
      </c>
      <c r="B1547" s="6" t="n">
        <v>29</v>
      </c>
      <c r="C1547" s="6" t="s">
        <v>134</v>
      </c>
      <c r="D1547" s="6" t="s">
        <v>144</v>
      </c>
      <c r="E1547" s="6" t="s">
        <v>93</v>
      </c>
      <c r="F1547" s="6" t="s">
        <v>164</v>
      </c>
      <c r="G1547" s="6" t="n">
        <v>7</v>
      </c>
      <c r="H1547" s="6" t="s">
        <v>81</v>
      </c>
      <c r="I1547" s="6" t="s">
        <v>82</v>
      </c>
      <c r="J1547" s="6" t="s">
        <v>58</v>
      </c>
      <c r="K1547" s="6" t="n">
        <v>117638</v>
      </c>
      <c r="L1547" s="6" t="n">
        <v>124480</v>
      </c>
      <c r="M1547" s="6" t="s">
        <v>142</v>
      </c>
      <c r="N1547" s="6" t="n">
        <v>36</v>
      </c>
      <c r="O1547" s="6" t="s">
        <v>60</v>
      </c>
      <c r="P1547" s="6" t="n">
        <v>7</v>
      </c>
      <c r="Q1547" s="6" t="n">
        <v>-0.5</v>
      </c>
      <c r="R1547" s="20" t="n">
        <f aca="false">(L1547-K1547)/K1547</f>
        <v>0.0581614784338394</v>
      </c>
    </row>
    <row r="1548" customFormat="false" ht="15" hidden="false" customHeight="false" outlineLevel="0" collapsed="false">
      <c r="A1548" s="6" t="s">
        <v>1710</v>
      </c>
      <c r="B1548" s="6" t="n">
        <v>25</v>
      </c>
      <c r="C1548" s="6" t="s">
        <v>139</v>
      </c>
      <c r="D1548" s="6" t="s">
        <v>148</v>
      </c>
      <c r="E1548" s="6" t="s">
        <v>87</v>
      </c>
      <c r="F1548" s="6" t="s">
        <v>160</v>
      </c>
      <c r="G1548" s="6" t="n">
        <v>0</v>
      </c>
      <c r="H1548" s="6" t="s">
        <v>80</v>
      </c>
      <c r="I1548" s="6" t="s">
        <v>81</v>
      </c>
      <c r="J1548" s="6" t="s">
        <v>60</v>
      </c>
      <c r="K1548" s="6" t="n">
        <v>39649</v>
      </c>
      <c r="L1548" s="6" t="n">
        <v>41274</v>
      </c>
      <c r="M1548" s="6" t="s">
        <v>146</v>
      </c>
      <c r="N1548" s="6" t="n">
        <v>42</v>
      </c>
      <c r="O1548" s="6" t="s">
        <v>58</v>
      </c>
      <c r="P1548" s="6" t="n">
        <v>6</v>
      </c>
      <c r="Q1548" s="6" t="n">
        <v>17.61</v>
      </c>
      <c r="R1548" s="20" t="n">
        <f aca="false">(L1548-K1548)/K1548</f>
        <v>0.0409846402179122</v>
      </c>
    </row>
    <row r="1549" customFormat="false" ht="15" hidden="false" customHeight="false" outlineLevel="0" collapsed="false">
      <c r="A1549" s="6" t="s">
        <v>1711</v>
      </c>
      <c r="B1549" s="6" t="n">
        <v>59</v>
      </c>
      <c r="C1549" s="6" t="s">
        <v>139</v>
      </c>
      <c r="D1549" s="6" t="s">
        <v>144</v>
      </c>
      <c r="E1549" s="6" t="s">
        <v>90</v>
      </c>
      <c r="F1549" s="6" t="s">
        <v>236</v>
      </c>
      <c r="G1549" s="6" t="n">
        <v>36</v>
      </c>
      <c r="H1549" s="6" t="s">
        <v>82</v>
      </c>
      <c r="I1549" s="6" t="s">
        <v>82</v>
      </c>
      <c r="J1549" s="6" t="s">
        <v>60</v>
      </c>
      <c r="K1549" s="6" t="n">
        <v>106215</v>
      </c>
      <c r="L1549" s="6" t="n">
        <v>140573</v>
      </c>
      <c r="M1549" s="6" t="s">
        <v>137</v>
      </c>
      <c r="N1549" s="6" t="n">
        <v>42</v>
      </c>
      <c r="O1549" s="6" t="s">
        <v>58</v>
      </c>
      <c r="P1549" s="6" t="n">
        <v>8</v>
      </c>
      <c r="Q1549" s="6" t="n">
        <v>-7.06</v>
      </c>
      <c r="R1549" s="20" t="n">
        <f aca="false">(L1549-K1549)/K1549</f>
        <v>0.323475968554347</v>
      </c>
    </row>
    <row r="1550" customFormat="false" ht="15" hidden="false" customHeight="false" outlineLevel="0" collapsed="false">
      <c r="A1550" s="6" t="s">
        <v>1712</v>
      </c>
      <c r="B1550" s="6" t="n">
        <v>52</v>
      </c>
      <c r="C1550" s="6" t="s">
        <v>139</v>
      </c>
      <c r="D1550" s="6" t="s">
        <v>148</v>
      </c>
      <c r="E1550" s="6" t="s">
        <v>87</v>
      </c>
      <c r="F1550" s="6" t="s">
        <v>149</v>
      </c>
      <c r="G1550" s="6" t="n">
        <v>30</v>
      </c>
      <c r="H1550" s="6" t="s">
        <v>82</v>
      </c>
      <c r="I1550" s="6" t="s">
        <v>81</v>
      </c>
      <c r="J1550" s="6" t="s">
        <v>58</v>
      </c>
      <c r="K1550" s="6" t="n">
        <v>81928</v>
      </c>
      <c r="L1550" s="6" t="n">
        <v>113454</v>
      </c>
      <c r="M1550" s="6" t="s">
        <v>146</v>
      </c>
      <c r="N1550" s="6" t="n">
        <v>47</v>
      </c>
      <c r="O1550" s="6" t="s">
        <v>60</v>
      </c>
      <c r="P1550" s="6" t="n">
        <v>5</v>
      </c>
      <c r="Q1550" s="6" t="n">
        <v>16.23</v>
      </c>
      <c r="R1550" s="20" t="n">
        <f aca="false">(L1550-K1550)/K1550</f>
        <v>0.384801288936627</v>
      </c>
    </row>
    <row r="1551" customFormat="false" ht="15" hidden="false" customHeight="false" outlineLevel="0" collapsed="false">
      <c r="A1551" s="6" t="s">
        <v>1713</v>
      </c>
      <c r="B1551" s="6" t="n">
        <v>46</v>
      </c>
      <c r="C1551" s="6" t="s">
        <v>139</v>
      </c>
      <c r="D1551" s="6" t="s">
        <v>140</v>
      </c>
      <c r="E1551" s="6" t="s">
        <v>88</v>
      </c>
      <c r="F1551" s="6" t="s">
        <v>179</v>
      </c>
      <c r="G1551" s="6" t="n">
        <v>22</v>
      </c>
      <c r="H1551" s="6" t="s">
        <v>81</v>
      </c>
      <c r="I1551" s="6" t="s">
        <v>82</v>
      </c>
      <c r="J1551" s="6" t="s">
        <v>60</v>
      </c>
      <c r="K1551" s="6" t="n">
        <v>77396</v>
      </c>
      <c r="L1551" s="6" t="n">
        <v>84818</v>
      </c>
      <c r="M1551" s="6" t="s">
        <v>142</v>
      </c>
      <c r="N1551" s="6" t="n">
        <v>45</v>
      </c>
      <c r="O1551" s="6" t="s">
        <v>60</v>
      </c>
      <c r="P1551" s="6" t="n">
        <v>3</v>
      </c>
      <c r="Q1551" s="6" t="n">
        <v>10.14</v>
      </c>
      <c r="R1551" s="20" t="n">
        <f aca="false">(L1551-K1551)/K1551</f>
        <v>0.0958964287560081</v>
      </c>
    </row>
    <row r="1552" customFormat="false" ht="15" hidden="false" customHeight="false" outlineLevel="0" collapsed="false">
      <c r="A1552" s="6" t="s">
        <v>1714</v>
      </c>
      <c r="B1552" s="6" t="n">
        <v>44</v>
      </c>
      <c r="C1552" s="6" t="s">
        <v>134</v>
      </c>
      <c r="D1552" s="6" t="s">
        <v>135</v>
      </c>
      <c r="E1552" s="6" t="s">
        <v>88</v>
      </c>
      <c r="F1552" s="6" t="s">
        <v>179</v>
      </c>
      <c r="G1552" s="6" t="n">
        <v>22</v>
      </c>
      <c r="H1552" s="6" t="s">
        <v>82</v>
      </c>
      <c r="I1552" s="6" t="s">
        <v>82</v>
      </c>
      <c r="J1552" s="6" t="s">
        <v>58</v>
      </c>
      <c r="K1552" s="6" t="n">
        <v>115782</v>
      </c>
      <c r="L1552" s="6" t="n">
        <v>117419</v>
      </c>
      <c r="M1552" s="6" t="s">
        <v>137</v>
      </c>
      <c r="N1552" s="6" t="n">
        <v>47</v>
      </c>
      <c r="O1552" s="6" t="s">
        <v>60</v>
      </c>
      <c r="P1552" s="6" t="n">
        <v>6</v>
      </c>
      <c r="Q1552" s="6" t="n">
        <v>-13.5</v>
      </c>
      <c r="R1552" s="20" t="n">
        <f aca="false">(L1552-K1552)/K1552</f>
        <v>0.0141386398576635</v>
      </c>
    </row>
    <row r="1553" customFormat="false" ht="15" hidden="false" customHeight="false" outlineLevel="0" collapsed="false">
      <c r="A1553" s="6" t="s">
        <v>1715</v>
      </c>
      <c r="B1553" s="6" t="n">
        <v>55</v>
      </c>
      <c r="C1553" s="6" t="s">
        <v>134</v>
      </c>
      <c r="D1553" s="6" t="s">
        <v>144</v>
      </c>
      <c r="E1553" s="6" t="s">
        <v>88</v>
      </c>
      <c r="F1553" s="6" t="s">
        <v>157</v>
      </c>
      <c r="G1553" s="6" t="n">
        <v>32</v>
      </c>
      <c r="H1553" s="6" t="s">
        <v>80</v>
      </c>
      <c r="I1553" s="6" t="s">
        <v>82</v>
      </c>
      <c r="J1553" s="6" t="s">
        <v>60</v>
      </c>
      <c r="K1553" s="6" t="n">
        <v>80355</v>
      </c>
      <c r="L1553" s="6" t="n">
        <v>77398</v>
      </c>
      <c r="M1553" s="6" t="s">
        <v>142</v>
      </c>
      <c r="N1553" s="6" t="n">
        <v>42</v>
      </c>
      <c r="O1553" s="6" t="s">
        <v>60</v>
      </c>
      <c r="P1553" s="6" t="n">
        <v>3</v>
      </c>
      <c r="Q1553" s="6" t="n">
        <v>33.61</v>
      </c>
      <c r="R1553" s="20" t="n">
        <f aca="false">(L1553-K1553)/K1553</f>
        <v>-0.0367992035343165</v>
      </c>
    </row>
    <row r="1554" customFormat="false" ht="15" hidden="false" customHeight="false" outlineLevel="0" collapsed="false">
      <c r="A1554" s="6" t="s">
        <v>1716</v>
      </c>
      <c r="B1554" s="6" t="n">
        <v>55</v>
      </c>
      <c r="C1554" s="6" t="s">
        <v>139</v>
      </c>
      <c r="D1554" s="6" t="s">
        <v>135</v>
      </c>
      <c r="E1554" s="6" t="s">
        <v>91</v>
      </c>
      <c r="F1554" s="6" t="s">
        <v>206</v>
      </c>
      <c r="G1554" s="6" t="n">
        <v>30</v>
      </c>
      <c r="H1554" s="6" t="s">
        <v>80</v>
      </c>
      <c r="I1554" s="6" t="s">
        <v>80</v>
      </c>
      <c r="J1554" s="6" t="s">
        <v>58</v>
      </c>
      <c r="K1554" s="6" t="n">
        <v>116478</v>
      </c>
      <c r="L1554" s="6" t="n">
        <v>127503</v>
      </c>
      <c r="M1554" s="6" t="s">
        <v>142</v>
      </c>
      <c r="N1554" s="6" t="n">
        <v>48</v>
      </c>
      <c r="O1554" s="6" t="s">
        <v>60</v>
      </c>
      <c r="P1554" s="6" t="n">
        <v>8</v>
      </c>
      <c r="Q1554" s="6" t="n">
        <v>-13.13</v>
      </c>
      <c r="R1554" s="20" t="n">
        <f aca="false">(L1554-K1554)/K1554</f>
        <v>0.0946530675320661</v>
      </c>
    </row>
    <row r="1555" customFormat="false" ht="15" hidden="false" customHeight="false" outlineLevel="0" collapsed="false">
      <c r="A1555" s="6" t="s">
        <v>1717</v>
      </c>
      <c r="B1555" s="6" t="n">
        <v>44</v>
      </c>
      <c r="C1555" s="6" t="s">
        <v>134</v>
      </c>
      <c r="D1555" s="6" t="s">
        <v>148</v>
      </c>
      <c r="E1555" s="6" t="s">
        <v>89</v>
      </c>
      <c r="F1555" s="6" t="s">
        <v>162</v>
      </c>
      <c r="G1555" s="6" t="n">
        <v>18</v>
      </c>
      <c r="H1555" s="6" t="s">
        <v>81</v>
      </c>
      <c r="I1555" s="6" t="s">
        <v>82</v>
      </c>
      <c r="J1555" s="6" t="s">
        <v>60</v>
      </c>
      <c r="K1555" s="6" t="n">
        <v>88806</v>
      </c>
      <c r="L1555" s="6" t="n">
        <v>85656</v>
      </c>
      <c r="M1555" s="6" t="s">
        <v>142</v>
      </c>
      <c r="N1555" s="6" t="n">
        <v>47</v>
      </c>
      <c r="O1555" s="6" t="s">
        <v>58</v>
      </c>
      <c r="P1555" s="6" t="n">
        <v>6</v>
      </c>
      <c r="Q1555" s="6" t="n">
        <v>29.52</v>
      </c>
      <c r="R1555" s="20" t="n">
        <f aca="false">(L1555-K1555)/K1555</f>
        <v>-0.0354705763124113</v>
      </c>
    </row>
    <row r="1556" customFormat="false" ht="15" hidden="false" customHeight="false" outlineLevel="0" collapsed="false">
      <c r="A1556" s="6" t="s">
        <v>1718</v>
      </c>
      <c r="B1556" s="6" t="n">
        <v>41</v>
      </c>
      <c r="C1556" s="6" t="s">
        <v>159</v>
      </c>
      <c r="D1556" s="6" t="s">
        <v>135</v>
      </c>
      <c r="E1556" s="6" t="s">
        <v>91</v>
      </c>
      <c r="F1556" s="6" t="s">
        <v>141</v>
      </c>
      <c r="G1556" s="6" t="n">
        <v>19</v>
      </c>
      <c r="H1556" s="6" t="s">
        <v>81</v>
      </c>
      <c r="I1556" s="6" t="s">
        <v>82</v>
      </c>
      <c r="J1556" s="6" t="s">
        <v>58</v>
      </c>
      <c r="K1556" s="6" t="n">
        <v>66303</v>
      </c>
      <c r="L1556" s="6" t="n">
        <v>67600</v>
      </c>
      <c r="M1556" s="6" t="s">
        <v>142</v>
      </c>
      <c r="N1556" s="6" t="n">
        <v>36</v>
      </c>
      <c r="O1556" s="6" t="s">
        <v>60</v>
      </c>
      <c r="P1556" s="6" t="n">
        <v>9</v>
      </c>
      <c r="Q1556" s="6" t="n">
        <v>-9.79</v>
      </c>
      <c r="R1556" s="20" t="n">
        <f aca="false">(L1556-K1556)/K1556</f>
        <v>0.0195617091232674</v>
      </c>
    </row>
    <row r="1557" customFormat="false" ht="15" hidden="false" customHeight="false" outlineLevel="0" collapsed="false">
      <c r="A1557" s="6" t="s">
        <v>1719</v>
      </c>
      <c r="B1557" s="6" t="n">
        <v>59</v>
      </c>
      <c r="C1557" s="6" t="s">
        <v>139</v>
      </c>
      <c r="D1557" s="6" t="s">
        <v>148</v>
      </c>
      <c r="E1557" s="6" t="s">
        <v>87</v>
      </c>
      <c r="F1557" s="6" t="s">
        <v>160</v>
      </c>
      <c r="G1557" s="6" t="n">
        <v>33</v>
      </c>
      <c r="H1557" s="6" t="s">
        <v>80</v>
      </c>
      <c r="I1557" s="6" t="s">
        <v>80</v>
      </c>
      <c r="J1557" s="6" t="s">
        <v>60</v>
      </c>
      <c r="K1557" s="6" t="n">
        <v>68057</v>
      </c>
      <c r="L1557" s="6" t="n">
        <v>70391</v>
      </c>
      <c r="M1557" s="6" t="s">
        <v>142</v>
      </c>
      <c r="N1557" s="6" t="n">
        <v>44</v>
      </c>
      <c r="O1557" s="6" t="s">
        <v>58</v>
      </c>
      <c r="P1557" s="6" t="n">
        <v>9</v>
      </c>
      <c r="Q1557" s="6" t="n">
        <v>-7.14</v>
      </c>
      <c r="R1557" s="20" t="n">
        <f aca="false">(L1557-K1557)/K1557</f>
        <v>0.0342947823148243</v>
      </c>
    </row>
    <row r="1558" customFormat="false" ht="15" hidden="false" customHeight="false" outlineLevel="0" collapsed="false">
      <c r="A1558" s="6" t="s">
        <v>1720</v>
      </c>
      <c r="B1558" s="6" t="n">
        <v>36</v>
      </c>
      <c r="C1558" s="6" t="s">
        <v>159</v>
      </c>
      <c r="D1558" s="6" t="s">
        <v>144</v>
      </c>
      <c r="E1558" s="6" t="s">
        <v>88</v>
      </c>
      <c r="F1558" s="6" t="s">
        <v>157</v>
      </c>
      <c r="G1558" s="6" t="n">
        <v>12</v>
      </c>
      <c r="H1558" s="6" t="s">
        <v>80</v>
      </c>
      <c r="I1558" s="6" t="s">
        <v>80</v>
      </c>
      <c r="J1558" s="6" t="s">
        <v>58</v>
      </c>
      <c r="K1558" s="6" t="n">
        <v>53752</v>
      </c>
      <c r="L1558" s="6" t="n">
        <v>56342</v>
      </c>
      <c r="M1558" s="6" t="s">
        <v>142</v>
      </c>
      <c r="N1558" s="6" t="n">
        <v>51</v>
      </c>
      <c r="O1558" s="6" t="s">
        <v>58</v>
      </c>
      <c r="P1558" s="6" t="n">
        <v>7</v>
      </c>
      <c r="Q1558" s="6" t="n">
        <v>37.25</v>
      </c>
      <c r="R1558" s="20" t="n">
        <f aca="false">(L1558-K1558)/K1558</f>
        <v>0.048184253609168</v>
      </c>
    </row>
    <row r="1559" customFormat="false" ht="15" hidden="false" customHeight="false" outlineLevel="0" collapsed="false">
      <c r="A1559" s="6" t="s">
        <v>1721</v>
      </c>
      <c r="B1559" s="6" t="n">
        <v>30</v>
      </c>
      <c r="C1559" s="6" t="s">
        <v>134</v>
      </c>
      <c r="D1559" s="6" t="s">
        <v>135</v>
      </c>
      <c r="E1559" s="6" t="s">
        <v>87</v>
      </c>
      <c r="F1559" s="6" t="s">
        <v>155</v>
      </c>
      <c r="G1559" s="6" t="n">
        <v>6</v>
      </c>
      <c r="H1559" s="6" t="s">
        <v>82</v>
      </c>
      <c r="I1559" s="6" t="s">
        <v>82</v>
      </c>
      <c r="J1559" s="6" t="s">
        <v>58</v>
      </c>
      <c r="K1559" s="6" t="n">
        <v>118406</v>
      </c>
      <c r="L1559" s="6" t="n">
        <v>102997</v>
      </c>
      <c r="M1559" s="6" t="s">
        <v>137</v>
      </c>
      <c r="N1559" s="6" t="n">
        <v>35</v>
      </c>
      <c r="O1559" s="6" t="s">
        <v>60</v>
      </c>
      <c r="P1559" s="6" t="n">
        <v>8</v>
      </c>
      <c r="Q1559" s="6" t="n">
        <v>15.79</v>
      </c>
      <c r="R1559" s="20" t="n">
        <f aca="false">(L1559-K1559)/K1559</f>
        <v>-0.13013698630137</v>
      </c>
    </row>
    <row r="1560" customFormat="false" ht="15" hidden="false" customHeight="false" outlineLevel="0" collapsed="false">
      <c r="A1560" s="6" t="s">
        <v>1722</v>
      </c>
      <c r="B1560" s="6" t="n">
        <v>51</v>
      </c>
      <c r="C1560" s="6" t="s">
        <v>159</v>
      </c>
      <c r="D1560" s="6" t="s">
        <v>144</v>
      </c>
      <c r="E1560" s="6" t="s">
        <v>90</v>
      </c>
      <c r="F1560" s="6" t="s">
        <v>236</v>
      </c>
      <c r="G1560" s="6" t="n">
        <v>25</v>
      </c>
      <c r="H1560" s="6" t="s">
        <v>81</v>
      </c>
      <c r="I1560" s="6" t="s">
        <v>80</v>
      </c>
      <c r="J1560" s="6" t="s">
        <v>58</v>
      </c>
      <c r="K1560" s="6" t="n">
        <v>59203</v>
      </c>
      <c r="L1560" s="6" t="n">
        <v>56270</v>
      </c>
      <c r="M1560" s="6" t="s">
        <v>142</v>
      </c>
      <c r="N1560" s="6" t="n">
        <v>47</v>
      </c>
      <c r="O1560" s="6" t="s">
        <v>60</v>
      </c>
      <c r="P1560" s="6" t="n">
        <v>9</v>
      </c>
      <c r="Q1560" s="6" t="n">
        <v>21.63</v>
      </c>
      <c r="R1560" s="20" t="n">
        <f aca="false">(L1560-K1560)/K1560</f>
        <v>-0.0495414083745756</v>
      </c>
    </row>
    <row r="1561" customFormat="false" ht="15" hidden="false" customHeight="false" outlineLevel="0" collapsed="false">
      <c r="A1561" s="6" t="s">
        <v>1723</v>
      </c>
      <c r="B1561" s="6" t="n">
        <v>29</v>
      </c>
      <c r="C1561" s="6" t="s">
        <v>139</v>
      </c>
      <c r="D1561" s="6" t="s">
        <v>135</v>
      </c>
      <c r="E1561" s="6" t="s">
        <v>93</v>
      </c>
      <c r="F1561" s="6" t="s">
        <v>181</v>
      </c>
      <c r="G1561" s="6" t="n">
        <v>4</v>
      </c>
      <c r="H1561" s="6" t="s">
        <v>80</v>
      </c>
      <c r="I1561" s="6" t="s">
        <v>81</v>
      </c>
      <c r="J1561" s="6" t="s">
        <v>58</v>
      </c>
      <c r="K1561" s="6" t="n">
        <v>105948</v>
      </c>
      <c r="L1561" s="6" t="n">
        <v>112647</v>
      </c>
      <c r="M1561" s="6" t="s">
        <v>146</v>
      </c>
      <c r="N1561" s="6" t="n">
        <v>50</v>
      </c>
      <c r="O1561" s="6" t="s">
        <v>60</v>
      </c>
      <c r="P1561" s="6" t="n">
        <v>4</v>
      </c>
      <c r="Q1561" s="6" t="n">
        <v>18.92</v>
      </c>
      <c r="R1561" s="20" t="n">
        <f aca="false">(L1561-K1561)/K1561</f>
        <v>0.0632291312719447</v>
      </c>
    </row>
    <row r="1562" customFormat="false" ht="15" hidden="false" customHeight="false" outlineLevel="0" collapsed="false">
      <c r="A1562" s="6" t="s">
        <v>1724</v>
      </c>
      <c r="B1562" s="6" t="n">
        <v>32</v>
      </c>
      <c r="C1562" s="6" t="s">
        <v>134</v>
      </c>
      <c r="D1562" s="6" t="s">
        <v>140</v>
      </c>
      <c r="E1562" s="6" t="s">
        <v>87</v>
      </c>
      <c r="F1562" s="6" t="s">
        <v>155</v>
      </c>
      <c r="G1562" s="6" t="n">
        <v>7</v>
      </c>
      <c r="H1562" s="6" t="s">
        <v>82</v>
      </c>
      <c r="I1562" s="6" t="s">
        <v>80</v>
      </c>
      <c r="J1562" s="6" t="s">
        <v>60</v>
      </c>
      <c r="K1562" s="6" t="n">
        <v>49323</v>
      </c>
      <c r="L1562" s="6" t="n">
        <v>60231</v>
      </c>
      <c r="M1562" s="6" t="s">
        <v>142</v>
      </c>
      <c r="N1562" s="6" t="n">
        <v>52</v>
      </c>
      <c r="O1562" s="6" t="s">
        <v>60</v>
      </c>
      <c r="P1562" s="6" t="n">
        <v>7</v>
      </c>
      <c r="Q1562" s="6" t="n">
        <v>30.14</v>
      </c>
      <c r="R1562" s="20" t="n">
        <f aca="false">(L1562-K1562)/K1562</f>
        <v>0.221154430995682</v>
      </c>
    </row>
    <row r="1563" customFormat="false" ht="15" hidden="false" customHeight="false" outlineLevel="0" collapsed="false">
      <c r="A1563" s="6" t="s">
        <v>1725</v>
      </c>
      <c r="B1563" s="6" t="n">
        <v>38</v>
      </c>
      <c r="C1563" s="6" t="s">
        <v>159</v>
      </c>
      <c r="D1563" s="6" t="s">
        <v>140</v>
      </c>
      <c r="E1563" s="6" t="s">
        <v>87</v>
      </c>
      <c r="F1563" s="6" t="s">
        <v>160</v>
      </c>
      <c r="G1563" s="6" t="n">
        <v>14</v>
      </c>
      <c r="H1563" s="6" t="s">
        <v>80</v>
      </c>
      <c r="I1563" s="6" t="s">
        <v>82</v>
      </c>
      <c r="J1563" s="6" t="s">
        <v>60</v>
      </c>
      <c r="K1563" s="6" t="n">
        <v>95408</v>
      </c>
      <c r="L1563" s="6" t="n">
        <v>99829</v>
      </c>
      <c r="M1563" s="6" t="s">
        <v>142</v>
      </c>
      <c r="N1563" s="6" t="n">
        <v>38</v>
      </c>
      <c r="O1563" s="6" t="s">
        <v>60</v>
      </c>
      <c r="P1563" s="6" t="n">
        <v>9</v>
      </c>
      <c r="Q1563" s="6" t="n">
        <v>20.79</v>
      </c>
      <c r="R1563" s="20" t="n">
        <f aca="false">(L1563-K1563)/K1563</f>
        <v>0.0463378333053832</v>
      </c>
    </row>
    <row r="1564" customFormat="false" ht="15" hidden="false" customHeight="false" outlineLevel="0" collapsed="false">
      <c r="A1564" s="6" t="s">
        <v>1726</v>
      </c>
      <c r="B1564" s="6" t="n">
        <v>49</v>
      </c>
      <c r="C1564" s="6" t="s">
        <v>134</v>
      </c>
      <c r="D1564" s="6" t="s">
        <v>144</v>
      </c>
      <c r="E1564" s="6" t="s">
        <v>87</v>
      </c>
      <c r="F1564" s="6" t="s">
        <v>149</v>
      </c>
      <c r="G1564" s="6" t="n">
        <v>24</v>
      </c>
      <c r="H1564" s="6" t="s">
        <v>81</v>
      </c>
      <c r="I1564" s="6" t="s">
        <v>82</v>
      </c>
      <c r="J1564" s="6" t="s">
        <v>58</v>
      </c>
      <c r="K1564" s="6" t="n">
        <v>89316</v>
      </c>
      <c r="L1564" s="6" t="n">
        <v>84815</v>
      </c>
      <c r="M1564" s="6" t="s">
        <v>142</v>
      </c>
      <c r="N1564" s="6" t="n">
        <v>47</v>
      </c>
      <c r="O1564" s="6" t="s">
        <v>58</v>
      </c>
      <c r="P1564" s="6" t="n">
        <v>6</v>
      </c>
      <c r="Q1564" s="6" t="n">
        <v>38.66</v>
      </c>
      <c r="R1564" s="20" t="n">
        <f aca="false">(L1564-K1564)/K1564</f>
        <v>-0.0503941063191366</v>
      </c>
    </row>
    <row r="1565" customFormat="false" ht="15" hidden="false" customHeight="false" outlineLevel="0" collapsed="false">
      <c r="A1565" s="6" t="s">
        <v>1727</v>
      </c>
      <c r="B1565" s="6" t="n">
        <v>53</v>
      </c>
      <c r="C1565" s="6" t="s">
        <v>159</v>
      </c>
      <c r="D1565" s="6" t="s">
        <v>140</v>
      </c>
      <c r="E1565" s="6" t="s">
        <v>88</v>
      </c>
      <c r="F1565" s="6" t="s">
        <v>179</v>
      </c>
      <c r="G1565" s="6" t="n">
        <v>27</v>
      </c>
      <c r="H1565" s="6" t="s">
        <v>81</v>
      </c>
      <c r="I1565" s="6" t="s">
        <v>80</v>
      </c>
      <c r="J1565" s="6" t="s">
        <v>58</v>
      </c>
      <c r="K1565" s="6" t="n">
        <v>31614</v>
      </c>
      <c r="L1565" s="6" t="n">
        <v>30831</v>
      </c>
      <c r="M1565" s="6" t="s">
        <v>142</v>
      </c>
      <c r="N1565" s="6" t="n">
        <v>49</v>
      </c>
      <c r="O1565" s="6" t="s">
        <v>58</v>
      </c>
      <c r="P1565" s="6" t="n">
        <v>4</v>
      </c>
      <c r="Q1565" s="6" t="n">
        <v>21.38</v>
      </c>
      <c r="R1565" s="20" t="n">
        <f aca="false">(L1565-K1565)/K1565</f>
        <v>-0.0247675080660467</v>
      </c>
    </row>
    <row r="1566" customFormat="false" ht="15" hidden="false" customHeight="false" outlineLevel="0" collapsed="false">
      <c r="A1566" s="6" t="s">
        <v>1728</v>
      </c>
      <c r="B1566" s="6" t="n">
        <v>27</v>
      </c>
      <c r="C1566" s="6" t="s">
        <v>139</v>
      </c>
      <c r="D1566" s="6" t="s">
        <v>144</v>
      </c>
      <c r="E1566" s="6" t="s">
        <v>89</v>
      </c>
      <c r="F1566" s="6" t="s">
        <v>153</v>
      </c>
      <c r="G1566" s="6" t="n">
        <v>5</v>
      </c>
      <c r="H1566" s="6" t="s">
        <v>82</v>
      </c>
      <c r="I1566" s="6" t="s">
        <v>82</v>
      </c>
      <c r="J1566" s="6" t="s">
        <v>60</v>
      </c>
      <c r="K1566" s="6" t="n">
        <v>79648</v>
      </c>
      <c r="L1566" s="6" t="n">
        <v>82944</v>
      </c>
      <c r="M1566" s="6" t="s">
        <v>146</v>
      </c>
      <c r="N1566" s="6" t="n">
        <v>39</v>
      </c>
      <c r="O1566" s="6" t="s">
        <v>60</v>
      </c>
      <c r="P1566" s="6" t="n">
        <v>9</v>
      </c>
      <c r="Q1566" s="6" t="n">
        <v>-10.3</v>
      </c>
      <c r="R1566" s="20" t="n">
        <f aca="false">(L1566-K1566)/K1566</f>
        <v>0.0413820811570912</v>
      </c>
    </row>
    <row r="1567" customFormat="false" ht="15" hidden="false" customHeight="false" outlineLevel="0" collapsed="false">
      <c r="A1567" s="6" t="s">
        <v>1729</v>
      </c>
      <c r="B1567" s="6" t="n">
        <v>54</v>
      </c>
      <c r="C1567" s="6" t="s">
        <v>134</v>
      </c>
      <c r="D1567" s="6" t="s">
        <v>148</v>
      </c>
      <c r="E1567" s="6" t="s">
        <v>87</v>
      </c>
      <c r="F1567" s="6" t="s">
        <v>149</v>
      </c>
      <c r="G1567" s="6" t="n">
        <v>32</v>
      </c>
      <c r="H1567" s="6" t="s">
        <v>82</v>
      </c>
      <c r="I1567" s="6" t="s">
        <v>80</v>
      </c>
      <c r="J1567" s="6" t="s">
        <v>58</v>
      </c>
      <c r="K1567" s="6" t="n">
        <v>52072</v>
      </c>
      <c r="L1567" s="6" t="n">
        <v>62260</v>
      </c>
      <c r="M1567" s="6" t="s">
        <v>142</v>
      </c>
      <c r="N1567" s="6" t="n">
        <v>48</v>
      </c>
      <c r="O1567" s="6" t="s">
        <v>58</v>
      </c>
      <c r="P1567" s="6" t="n">
        <v>5</v>
      </c>
      <c r="Q1567" s="6" t="n">
        <v>34.87</v>
      </c>
      <c r="R1567" s="20" t="n">
        <f aca="false">(L1567-K1567)/K1567</f>
        <v>0.195652173913044</v>
      </c>
    </row>
    <row r="1568" customFormat="false" ht="15" hidden="false" customHeight="false" outlineLevel="0" collapsed="false">
      <c r="A1568" s="6" t="s">
        <v>1730</v>
      </c>
      <c r="B1568" s="6" t="n">
        <v>27</v>
      </c>
      <c r="C1568" s="6" t="s">
        <v>159</v>
      </c>
      <c r="D1568" s="6" t="s">
        <v>140</v>
      </c>
      <c r="E1568" s="6" t="s">
        <v>93</v>
      </c>
      <c r="F1568" s="6" t="s">
        <v>197</v>
      </c>
      <c r="G1568" s="6" t="n">
        <v>3</v>
      </c>
      <c r="H1568" s="6" t="s">
        <v>81</v>
      </c>
      <c r="I1568" s="6" t="s">
        <v>80</v>
      </c>
      <c r="J1568" s="6" t="s">
        <v>58</v>
      </c>
      <c r="K1568" s="6" t="n">
        <v>34960</v>
      </c>
      <c r="L1568" s="6" t="n">
        <v>37742</v>
      </c>
      <c r="M1568" s="6" t="s">
        <v>142</v>
      </c>
      <c r="N1568" s="6" t="n">
        <v>44</v>
      </c>
      <c r="O1568" s="6" t="s">
        <v>60</v>
      </c>
      <c r="P1568" s="6" t="n">
        <v>5</v>
      </c>
      <c r="Q1568" s="6" t="n">
        <v>-2.45</v>
      </c>
      <c r="R1568" s="20" t="n">
        <f aca="false">(L1568-K1568)/K1568</f>
        <v>0.0795766590389016</v>
      </c>
    </row>
    <row r="1569" customFormat="false" ht="15" hidden="false" customHeight="false" outlineLevel="0" collapsed="false">
      <c r="A1569" s="6" t="s">
        <v>1731</v>
      </c>
      <c r="B1569" s="6" t="n">
        <v>40</v>
      </c>
      <c r="C1569" s="6" t="s">
        <v>159</v>
      </c>
      <c r="D1569" s="6" t="s">
        <v>140</v>
      </c>
      <c r="E1569" s="6" t="s">
        <v>89</v>
      </c>
      <c r="F1569" s="6" t="s">
        <v>153</v>
      </c>
      <c r="G1569" s="6" t="n">
        <v>16</v>
      </c>
      <c r="H1569" s="6" t="s">
        <v>80</v>
      </c>
      <c r="I1569" s="6" t="s">
        <v>82</v>
      </c>
      <c r="J1569" s="6" t="s">
        <v>60</v>
      </c>
      <c r="K1569" s="6" t="n">
        <v>47883</v>
      </c>
      <c r="L1569" s="6" t="n">
        <v>48972</v>
      </c>
      <c r="M1569" s="6" t="s">
        <v>142</v>
      </c>
      <c r="N1569" s="6" t="n">
        <v>44</v>
      </c>
      <c r="O1569" s="6" t="s">
        <v>60</v>
      </c>
      <c r="P1569" s="6" t="n">
        <v>5</v>
      </c>
      <c r="Q1569" s="6" t="n">
        <v>-1.67</v>
      </c>
      <c r="R1569" s="20" t="n">
        <f aca="false">(L1569-K1569)/K1569</f>
        <v>0.0227429359062715</v>
      </c>
    </row>
    <row r="1570" customFormat="false" ht="15" hidden="false" customHeight="false" outlineLevel="0" collapsed="false">
      <c r="A1570" s="6" t="s">
        <v>1732</v>
      </c>
      <c r="B1570" s="6" t="n">
        <v>55</v>
      </c>
      <c r="C1570" s="6" t="s">
        <v>134</v>
      </c>
      <c r="D1570" s="6" t="s">
        <v>144</v>
      </c>
      <c r="E1570" s="6" t="s">
        <v>89</v>
      </c>
      <c r="F1570" s="6" t="s">
        <v>151</v>
      </c>
      <c r="G1570" s="6" t="n">
        <v>30</v>
      </c>
      <c r="H1570" s="6" t="s">
        <v>82</v>
      </c>
      <c r="I1570" s="6" t="s">
        <v>81</v>
      </c>
      <c r="J1570" s="6" t="s">
        <v>60</v>
      </c>
      <c r="K1570" s="6" t="n">
        <v>85031</v>
      </c>
      <c r="L1570" s="6" t="n">
        <v>73868</v>
      </c>
      <c r="M1570" s="6" t="s">
        <v>146</v>
      </c>
      <c r="N1570" s="6" t="n">
        <v>41</v>
      </c>
      <c r="O1570" s="6" t="s">
        <v>60</v>
      </c>
      <c r="P1570" s="6" t="n">
        <v>4</v>
      </c>
      <c r="Q1570" s="6" t="n">
        <v>39.82</v>
      </c>
      <c r="R1570" s="20" t="n">
        <f aca="false">(L1570-K1570)/K1570</f>
        <v>-0.131281532617516</v>
      </c>
    </row>
    <row r="1571" customFormat="false" ht="15" hidden="false" customHeight="false" outlineLevel="0" collapsed="false">
      <c r="A1571" s="6" t="s">
        <v>1733</v>
      </c>
      <c r="B1571" s="6" t="n">
        <v>47</v>
      </c>
      <c r="C1571" s="6" t="s">
        <v>134</v>
      </c>
      <c r="D1571" s="6" t="s">
        <v>135</v>
      </c>
      <c r="E1571" s="6" t="s">
        <v>89</v>
      </c>
      <c r="F1571" s="6" t="s">
        <v>162</v>
      </c>
      <c r="G1571" s="6" t="n">
        <v>24</v>
      </c>
      <c r="H1571" s="6" t="s">
        <v>80</v>
      </c>
      <c r="I1571" s="6" t="s">
        <v>80</v>
      </c>
      <c r="J1571" s="6" t="s">
        <v>58</v>
      </c>
      <c r="K1571" s="6" t="n">
        <v>63525</v>
      </c>
      <c r="L1571" s="6" t="n">
        <v>65688</v>
      </c>
      <c r="M1571" s="6" t="s">
        <v>142</v>
      </c>
      <c r="N1571" s="6" t="n">
        <v>44</v>
      </c>
      <c r="O1571" s="6" t="s">
        <v>60</v>
      </c>
      <c r="P1571" s="6" t="n">
        <v>7</v>
      </c>
      <c r="Q1571" s="6" t="n">
        <v>-18.7</v>
      </c>
      <c r="R1571" s="20" t="n">
        <f aca="false">(L1571-K1571)/K1571</f>
        <v>0.0340495867768595</v>
      </c>
    </row>
    <row r="1572" customFormat="false" ht="15" hidden="false" customHeight="false" outlineLevel="0" collapsed="false">
      <c r="A1572" s="6" t="s">
        <v>1734</v>
      </c>
      <c r="B1572" s="6" t="n">
        <v>37</v>
      </c>
      <c r="C1572" s="6" t="s">
        <v>159</v>
      </c>
      <c r="D1572" s="6" t="s">
        <v>144</v>
      </c>
      <c r="E1572" s="6" t="s">
        <v>90</v>
      </c>
      <c r="F1572" s="6" t="s">
        <v>236</v>
      </c>
      <c r="G1572" s="6" t="n">
        <v>15</v>
      </c>
      <c r="H1572" s="6" t="s">
        <v>81</v>
      </c>
      <c r="I1572" s="6" t="s">
        <v>81</v>
      </c>
      <c r="J1572" s="6" t="s">
        <v>58</v>
      </c>
      <c r="K1572" s="6" t="n">
        <v>30908</v>
      </c>
      <c r="L1572" s="6" t="n">
        <v>33696</v>
      </c>
      <c r="M1572" s="6" t="s">
        <v>146</v>
      </c>
      <c r="N1572" s="6" t="n">
        <v>42</v>
      </c>
      <c r="O1572" s="6" t="s">
        <v>58</v>
      </c>
      <c r="P1572" s="6" t="n">
        <v>7</v>
      </c>
      <c r="Q1572" s="6" t="n">
        <v>39.08</v>
      </c>
      <c r="R1572" s="20" t="n">
        <f aca="false">(L1572-K1572)/K1572</f>
        <v>0.0902031836417756</v>
      </c>
    </row>
    <row r="1573" customFormat="false" ht="15" hidden="false" customHeight="false" outlineLevel="0" collapsed="false">
      <c r="A1573" s="6" t="s">
        <v>1735</v>
      </c>
      <c r="B1573" s="6" t="n">
        <v>43</v>
      </c>
      <c r="C1573" s="6" t="s">
        <v>134</v>
      </c>
      <c r="D1573" s="6" t="s">
        <v>135</v>
      </c>
      <c r="E1573" s="6" t="s">
        <v>88</v>
      </c>
      <c r="F1573" s="6" t="s">
        <v>179</v>
      </c>
      <c r="G1573" s="6" t="n">
        <v>20</v>
      </c>
      <c r="H1573" s="6" t="s">
        <v>82</v>
      </c>
      <c r="I1573" s="6" t="s">
        <v>80</v>
      </c>
      <c r="J1573" s="6" t="s">
        <v>60</v>
      </c>
      <c r="K1573" s="6" t="n">
        <v>79323</v>
      </c>
      <c r="L1573" s="6" t="n">
        <v>95051</v>
      </c>
      <c r="M1573" s="6" t="s">
        <v>142</v>
      </c>
      <c r="N1573" s="6" t="n">
        <v>38</v>
      </c>
      <c r="O1573" s="6" t="s">
        <v>60</v>
      </c>
      <c r="P1573" s="6" t="n">
        <v>4</v>
      </c>
      <c r="Q1573" s="6" t="n">
        <v>9.39</v>
      </c>
      <c r="R1573" s="20" t="n">
        <f aca="false">(L1573-K1573)/K1573</f>
        <v>0.198277926956873</v>
      </c>
    </row>
    <row r="1574" customFormat="false" ht="15" hidden="false" customHeight="false" outlineLevel="0" collapsed="false">
      <c r="A1574" s="6" t="s">
        <v>1736</v>
      </c>
      <c r="B1574" s="6" t="n">
        <v>55</v>
      </c>
      <c r="C1574" s="6" t="s">
        <v>134</v>
      </c>
      <c r="D1574" s="6" t="s">
        <v>144</v>
      </c>
      <c r="E1574" s="6" t="s">
        <v>89</v>
      </c>
      <c r="F1574" s="6" t="s">
        <v>153</v>
      </c>
      <c r="G1574" s="6" t="n">
        <v>32</v>
      </c>
      <c r="H1574" s="6" t="s">
        <v>80</v>
      </c>
      <c r="I1574" s="6" t="s">
        <v>80</v>
      </c>
      <c r="J1574" s="6" t="s">
        <v>58</v>
      </c>
      <c r="K1574" s="6" t="n">
        <v>96351</v>
      </c>
      <c r="L1574" s="6" t="n">
        <v>99440</v>
      </c>
      <c r="M1574" s="6" t="s">
        <v>142</v>
      </c>
      <c r="N1574" s="6" t="n">
        <v>48</v>
      </c>
      <c r="O1574" s="6" t="s">
        <v>60</v>
      </c>
      <c r="P1574" s="6" t="n">
        <v>9</v>
      </c>
      <c r="Q1574" s="6" t="n">
        <v>-17.55</v>
      </c>
      <c r="R1574" s="20" t="n">
        <f aca="false">(L1574-K1574)/K1574</f>
        <v>0.0320598644539237</v>
      </c>
    </row>
    <row r="1575" customFormat="false" ht="15" hidden="false" customHeight="false" outlineLevel="0" collapsed="false">
      <c r="A1575" s="6" t="s">
        <v>1737</v>
      </c>
      <c r="B1575" s="6" t="n">
        <v>36</v>
      </c>
      <c r="C1575" s="6" t="s">
        <v>159</v>
      </c>
      <c r="D1575" s="6" t="s">
        <v>140</v>
      </c>
      <c r="E1575" s="6" t="s">
        <v>92</v>
      </c>
      <c r="F1575" s="6" t="s">
        <v>222</v>
      </c>
      <c r="G1575" s="6" t="n">
        <v>14</v>
      </c>
      <c r="H1575" s="6" t="s">
        <v>81</v>
      </c>
      <c r="I1575" s="6" t="s">
        <v>82</v>
      </c>
      <c r="J1575" s="6" t="s">
        <v>60</v>
      </c>
      <c r="K1575" s="6" t="n">
        <v>87183</v>
      </c>
      <c r="L1575" s="6" t="n">
        <v>84437</v>
      </c>
      <c r="M1575" s="6" t="s">
        <v>142</v>
      </c>
      <c r="N1575" s="6" t="n">
        <v>37</v>
      </c>
      <c r="O1575" s="6" t="s">
        <v>58</v>
      </c>
      <c r="P1575" s="6" t="n">
        <v>9</v>
      </c>
      <c r="Q1575" s="6" t="n">
        <v>-6.79</v>
      </c>
      <c r="R1575" s="20" t="n">
        <f aca="false">(L1575-K1575)/K1575</f>
        <v>-0.031496966151658</v>
      </c>
    </row>
    <row r="1576" customFormat="false" ht="15" hidden="false" customHeight="false" outlineLevel="0" collapsed="false">
      <c r="A1576" s="6" t="s">
        <v>1738</v>
      </c>
      <c r="B1576" s="6" t="n">
        <v>36</v>
      </c>
      <c r="C1576" s="6" t="s">
        <v>159</v>
      </c>
      <c r="D1576" s="6" t="s">
        <v>148</v>
      </c>
      <c r="E1576" s="6" t="s">
        <v>91</v>
      </c>
      <c r="F1576" s="6" t="s">
        <v>208</v>
      </c>
      <c r="G1576" s="6" t="n">
        <v>10</v>
      </c>
      <c r="H1576" s="6" t="s">
        <v>80</v>
      </c>
      <c r="I1576" s="6" t="s">
        <v>81</v>
      </c>
      <c r="J1576" s="6" t="s">
        <v>58</v>
      </c>
      <c r="K1576" s="6" t="n">
        <v>94471</v>
      </c>
      <c r="L1576" s="6" t="n">
        <v>100728</v>
      </c>
      <c r="M1576" s="6" t="s">
        <v>146</v>
      </c>
      <c r="N1576" s="6" t="n">
        <v>50</v>
      </c>
      <c r="O1576" s="6" t="s">
        <v>60</v>
      </c>
      <c r="P1576" s="6" t="n">
        <v>9</v>
      </c>
      <c r="Q1576" s="6" t="n">
        <v>3.56</v>
      </c>
      <c r="R1576" s="20" t="n">
        <f aca="false">(L1576-K1576)/K1576</f>
        <v>0.0662319653650327</v>
      </c>
    </row>
    <row r="1577" customFormat="false" ht="15" hidden="false" customHeight="false" outlineLevel="0" collapsed="false">
      <c r="A1577" s="6" t="s">
        <v>1739</v>
      </c>
      <c r="B1577" s="6" t="n">
        <v>27</v>
      </c>
      <c r="C1577" s="6" t="s">
        <v>139</v>
      </c>
      <c r="D1577" s="6" t="s">
        <v>140</v>
      </c>
      <c r="E1577" s="6" t="s">
        <v>92</v>
      </c>
      <c r="F1577" s="6" t="s">
        <v>192</v>
      </c>
      <c r="G1577" s="6" t="n">
        <v>4</v>
      </c>
      <c r="H1577" s="6" t="s">
        <v>81</v>
      </c>
      <c r="I1577" s="6" t="s">
        <v>82</v>
      </c>
      <c r="J1577" s="6" t="s">
        <v>58</v>
      </c>
      <c r="K1577" s="6" t="n">
        <v>63387</v>
      </c>
      <c r="L1577" s="6" t="n">
        <v>57628</v>
      </c>
      <c r="M1577" s="6" t="s">
        <v>142</v>
      </c>
      <c r="N1577" s="6" t="n">
        <v>36</v>
      </c>
      <c r="O1577" s="6" t="s">
        <v>60</v>
      </c>
      <c r="P1577" s="6" t="n">
        <v>3</v>
      </c>
      <c r="Q1577" s="6" t="n">
        <v>-12.09</v>
      </c>
      <c r="R1577" s="20" t="n">
        <f aca="false">(L1577-K1577)/K1577</f>
        <v>-0.0908545916355089</v>
      </c>
    </row>
    <row r="1578" customFormat="false" ht="15" hidden="false" customHeight="false" outlineLevel="0" collapsed="false">
      <c r="A1578" s="6" t="s">
        <v>1740</v>
      </c>
      <c r="B1578" s="6" t="n">
        <v>48</v>
      </c>
      <c r="C1578" s="6" t="s">
        <v>139</v>
      </c>
      <c r="D1578" s="6" t="s">
        <v>135</v>
      </c>
      <c r="E1578" s="6" t="s">
        <v>92</v>
      </c>
      <c r="F1578" s="6" t="s">
        <v>192</v>
      </c>
      <c r="G1578" s="6" t="n">
        <v>22</v>
      </c>
      <c r="H1578" s="6" t="s">
        <v>81</v>
      </c>
      <c r="I1578" s="6" t="s">
        <v>81</v>
      </c>
      <c r="J1578" s="6" t="s">
        <v>58</v>
      </c>
      <c r="K1578" s="6" t="n">
        <v>102356</v>
      </c>
      <c r="L1578" s="6" t="n">
        <v>95402</v>
      </c>
      <c r="M1578" s="6" t="s">
        <v>146</v>
      </c>
      <c r="N1578" s="6" t="n">
        <v>41</v>
      </c>
      <c r="O1578" s="6" t="s">
        <v>60</v>
      </c>
      <c r="P1578" s="6" t="n">
        <v>4</v>
      </c>
      <c r="Q1578" s="6" t="n">
        <v>19.61</v>
      </c>
      <c r="R1578" s="20" t="n">
        <f aca="false">(L1578-K1578)/K1578</f>
        <v>-0.0679393489389972</v>
      </c>
    </row>
    <row r="1579" customFormat="false" ht="15" hidden="false" customHeight="false" outlineLevel="0" collapsed="false">
      <c r="A1579" s="6" t="s">
        <v>1741</v>
      </c>
      <c r="B1579" s="6" t="n">
        <v>33</v>
      </c>
      <c r="C1579" s="6" t="s">
        <v>134</v>
      </c>
      <c r="D1579" s="6" t="s">
        <v>140</v>
      </c>
      <c r="E1579" s="6" t="s">
        <v>92</v>
      </c>
      <c r="F1579" s="6" t="s">
        <v>222</v>
      </c>
      <c r="G1579" s="6" t="n">
        <v>11</v>
      </c>
      <c r="H1579" s="6" t="s">
        <v>82</v>
      </c>
      <c r="I1579" s="6" t="s">
        <v>80</v>
      </c>
      <c r="J1579" s="6" t="s">
        <v>58</v>
      </c>
      <c r="K1579" s="6" t="n">
        <v>55976</v>
      </c>
      <c r="L1579" s="6" t="n">
        <v>68475</v>
      </c>
      <c r="M1579" s="6" t="s">
        <v>142</v>
      </c>
      <c r="N1579" s="6" t="n">
        <v>47</v>
      </c>
      <c r="O1579" s="6" t="s">
        <v>58</v>
      </c>
      <c r="P1579" s="6" t="n">
        <v>4</v>
      </c>
      <c r="Q1579" s="6" t="n">
        <v>24.75</v>
      </c>
      <c r="R1579" s="20" t="n">
        <f aca="false">(L1579-K1579)/K1579</f>
        <v>0.223292125196513</v>
      </c>
    </row>
    <row r="1580" customFormat="false" ht="15" hidden="false" customHeight="false" outlineLevel="0" collapsed="false">
      <c r="A1580" s="6" t="s">
        <v>1742</v>
      </c>
      <c r="B1580" s="6" t="n">
        <v>56</v>
      </c>
      <c r="C1580" s="6" t="s">
        <v>159</v>
      </c>
      <c r="D1580" s="6" t="s">
        <v>140</v>
      </c>
      <c r="E1580" s="6" t="s">
        <v>93</v>
      </c>
      <c r="F1580" s="6" t="s">
        <v>181</v>
      </c>
      <c r="G1580" s="6" t="n">
        <v>34</v>
      </c>
      <c r="H1580" s="6" t="s">
        <v>80</v>
      </c>
      <c r="I1580" s="6" t="s">
        <v>81</v>
      </c>
      <c r="J1580" s="6" t="s">
        <v>58</v>
      </c>
      <c r="K1580" s="6" t="n">
        <v>94814</v>
      </c>
      <c r="L1580" s="6" t="n">
        <v>94757</v>
      </c>
      <c r="M1580" s="6" t="s">
        <v>146</v>
      </c>
      <c r="N1580" s="6" t="n">
        <v>47</v>
      </c>
      <c r="O1580" s="6" t="s">
        <v>58</v>
      </c>
      <c r="P1580" s="6" t="n">
        <v>8</v>
      </c>
      <c r="Q1580" s="6" t="n">
        <v>-11.71</v>
      </c>
      <c r="R1580" s="20" t="n">
        <f aca="false">(L1580-K1580)/K1580</f>
        <v>-0.000601177041365199</v>
      </c>
    </row>
    <row r="1581" customFormat="false" ht="15" hidden="false" customHeight="false" outlineLevel="0" collapsed="false">
      <c r="A1581" s="6" t="s">
        <v>1743</v>
      </c>
      <c r="B1581" s="6" t="n">
        <v>26</v>
      </c>
      <c r="C1581" s="6" t="s">
        <v>159</v>
      </c>
      <c r="D1581" s="6" t="s">
        <v>140</v>
      </c>
      <c r="E1581" s="6" t="s">
        <v>91</v>
      </c>
      <c r="F1581" s="6" t="s">
        <v>208</v>
      </c>
      <c r="G1581" s="6" t="n">
        <v>1</v>
      </c>
      <c r="H1581" s="6" t="s">
        <v>81</v>
      </c>
      <c r="I1581" s="6" t="s">
        <v>81</v>
      </c>
      <c r="J1581" s="6" t="s">
        <v>58</v>
      </c>
      <c r="K1581" s="6" t="n">
        <v>119439</v>
      </c>
      <c r="L1581" s="6" t="n">
        <v>108977</v>
      </c>
      <c r="M1581" s="6" t="s">
        <v>146</v>
      </c>
      <c r="N1581" s="6" t="n">
        <v>52</v>
      </c>
      <c r="O1581" s="6" t="s">
        <v>60</v>
      </c>
      <c r="P1581" s="6" t="n">
        <v>7</v>
      </c>
      <c r="Q1581" s="6" t="n">
        <v>2.73</v>
      </c>
      <c r="R1581" s="20" t="n">
        <f aca="false">(L1581-K1581)/K1581</f>
        <v>-0.0875928298127078</v>
      </c>
    </row>
    <row r="1582" customFormat="false" ht="15" hidden="false" customHeight="false" outlineLevel="0" collapsed="false">
      <c r="A1582" s="6" t="s">
        <v>1744</v>
      </c>
      <c r="B1582" s="6" t="n">
        <v>31</v>
      </c>
      <c r="C1582" s="6" t="s">
        <v>159</v>
      </c>
      <c r="D1582" s="6" t="s">
        <v>144</v>
      </c>
      <c r="E1582" s="6" t="s">
        <v>92</v>
      </c>
      <c r="F1582" s="6" t="s">
        <v>192</v>
      </c>
      <c r="G1582" s="6" t="n">
        <v>5</v>
      </c>
      <c r="H1582" s="6" t="s">
        <v>82</v>
      </c>
      <c r="I1582" s="6" t="s">
        <v>80</v>
      </c>
      <c r="J1582" s="6" t="s">
        <v>60</v>
      </c>
      <c r="K1582" s="6" t="n">
        <v>52488</v>
      </c>
      <c r="L1582" s="6" t="n">
        <v>56196</v>
      </c>
      <c r="M1582" s="6" t="s">
        <v>142</v>
      </c>
      <c r="N1582" s="6" t="n">
        <v>38</v>
      </c>
      <c r="O1582" s="6" t="s">
        <v>58</v>
      </c>
      <c r="P1582" s="6" t="n">
        <v>4</v>
      </c>
      <c r="Q1582" s="6" t="n">
        <v>34.65</v>
      </c>
      <c r="R1582" s="20" t="n">
        <f aca="false">(L1582-K1582)/K1582</f>
        <v>0.070644718792867</v>
      </c>
    </row>
    <row r="1583" customFormat="false" ht="15" hidden="false" customHeight="false" outlineLevel="0" collapsed="false">
      <c r="A1583" s="6" t="s">
        <v>1745</v>
      </c>
      <c r="B1583" s="6" t="n">
        <v>27</v>
      </c>
      <c r="C1583" s="6" t="s">
        <v>139</v>
      </c>
      <c r="D1583" s="6" t="s">
        <v>140</v>
      </c>
      <c r="E1583" s="6" t="s">
        <v>87</v>
      </c>
      <c r="F1583" s="6" t="s">
        <v>160</v>
      </c>
      <c r="G1583" s="6" t="n">
        <v>2</v>
      </c>
      <c r="H1583" s="6" t="s">
        <v>80</v>
      </c>
      <c r="I1583" s="6" t="s">
        <v>82</v>
      </c>
      <c r="J1583" s="6" t="s">
        <v>58</v>
      </c>
      <c r="K1583" s="6" t="n">
        <v>78478</v>
      </c>
      <c r="L1583" s="6" t="n">
        <v>78371</v>
      </c>
      <c r="M1583" s="6" t="s">
        <v>142</v>
      </c>
      <c r="N1583" s="6" t="n">
        <v>40</v>
      </c>
      <c r="O1583" s="6" t="s">
        <v>60</v>
      </c>
      <c r="P1583" s="6" t="n">
        <v>4</v>
      </c>
      <c r="Q1583" s="6" t="n">
        <v>22.97</v>
      </c>
      <c r="R1583" s="20" t="n">
        <f aca="false">(L1583-K1583)/K1583</f>
        <v>-0.00136343943525574</v>
      </c>
    </row>
    <row r="1584" customFormat="false" ht="15" hidden="false" customHeight="false" outlineLevel="0" collapsed="false">
      <c r="A1584" s="6" t="s">
        <v>1746</v>
      </c>
      <c r="B1584" s="6" t="n">
        <v>45</v>
      </c>
      <c r="C1584" s="6" t="s">
        <v>159</v>
      </c>
      <c r="D1584" s="6" t="s">
        <v>135</v>
      </c>
      <c r="E1584" s="6" t="s">
        <v>87</v>
      </c>
      <c r="F1584" s="6" t="s">
        <v>160</v>
      </c>
      <c r="G1584" s="6" t="n">
        <v>23</v>
      </c>
      <c r="H1584" s="6" t="s">
        <v>80</v>
      </c>
      <c r="I1584" s="6" t="s">
        <v>81</v>
      </c>
      <c r="J1584" s="6" t="s">
        <v>58</v>
      </c>
      <c r="K1584" s="6" t="n">
        <v>82800</v>
      </c>
      <c r="L1584" s="6" t="n">
        <v>84035</v>
      </c>
      <c r="M1584" s="6" t="s">
        <v>146</v>
      </c>
      <c r="N1584" s="6" t="n">
        <v>52</v>
      </c>
      <c r="O1584" s="6" t="s">
        <v>58</v>
      </c>
      <c r="P1584" s="6" t="n">
        <v>7</v>
      </c>
      <c r="Q1584" s="6" t="n">
        <v>9.58</v>
      </c>
      <c r="R1584" s="20" t="n">
        <f aca="false">(L1584-K1584)/K1584</f>
        <v>0.0149154589371981</v>
      </c>
    </row>
    <row r="1585" customFormat="false" ht="15" hidden="false" customHeight="false" outlineLevel="0" collapsed="false">
      <c r="A1585" s="6" t="s">
        <v>1747</v>
      </c>
      <c r="B1585" s="6" t="n">
        <v>33</v>
      </c>
      <c r="C1585" s="6" t="s">
        <v>134</v>
      </c>
      <c r="D1585" s="6" t="s">
        <v>135</v>
      </c>
      <c r="E1585" s="6" t="s">
        <v>91</v>
      </c>
      <c r="F1585" s="6" t="s">
        <v>141</v>
      </c>
      <c r="G1585" s="6" t="n">
        <v>9</v>
      </c>
      <c r="H1585" s="6" t="s">
        <v>82</v>
      </c>
      <c r="I1585" s="6" t="s">
        <v>82</v>
      </c>
      <c r="J1585" s="6" t="s">
        <v>60</v>
      </c>
      <c r="K1585" s="6" t="n">
        <v>83871</v>
      </c>
      <c r="L1585" s="6" t="n">
        <v>83496</v>
      </c>
      <c r="M1585" s="6" t="s">
        <v>137</v>
      </c>
      <c r="N1585" s="6" t="n">
        <v>46</v>
      </c>
      <c r="O1585" s="6" t="s">
        <v>58</v>
      </c>
      <c r="P1585" s="6" t="n">
        <v>5</v>
      </c>
      <c r="Q1585" s="6" t="n">
        <v>8.54</v>
      </c>
      <c r="R1585" s="20" t="n">
        <f aca="false">(L1585-K1585)/K1585</f>
        <v>-0.00447115212647995</v>
      </c>
    </row>
    <row r="1586" customFormat="false" ht="15" hidden="false" customHeight="false" outlineLevel="0" collapsed="false">
      <c r="A1586" s="6" t="s">
        <v>1748</v>
      </c>
      <c r="B1586" s="6" t="n">
        <v>29</v>
      </c>
      <c r="C1586" s="6" t="s">
        <v>134</v>
      </c>
      <c r="D1586" s="6" t="s">
        <v>148</v>
      </c>
      <c r="E1586" s="6" t="s">
        <v>87</v>
      </c>
      <c r="F1586" s="6" t="s">
        <v>149</v>
      </c>
      <c r="G1586" s="6" t="n">
        <v>4</v>
      </c>
      <c r="H1586" s="6" t="s">
        <v>82</v>
      </c>
      <c r="I1586" s="6" t="s">
        <v>80</v>
      </c>
      <c r="J1586" s="6" t="s">
        <v>60</v>
      </c>
      <c r="K1586" s="6" t="n">
        <v>37470</v>
      </c>
      <c r="L1586" s="6" t="n">
        <v>49965</v>
      </c>
      <c r="M1586" s="6" t="s">
        <v>142</v>
      </c>
      <c r="N1586" s="6" t="n">
        <v>51</v>
      </c>
      <c r="O1586" s="6" t="s">
        <v>58</v>
      </c>
      <c r="P1586" s="6" t="n">
        <v>9</v>
      </c>
      <c r="Q1586" s="6" t="n">
        <v>8.07</v>
      </c>
      <c r="R1586" s="20" t="n">
        <f aca="false">(L1586-K1586)/K1586</f>
        <v>0.333466773418735</v>
      </c>
    </row>
    <row r="1587" customFormat="false" ht="15" hidden="false" customHeight="false" outlineLevel="0" collapsed="false">
      <c r="A1587" s="6" t="s">
        <v>1749</v>
      </c>
      <c r="B1587" s="6" t="n">
        <v>53</v>
      </c>
      <c r="C1587" s="6" t="s">
        <v>134</v>
      </c>
      <c r="D1587" s="6" t="s">
        <v>144</v>
      </c>
      <c r="E1587" s="6" t="s">
        <v>93</v>
      </c>
      <c r="F1587" s="6" t="s">
        <v>197</v>
      </c>
      <c r="G1587" s="6" t="n">
        <v>31</v>
      </c>
      <c r="H1587" s="6" t="s">
        <v>80</v>
      </c>
      <c r="I1587" s="6" t="s">
        <v>80</v>
      </c>
      <c r="J1587" s="6" t="s">
        <v>58</v>
      </c>
      <c r="K1587" s="6" t="n">
        <v>34300</v>
      </c>
      <c r="L1587" s="6" t="n">
        <v>36285</v>
      </c>
      <c r="M1587" s="6" t="s">
        <v>142</v>
      </c>
      <c r="N1587" s="6" t="n">
        <v>54</v>
      </c>
      <c r="O1587" s="6" t="s">
        <v>58</v>
      </c>
      <c r="P1587" s="6" t="n">
        <v>3</v>
      </c>
      <c r="Q1587" s="6" t="n">
        <v>15.1</v>
      </c>
      <c r="R1587" s="20" t="n">
        <f aca="false">(L1587-K1587)/K1587</f>
        <v>0.0578717201166181</v>
      </c>
    </row>
    <row r="1588" customFormat="false" ht="15" hidden="false" customHeight="false" outlineLevel="0" collapsed="false">
      <c r="A1588" s="6" t="s">
        <v>1750</v>
      </c>
      <c r="B1588" s="6" t="n">
        <v>38</v>
      </c>
      <c r="C1588" s="6" t="s">
        <v>134</v>
      </c>
      <c r="D1588" s="6" t="s">
        <v>140</v>
      </c>
      <c r="E1588" s="6" t="s">
        <v>92</v>
      </c>
      <c r="F1588" s="6" t="s">
        <v>222</v>
      </c>
      <c r="G1588" s="6" t="n">
        <v>13</v>
      </c>
      <c r="H1588" s="6" t="s">
        <v>80</v>
      </c>
      <c r="I1588" s="6" t="s">
        <v>80</v>
      </c>
      <c r="J1588" s="6" t="s">
        <v>58</v>
      </c>
      <c r="K1588" s="6" t="n">
        <v>58804</v>
      </c>
      <c r="L1588" s="6" t="n">
        <v>61946</v>
      </c>
      <c r="M1588" s="6" t="s">
        <v>142</v>
      </c>
      <c r="N1588" s="6" t="n">
        <v>44</v>
      </c>
      <c r="O1588" s="6" t="s">
        <v>58</v>
      </c>
      <c r="P1588" s="6" t="n">
        <v>8</v>
      </c>
      <c r="Q1588" s="6" t="n">
        <v>20.75</v>
      </c>
      <c r="R1588" s="20" t="n">
        <f aca="false">(L1588-K1588)/K1588</f>
        <v>0.05343173933746</v>
      </c>
    </row>
    <row r="1589" customFormat="false" ht="15" hidden="false" customHeight="false" outlineLevel="0" collapsed="false">
      <c r="A1589" s="6" t="s">
        <v>1751</v>
      </c>
      <c r="B1589" s="6" t="n">
        <v>49</v>
      </c>
      <c r="C1589" s="6" t="s">
        <v>159</v>
      </c>
      <c r="D1589" s="6" t="s">
        <v>140</v>
      </c>
      <c r="E1589" s="6" t="s">
        <v>89</v>
      </c>
      <c r="F1589" s="6" t="s">
        <v>153</v>
      </c>
      <c r="G1589" s="6" t="n">
        <v>27</v>
      </c>
      <c r="H1589" s="6" t="s">
        <v>82</v>
      </c>
      <c r="I1589" s="6" t="s">
        <v>80</v>
      </c>
      <c r="J1589" s="6" t="s">
        <v>58</v>
      </c>
      <c r="K1589" s="6" t="n">
        <v>93146</v>
      </c>
      <c r="L1589" s="6" t="n">
        <v>111457</v>
      </c>
      <c r="M1589" s="6" t="s">
        <v>142</v>
      </c>
      <c r="N1589" s="6" t="n">
        <v>52</v>
      </c>
      <c r="O1589" s="6" t="s">
        <v>60</v>
      </c>
      <c r="P1589" s="6" t="n">
        <v>6</v>
      </c>
      <c r="Q1589" s="6" t="n">
        <v>-0.63</v>
      </c>
      <c r="R1589" s="20" t="n">
        <f aca="false">(L1589-K1589)/K1589</f>
        <v>0.196583857599897</v>
      </c>
    </row>
    <row r="1590" customFormat="false" ht="15" hidden="false" customHeight="false" outlineLevel="0" collapsed="false">
      <c r="A1590" s="6" t="s">
        <v>1752</v>
      </c>
      <c r="B1590" s="6" t="n">
        <v>31</v>
      </c>
      <c r="C1590" s="6" t="s">
        <v>159</v>
      </c>
      <c r="D1590" s="6" t="s">
        <v>140</v>
      </c>
      <c r="E1590" s="6" t="s">
        <v>89</v>
      </c>
      <c r="F1590" s="6" t="s">
        <v>162</v>
      </c>
      <c r="G1590" s="6" t="n">
        <v>8</v>
      </c>
      <c r="H1590" s="6" t="s">
        <v>82</v>
      </c>
      <c r="I1590" s="6" t="s">
        <v>82</v>
      </c>
      <c r="J1590" s="6" t="s">
        <v>60</v>
      </c>
      <c r="K1590" s="6" t="n">
        <v>32921</v>
      </c>
      <c r="L1590" s="6" t="n">
        <v>45331</v>
      </c>
      <c r="M1590" s="6" t="s">
        <v>146</v>
      </c>
      <c r="N1590" s="6" t="n">
        <v>40</v>
      </c>
      <c r="O1590" s="6" t="s">
        <v>60</v>
      </c>
      <c r="P1590" s="6" t="n">
        <v>5</v>
      </c>
      <c r="Q1590" s="6" t="n">
        <v>10.69</v>
      </c>
      <c r="R1590" s="20" t="n">
        <f aca="false">(L1590-K1590)/K1590</f>
        <v>0.376963032714681</v>
      </c>
    </row>
    <row r="1591" customFormat="false" ht="15" hidden="false" customHeight="false" outlineLevel="0" collapsed="false">
      <c r="A1591" s="6" t="s">
        <v>1753</v>
      </c>
      <c r="B1591" s="6" t="n">
        <v>52</v>
      </c>
      <c r="C1591" s="6" t="s">
        <v>134</v>
      </c>
      <c r="D1591" s="6" t="s">
        <v>148</v>
      </c>
      <c r="E1591" s="6" t="s">
        <v>91</v>
      </c>
      <c r="F1591" s="6" t="s">
        <v>206</v>
      </c>
      <c r="G1591" s="6" t="n">
        <v>30</v>
      </c>
      <c r="H1591" s="6" t="s">
        <v>80</v>
      </c>
      <c r="I1591" s="6" t="s">
        <v>81</v>
      </c>
      <c r="J1591" s="6" t="s">
        <v>58</v>
      </c>
      <c r="K1591" s="6" t="n">
        <v>88596</v>
      </c>
      <c r="L1591" s="6" t="n">
        <v>89604</v>
      </c>
      <c r="M1591" s="6" t="s">
        <v>146</v>
      </c>
      <c r="N1591" s="6" t="n">
        <v>51</v>
      </c>
      <c r="O1591" s="6" t="s">
        <v>58</v>
      </c>
      <c r="P1591" s="6" t="n">
        <v>4</v>
      </c>
      <c r="Q1591" s="6" t="n">
        <v>12.65</v>
      </c>
      <c r="R1591" s="20" t="n">
        <f aca="false">(L1591-K1591)/K1591</f>
        <v>0.0113774888256806</v>
      </c>
    </row>
    <row r="1592" customFormat="false" ht="15" hidden="false" customHeight="false" outlineLevel="0" collapsed="false">
      <c r="A1592" s="6" t="s">
        <v>1754</v>
      </c>
      <c r="B1592" s="6" t="n">
        <v>55</v>
      </c>
      <c r="C1592" s="6" t="s">
        <v>139</v>
      </c>
      <c r="D1592" s="6" t="s">
        <v>148</v>
      </c>
      <c r="E1592" s="6" t="s">
        <v>91</v>
      </c>
      <c r="F1592" s="6" t="s">
        <v>208</v>
      </c>
      <c r="G1592" s="6" t="n">
        <v>32</v>
      </c>
      <c r="H1592" s="6" t="s">
        <v>81</v>
      </c>
      <c r="I1592" s="6" t="s">
        <v>80</v>
      </c>
      <c r="J1592" s="6" t="s">
        <v>58</v>
      </c>
      <c r="K1592" s="6" t="n">
        <v>102467</v>
      </c>
      <c r="L1592" s="6" t="n">
        <v>107469</v>
      </c>
      <c r="M1592" s="6" t="s">
        <v>142</v>
      </c>
      <c r="N1592" s="6" t="n">
        <v>45</v>
      </c>
      <c r="O1592" s="6" t="s">
        <v>58</v>
      </c>
      <c r="P1592" s="6" t="n">
        <v>7</v>
      </c>
      <c r="Q1592" s="6" t="n">
        <v>-9.85</v>
      </c>
      <c r="R1592" s="20" t="n">
        <f aca="false">(L1592-K1592)/K1592</f>
        <v>0.0488157162793875</v>
      </c>
    </row>
    <row r="1593" customFormat="false" ht="15" hidden="false" customHeight="false" outlineLevel="0" collapsed="false">
      <c r="A1593" s="6" t="s">
        <v>1755</v>
      </c>
      <c r="B1593" s="6" t="n">
        <v>26</v>
      </c>
      <c r="C1593" s="6" t="s">
        <v>139</v>
      </c>
      <c r="D1593" s="6" t="s">
        <v>140</v>
      </c>
      <c r="E1593" s="6" t="s">
        <v>87</v>
      </c>
      <c r="F1593" s="6" t="s">
        <v>155</v>
      </c>
      <c r="G1593" s="6" t="n">
        <v>4</v>
      </c>
      <c r="H1593" s="6" t="s">
        <v>82</v>
      </c>
      <c r="I1593" s="6" t="s">
        <v>81</v>
      </c>
      <c r="J1593" s="6" t="s">
        <v>60</v>
      </c>
      <c r="K1593" s="6" t="n">
        <v>52320</v>
      </c>
      <c r="L1593" s="6" t="n">
        <v>49392</v>
      </c>
      <c r="M1593" s="6" t="s">
        <v>146</v>
      </c>
      <c r="N1593" s="6" t="n">
        <v>40</v>
      </c>
      <c r="O1593" s="6" t="s">
        <v>58</v>
      </c>
      <c r="P1593" s="6" t="n">
        <v>4</v>
      </c>
      <c r="Q1593" s="6" t="n">
        <v>13.42</v>
      </c>
      <c r="R1593" s="20" t="n">
        <f aca="false">(L1593-K1593)/K1593</f>
        <v>-0.0559633027522936</v>
      </c>
    </row>
    <row r="1594" customFormat="false" ht="15" hidden="false" customHeight="false" outlineLevel="0" collapsed="false">
      <c r="A1594" s="6" t="s">
        <v>1756</v>
      </c>
      <c r="B1594" s="6" t="n">
        <v>35</v>
      </c>
      <c r="C1594" s="6" t="s">
        <v>134</v>
      </c>
      <c r="D1594" s="6" t="s">
        <v>148</v>
      </c>
      <c r="E1594" s="6" t="s">
        <v>90</v>
      </c>
      <c r="F1594" s="6" t="s">
        <v>145</v>
      </c>
      <c r="G1594" s="6" t="n">
        <v>11</v>
      </c>
      <c r="H1594" s="6" t="s">
        <v>81</v>
      </c>
      <c r="I1594" s="6" t="s">
        <v>80</v>
      </c>
      <c r="J1594" s="6" t="s">
        <v>60</v>
      </c>
      <c r="K1594" s="6" t="n">
        <v>99837</v>
      </c>
      <c r="L1594" s="6" t="n">
        <v>100892</v>
      </c>
      <c r="M1594" s="6" t="s">
        <v>142</v>
      </c>
      <c r="N1594" s="6" t="n">
        <v>44</v>
      </c>
      <c r="O1594" s="6" t="s">
        <v>58</v>
      </c>
      <c r="P1594" s="6" t="n">
        <v>3</v>
      </c>
      <c r="Q1594" s="6" t="n">
        <v>37.6</v>
      </c>
      <c r="R1594" s="20" t="n">
        <f aca="false">(L1594-K1594)/K1594</f>
        <v>0.010567224576059</v>
      </c>
    </row>
    <row r="1595" customFormat="false" ht="15" hidden="false" customHeight="false" outlineLevel="0" collapsed="false">
      <c r="A1595" s="6" t="s">
        <v>1757</v>
      </c>
      <c r="B1595" s="6" t="n">
        <v>29</v>
      </c>
      <c r="C1595" s="6" t="s">
        <v>134</v>
      </c>
      <c r="D1595" s="6" t="s">
        <v>135</v>
      </c>
      <c r="E1595" s="6" t="s">
        <v>91</v>
      </c>
      <c r="F1595" s="6" t="s">
        <v>206</v>
      </c>
      <c r="G1595" s="6" t="n">
        <v>7</v>
      </c>
      <c r="H1595" s="6" t="s">
        <v>81</v>
      </c>
      <c r="I1595" s="6" t="s">
        <v>80</v>
      </c>
      <c r="J1595" s="6" t="s">
        <v>58</v>
      </c>
      <c r="K1595" s="6" t="n">
        <v>104092</v>
      </c>
      <c r="L1595" s="6" t="n">
        <v>102602</v>
      </c>
      <c r="M1595" s="6" t="s">
        <v>142</v>
      </c>
      <c r="N1595" s="6" t="n">
        <v>39</v>
      </c>
      <c r="O1595" s="6" t="s">
        <v>60</v>
      </c>
      <c r="P1595" s="6" t="n">
        <v>6</v>
      </c>
      <c r="Q1595" s="6" t="n">
        <v>-3.75</v>
      </c>
      <c r="R1595" s="20" t="n">
        <f aca="false">(L1595-K1595)/K1595</f>
        <v>-0.0143142604618991</v>
      </c>
    </row>
    <row r="1596" customFormat="false" ht="15" hidden="false" customHeight="false" outlineLevel="0" collapsed="false">
      <c r="A1596" s="6" t="s">
        <v>1758</v>
      </c>
      <c r="B1596" s="6" t="n">
        <v>38</v>
      </c>
      <c r="C1596" s="6" t="s">
        <v>134</v>
      </c>
      <c r="D1596" s="6" t="s">
        <v>148</v>
      </c>
      <c r="E1596" s="6" t="s">
        <v>90</v>
      </c>
      <c r="F1596" s="6" t="s">
        <v>202</v>
      </c>
      <c r="G1596" s="6" t="n">
        <v>12</v>
      </c>
      <c r="H1596" s="6" t="s">
        <v>80</v>
      </c>
      <c r="I1596" s="6" t="s">
        <v>81</v>
      </c>
      <c r="J1596" s="6" t="s">
        <v>58</v>
      </c>
      <c r="K1596" s="6" t="n">
        <v>76099</v>
      </c>
      <c r="L1596" s="6" t="n">
        <v>74575</v>
      </c>
      <c r="M1596" s="6" t="s">
        <v>146</v>
      </c>
      <c r="N1596" s="6" t="n">
        <v>53</v>
      </c>
      <c r="O1596" s="6" t="s">
        <v>58</v>
      </c>
      <c r="P1596" s="6" t="n">
        <v>7</v>
      </c>
      <c r="Q1596" s="6" t="n">
        <v>-6.09</v>
      </c>
      <c r="R1596" s="20" t="n">
        <f aca="false">(L1596-K1596)/K1596</f>
        <v>-0.020026544369834</v>
      </c>
    </row>
    <row r="1597" customFormat="false" ht="15" hidden="false" customHeight="false" outlineLevel="0" collapsed="false">
      <c r="A1597" s="6" t="s">
        <v>1759</v>
      </c>
      <c r="B1597" s="6" t="n">
        <v>24</v>
      </c>
      <c r="C1597" s="6" t="s">
        <v>134</v>
      </c>
      <c r="D1597" s="6" t="s">
        <v>144</v>
      </c>
      <c r="E1597" s="6" t="s">
        <v>90</v>
      </c>
      <c r="F1597" s="6" t="s">
        <v>145</v>
      </c>
      <c r="G1597" s="6" t="n">
        <v>2</v>
      </c>
      <c r="H1597" s="6" t="s">
        <v>80</v>
      </c>
      <c r="I1597" s="6" t="s">
        <v>82</v>
      </c>
      <c r="J1597" s="6" t="s">
        <v>60</v>
      </c>
      <c r="K1597" s="6" t="n">
        <v>105166</v>
      </c>
      <c r="L1597" s="6" t="n">
        <v>102546</v>
      </c>
      <c r="M1597" s="6" t="s">
        <v>142</v>
      </c>
      <c r="N1597" s="6" t="n">
        <v>36</v>
      </c>
      <c r="O1597" s="6" t="s">
        <v>60</v>
      </c>
      <c r="P1597" s="6" t="n">
        <v>3</v>
      </c>
      <c r="Q1597" s="6" t="n">
        <v>-9.13</v>
      </c>
      <c r="R1597" s="20" t="n">
        <f aca="false">(L1597-K1597)/K1597</f>
        <v>-0.0249129946941027</v>
      </c>
    </row>
    <row r="1598" customFormat="false" ht="15" hidden="false" customHeight="false" outlineLevel="0" collapsed="false">
      <c r="A1598" s="6" t="s">
        <v>1760</v>
      </c>
      <c r="B1598" s="6" t="n">
        <v>34</v>
      </c>
      <c r="C1598" s="6" t="s">
        <v>134</v>
      </c>
      <c r="D1598" s="6" t="s">
        <v>135</v>
      </c>
      <c r="E1598" s="6" t="s">
        <v>88</v>
      </c>
      <c r="F1598" s="6" t="s">
        <v>234</v>
      </c>
      <c r="G1598" s="6" t="n">
        <v>8</v>
      </c>
      <c r="H1598" s="6" t="s">
        <v>81</v>
      </c>
      <c r="I1598" s="6" t="s">
        <v>80</v>
      </c>
      <c r="J1598" s="6" t="s">
        <v>60</v>
      </c>
      <c r="K1598" s="6" t="n">
        <v>66776</v>
      </c>
      <c r="L1598" s="6" t="n">
        <v>79208</v>
      </c>
      <c r="M1598" s="6" t="s">
        <v>142</v>
      </c>
      <c r="N1598" s="6" t="n">
        <v>49</v>
      </c>
      <c r="O1598" s="6" t="s">
        <v>60</v>
      </c>
      <c r="P1598" s="6" t="n">
        <v>6</v>
      </c>
      <c r="Q1598" s="6" t="n">
        <v>28.85</v>
      </c>
      <c r="R1598" s="20" t="n">
        <f aca="false">(L1598-K1598)/K1598</f>
        <v>0.186174673535402</v>
      </c>
    </row>
    <row r="1599" customFormat="false" ht="15" hidden="false" customHeight="false" outlineLevel="0" collapsed="false">
      <c r="A1599" s="6" t="s">
        <v>1761</v>
      </c>
      <c r="B1599" s="6" t="n">
        <v>57</v>
      </c>
      <c r="C1599" s="6" t="s">
        <v>134</v>
      </c>
      <c r="D1599" s="6" t="s">
        <v>148</v>
      </c>
      <c r="E1599" s="6" t="s">
        <v>89</v>
      </c>
      <c r="F1599" s="6" t="s">
        <v>153</v>
      </c>
      <c r="G1599" s="6" t="n">
        <v>32</v>
      </c>
      <c r="H1599" s="6" t="s">
        <v>81</v>
      </c>
      <c r="I1599" s="6" t="s">
        <v>81</v>
      </c>
      <c r="J1599" s="6" t="s">
        <v>60</v>
      </c>
      <c r="K1599" s="6" t="n">
        <v>63289</v>
      </c>
      <c r="L1599" s="6" t="n">
        <v>72335</v>
      </c>
      <c r="M1599" s="6" t="s">
        <v>146</v>
      </c>
      <c r="N1599" s="6" t="n">
        <v>46</v>
      </c>
      <c r="O1599" s="6" t="s">
        <v>58</v>
      </c>
      <c r="P1599" s="6" t="n">
        <v>8</v>
      </c>
      <c r="Q1599" s="6" t="n">
        <v>30.23</v>
      </c>
      <c r="R1599" s="20" t="n">
        <f aca="false">(L1599-K1599)/K1599</f>
        <v>0.142931631089131</v>
      </c>
    </row>
    <row r="1600" customFormat="false" ht="15" hidden="false" customHeight="false" outlineLevel="0" collapsed="false">
      <c r="A1600" s="6" t="s">
        <v>1762</v>
      </c>
      <c r="B1600" s="6" t="n">
        <v>24</v>
      </c>
      <c r="C1600" s="6" t="s">
        <v>159</v>
      </c>
      <c r="D1600" s="6" t="s">
        <v>148</v>
      </c>
      <c r="E1600" s="6" t="s">
        <v>89</v>
      </c>
      <c r="F1600" s="6" t="s">
        <v>162</v>
      </c>
      <c r="G1600" s="6" t="n">
        <v>2</v>
      </c>
      <c r="H1600" s="6" t="s">
        <v>81</v>
      </c>
      <c r="I1600" s="6" t="s">
        <v>80</v>
      </c>
      <c r="J1600" s="6" t="s">
        <v>60</v>
      </c>
      <c r="K1600" s="6" t="n">
        <v>81550</v>
      </c>
      <c r="L1600" s="6" t="n">
        <v>94846</v>
      </c>
      <c r="M1600" s="6" t="s">
        <v>142</v>
      </c>
      <c r="N1600" s="6" t="n">
        <v>50</v>
      </c>
      <c r="O1600" s="6" t="s">
        <v>60</v>
      </c>
      <c r="P1600" s="6" t="n">
        <v>8</v>
      </c>
      <c r="Q1600" s="6" t="n">
        <v>-12.44</v>
      </c>
      <c r="R1600" s="20" t="n">
        <f aca="false">(L1600-K1600)/K1600</f>
        <v>0.163041079092581</v>
      </c>
    </row>
    <row r="1601" customFormat="false" ht="15" hidden="false" customHeight="false" outlineLevel="0" collapsed="false">
      <c r="A1601" s="6" t="s">
        <v>1763</v>
      </c>
      <c r="B1601" s="6" t="n">
        <v>24</v>
      </c>
      <c r="C1601" s="6" t="s">
        <v>139</v>
      </c>
      <c r="D1601" s="6" t="s">
        <v>140</v>
      </c>
      <c r="E1601" s="6" t="s">
        <v>90</v>
      </c>
      <c r="F1601" s="6" t="s">
        <v>202</v>
      </c>
      <c r="G1601" s="6" t="n">
        <v>2</v>
      </c>
      <c r="H1601" s="6" t="s">
        <v>82</v>
      </c>
      <c r="I1601" s="6" t="s">
        <v>82</v>
      </c>
      <c r="J1601" s="6" t="s">
        <v>58</v>
      </c>
      <c r="K1601" s="6" t="n">
        <v>48932</v>
      </c>
      <c r="L1601" s="6" t="n">
        <v>43900</v>
      </c>
      <c r="M1601" s="6" t="s">
        <v>146</v>
      </c>
      <c r="N1601" s="6" t="n">
        <v>53</v>
      </c>
      <c r="O1601" s="6" t="s">
        <v>60</v>
      </c>
      <c r="P1601" s="6" t="n">
        <v>5</v>
      </c>
      <c r="Q1601" s="6" t="n">
        <v>22.05</v>
      </c>
      <c r="R1601" s="20" t="n">
        <f aca="false">(L1601-K1601)/K1601</f>
        <v>-0.102836589552849</v>
      </c>
    </row>
    <row r="1602" customFormat="false" ht="15" hidden="false" customHeight="false" outlineLevel="0" collapsed="false">
      <c r="A1602" s="6" t="s">
        <v>1764</v>
      </c>
      <c r="B1602" s="6" t="n">
        <v>33</v>
      </c>
      <c r="C1602" s="6" t="s">
        <v>159</v>
      </c>
      <c r="D1602" s="6" t="s">
        <v>135</v>
      </c>
      <c r="E1602" s="6" t="s">
        <v>92</v>
      </c>
      <c r="F1602" s="6" t="s">
        <v>136</v>
      </c>
      <c r="G1602" s="6" t="n">
        <v>7</v>
      </c>
      <c r="H1602" s="6" t="s">
        <v>82</v>
      </c>
      <c r="I1602" s="6" t="s">
        <v>82</v>
      </c>
      <c r="J1602" s="6" t="s">
        <v>60</v>
      </c>
      <c r="K1602" s="6" t="n">
        <v>53016</v>
      </c>
      <c r="L1602" s="6" t="n">
        <v>67739</v>
      </c>
      <c r="M1602" s="6" t="s">
        <v>137</v>
      </c>
      <c r="N1602" s="6" t="n">
        <v>53</v>
      </c>
      <c r="O1602" s="6" t="s">
        <v>58</v>
      </c>
      <c r="P1602" s="6" t="n">
        <v>5</v>
      </c>
      <c r="Q1602" s="6" t="n">
        <v>-19.77</v>
      </c>
      <c r="R1602" s="20" t="n">
        <f aca="false">(L1602-K1602)/K1602</f>
        <v>0.277708616266787</v>
      </c>
    </row>
    <row r="1603" customFormat="false" ht="15" hidden="false" customHeight="false" outlineLevel="0" collapsed="false">
      <c r="A1603" s="6" t="s">
        <v>1765</v>
      </c>
      <c r="B1603" s="6" t="n">
        <v>59</v>
      </c>
      <c r="C1603" s="6" t="s">
        <v>134</v>
      </c>
      <c r="D1603" s="6" t="s">
        <v>135</v>
      </c>
      <c r="E1603" s="6" t="s">
        <v>88</v>
      </c>
      <c r="F1603" s="6" t="s">
        <v>157</v>
      </c>
      <c r="G1603" s="6" t="n">
        <v>35</v>
      </c>
      <c r="H1603" s="6" t="s">
        <v>80</v>
      </c>
      <c r="I1603" s="6" t="s">
        <v>81</v>
      </c>
      <c r="J1603" s="6" t="s">
        <v>58</v>
      </c>
      <c r="K1603" s="6" t="n">
        <v>94325</v>
      </c>
      <c r="L1603" s="6" t="n">
        <v>101586</v>
      </c>
      <c r="M1603" s="6" t="s">
        <v>146</v>
      </c>
      <c r="N1603" s="6" t="n">
        <v>44</v>
      </c>
      <c r="O1603" s="6" t="s">
        <v>60</v>
      </c>
      <c r="P1603" s="6" t="n">
        <v>5</v>
      </c>
      <c r="Q1603" s="6" t="n">
        <v>-12.35</v>
      </c>
      <c r="R1603" s="20" t="n">
        <f aca="false">(L1603-K1603)/K1603</f>
        <v>0.0769785316724092</v>
      </c>
    </row>
    <row r="1604" customFormat="false" ht="15" hidden="false" customHeight="false" outlineLevel="0" collapsed="false">
      <c r="A1604" s="6" t="s">
        <v>1766</v>
      </c>
      <c r="B1604" s="6" t="n">
        <v>25</v>
      </c>
      <c r="C1604" s="6" t="s">
        <v>159</v>
      </c>
      <c r="D1604" s="6" t="s">
        <v>135</v>
      </c>
      <c r="E1604" s="6" t="s">
        <v>91</v>
      </c>
      <c r="F1604" s="6" t="s">
        <v>141</v>
      </c>
      <c r="G1604" s="6" t="n">
        <v>3</v>
      </c>
      <c r="H1604" s="6" t="s">
        <v>81</v>
      </c>
      <c r="I1604" s="6" t="s">
        <v>82</v>
      </c>
      <c r="J1604" s="6" t="s">
        <v>60</v>
      </c>
      <c r="K1604" s="6" t="n">
        <v>40956</v>
      </c>
      <c r="L1604" s="6" t="n">
        <v>40133</v>
      </c>
      <c r="M1604" s="6" t="s">
        <v>142</v>
      </c>
      <c r="N1604" s="6" t="n">
        <v>53</v>
      </c>
      <c r="O1604" s="6" t="s">
        <v>60</v>
      </c>
      <c r="P1604" s="6" t="n">
        <v>5</v>
      </c>
      <c r="Q1604" s="6" t="n">
        <v>33.97</v>
      </c>
      <c r="R1604" s="20" t="n">
        <f aca="false">(L1604-K1604)/K1604</f>
        <v>-0.0200947358140443</v>
      </c>
    </row>
    <row r="1605" customFormat="false" ht="15" hidden="false" customHeight="false" outlineLevel="0" collapsed="false">
      <c r="A1605" s="6" t="s">
        <v>1767</v>
      </c>
      <c r="B1605" s="6" t="n">
        <v>33</v>
      </c>
      <c r="C1605" s="6" t="s">
        <v>139</v>
      </c>
      <c r="D1605" s="6" t="s">
        <v>144</v>
      </c>
      <c r="E1605" s="6" t="s">
        <v>90</v>
      </c>
      <c r="F1605" s="6" t="s">
        <v>236</v>
      </c>
      <c r="G1605" s="6" t="n">
        <v>9</v>
      </c>
      <c r="H1605" s="6" t="s">
        <v>80</v>
      </c>
      <c r="I1605" s="6" t="s">
        <v>81</v>
      </c>
      <c r="J1605" s="6" t="s">
        <v>60</v>
      </c>
      <c r="K1605" s="6" t="n">
        <v>86901</v>
      </c>
      <c r="L1605" s="6" t="n">
        <v>88400</v>
      </c>
      <c r="M1605" s="6" t="s">
        <v>146</v>
      </c>
      <c r="N1605" s="6" t="n">
        <v>44</v>
      </c>
      <c r="O1605" s="6" t="s">
        <v>60</v>
      </c>
      <c r="P1605" s="6" t="n">
        <v>5</v>
      </c>
      <c r="Q1605" s="6" t="n">
        <v>-4.63</v>
      </c>
      <c r="R1605" s="20" t="n">
        <f aca="false">(L1605-K1605)/K1605</f>
        <v>0.0172495138145706</v>
      </c>
    </row>
    <row r="1606" customFormat="false" ht="15" hidden="false" customHeight="false" outlineLevel="0" collapsed="false">
      <c r="A1606" s="6" t="s">
        <v>1768</v>
      </c>
      <c r="B1606" s="6" t="n">
        <v>24</v>
      </c>
      <c r="C1606" s="6" t="s">
        <v>134</v>
      </c>
      <c r="D1606" s="6" t="s">
        <v>148</v>
      </c>
      <c r="E1606" s="6" t="s">
        <v>93</v>
      </c>
      <c r="F1606" s="6" t="s">
        <v>197</v>
      </c>
      <c r="G1606" s="6" t="n">
        <v>0</v>
      </c>
      <c r="H1606" s="6" t="s">
        <v>80</v>
      </c>
      <c r="I1606" s="6" t="s">
        <v>81</v>
      </c>
      <c r="J1606" s="6" t="s">
        <v>60</v>
      </c>
      <c r="K1606" s="6" t="n">
        <v>101835</v>
      </c>
      <c r="L1606" s="6" t="n">
        <v>100157</v>
      </c>
      <c r="M1606" s="6" t="s">
        <v>146</v>
      </c>
      <c r="N1606" s="6" t="n">
        <v>45</v>
      </c>
      <c r="O1606" s="6" t="s">
        <v>58</v>
      </c>
      <c r="P1606" s="6" t="n">
        <v>8</v>
      </c>
      <c r="Q1606" s="6" t="n">
        <v>-16.66</v>
      </c>
      <c r="R1606" s="20" t="n">
        <f aca="false">(L1606-K1606)/K1606</f>
        <v>-0.0164776353905828</v>
      </c>
    </row>
    <row r="1607" customFormat="false" ht="15" hidden="false" customHeight="false" outlineLevel="0" collapsed="false">
      <c r="A1607" s="6" t="s">
        <v>1769</v>
      </c>
      <c r="B1607" s="6" t="n">
        <v>41</v>
      </c>
      <c r="C1607" s="6" t="s">
        <v>159</v>
      </c>
      <c r="D1607" s="6" t="s">
        <v>148</v>
      </c>
      <c r="E1607" s="6" t="s">
        <v>91</v>
      </c>
      <c r="F1607" s="6" t="s">
        <v>141</v>
      </c>
      <c r="G1607" s="6" t="n">
        <v>17</v>
      </c>
      <c r="H1607" s="6" t="s">
        <v>82</v>
      </c>
      <c r="I1607" s="6" t="s">
        <v>81</v>
      </c>
      <c r="J1607" s="6" t="s">
        <v>58</v>
      </c>
      <c r="K1607" s="6" t="n">
        <v>116879</v>
      </c>
      <c r="L1607" s="6" t="n">
        <v>128301</v>
      </c>
      <c r="M1607" s="6" t="s">
        <v>146</v>
      </c>
      <c r="N1607" s="6" t="n">
        <v>50</v>
      </c>
      <c r="O1607" s="6" t="s">
        <v>60</v>
      </c>
      <c r="P1607" s="6" t="n">
        <v>4</v>
      </c>
      <c r="Q1607" s="6" t="n">
        <v>21.4</v>
      </c>
      <c r="R1607" s="20" t="n">
        <f aca="false">(L1607-K1607)/K1607</f>
        <v>0.0977249976471394</v>
      </c>
    </row>
    <row r="1608" customFormat="false" ht="15" hidden="false" customHeight="false" outlineLevel="0" collapsed="false">
      <c r="A1608" s="6" t="s">
        <v>1770</v>
      </c>
      <c r="B1608" s="6" t="n">
        <v>34</v>
      </c>
      <c r="C1608" s="6" t="s">
        <v>139</v>
      </c>
      <c r="D1608" s="6" t="s">
        <v>144</v>
      </c>
      <c r="E1608" s="6" t="s">
        <v>87</v>
      </c>
      <c r="F1608" s="6" t="s">
        <v>149</v>
      </c>
      <c r="G1608" s="6" t="n">
        <v>10</v>
      </c>
      <c r="H1608" s="6" t="s">
        <v>82</v>
      </c>
      <c r="I1608" s="6" t="s">
        <v>81</v>
      </c>
      <c r="J1608" s="6" t="s">
        <v>58</v>
      </c>
      <c r="K1608" s="6" t="n">
        <v>69470</v>
      </c>
      <c r="L1608" s="6" t="n">
        <v>84917</v>
      </c>
      <c r="M1608" s="6" t="s">
        <v>146</v>
      </c>
      <c r="N1608" s="6" t="n">
        <v>52</v>
      </c>
      <c r="O1608" s="6" t="s">
        <v>60</v>
      </c>
      <c r="P1608" s="6" t="n">
        <v>9</v>
      </c>
      <c r="Q1608" s="6" t="n">
        <v>9.55</v>
      </c>
      <c r="R1608" s="20" t="n">
        <f aca="false">(L1608-K1608)/K1608</f>
        <v>0.2223549733698</v>
      </c>
    </row>
    <row r="1609" customFormat="false" ht="15" hidden="false" customHeight="false" outlineLevel="0" collapsed="false">
      <c r="A1609" s="6" t="s">
        <v>1771</v>
      </c>
      <c r="B1609" s="6" t="n">
        <v>58</v>
      </c>
      <c r="C1609" s="6" t="s">
        <v>159</v>
      </c>
      <c r="D1609" s="6" t="s">
        <v>144</v>
      </c>
      <c r="E1609" s="6" t="s">
        <v>87</v>
      </c>
      <c r="F1609" s="6" t="s">
        <v>160</v>
      </c>
      <c r="G1609" s="6" t="n">
        <v>32</v>
      </c>
      <c r="H1609" s="6" t="s">
        <v>81</v>
      </c>
      <c r="I1609" s="6" t="s">
        <v>80</v>
      </c>
      <c r="J1609" s="6" t="s">
        <v>60</v>
      </c>
      <c r="K1609" s="6" t="n">
        <v>61704</v>
      </c>
      <c r="L1609" s="6" t="n">
        <v>70946</v>
      </c>
      <c r="M1609" s="6" t="s">
        <v>142</v>
      </c>
      <c r="N1609" s="6" t="n">
        <v>49</v>
      </c>
      <c r="O1609" s="6" t="s">
        <v>58</v>
      </c>
      <c r="P1609" s="6" t="n">
        <v>6</v>
      </c>
      <c r="Q1609" s="6" t="n">
        <v>4.11</v>
      </c>
      <c r="R1609" s="20" t="n">
        <f aca="false">(L1609-K1609)/K1609</f>
        <v>0.149779592895112</v>
      </c>
    </row>
    <row r="1610" customFormat="false" ht="15" hidden="false" customHeight="false" outlineLevel="0" collapsed="false">
      <c r="A1610" s="6" t="s">
        <v>1772</v>
      </c>
      <c r="B1610" s="6" t="n">
        <v>50</v>
      </c>
      <c r="C1610" s="6" t="s">
        <v>159</v>
      </c>
      <c r="D1610" s="6" t="s">
        <v>135</v>
      </c>
      <c r="E1610" s="6" t="s">
        <v>91</v>
      </c>
      <c r="F1610" s="6" t="s">
        <v>208</v>
      </c>
      <c r="G1610" s="6" t="n">
        <v>26</v>
      </c>
      <c r="H1610" s="6" t="s">
        <v>81</v>
      </c>
      <c r="I1610" s="6" t="s">
        <v>81</v>
      </c>
      <c r="J1610" s="6" t="s">
        <v>58</v>
      </c>
      <c r="K1610" s="6" t="n">
        <v>102793</v>
      </c>
      <c r="L1610" s="6" t="n">
        <v>99982</v>
      </c>
      <c r="M1610" s="6" t="s">
        <v>146</v>
      </c>
      <c r="N1610" s="6" t="n">
        <v>42</v>
      </c>
      <c r="O1610" s="6" t="s">
        <v>60</v>
      </c>
      <c r="P1610" s="6" t="n">
        <v>8</v>
      </c>
      <c r="Q1610" s="6" t="n">
        <v>-9.86</v>
      </c>
      <c r="R1610" s="20" t="n">
        <f aca="false">(L1610-K1610)/K1610</f>
        <v>-0.0273462200733513</v>
      </c>
    </row>
    <row r="1611" customFormat="false" ht="15" hidden="false" customHeight="false" outlineLevel="0" collapsed="false">
      <c r="A1611" s="6" t="s">
        <v>1773</v>
      </c>
      <c r="B1611" s="6" t="n">
        <v>44</v>
      </c>
      <c r="C1611" s="6" t="s">
        <v>134</v>
      </c>
      <c r="D1611" s="6" t="s">
        <v>144</v>
      </c>
      <c r="E1611" s="6" t="s">
        <v>89</v>
      </c>
      <c r="F1611" s="6" t="s">
        <v>162</v>
      </c>
      <c r="G1611" s="6" t="n">
        <v>18</v>
      </c>
      <c r="H1611" s="6" t="s">
        <v>80</v>
      </c>
      <c r="I1611" s="6" t="s">
        <v>80</v>
      </c>
      <c r="J1611" s="6" t="s">
        <v>58</v>
      </c>
      <c r="K1611" s="6" t="n">
        <v>41278</v>
      </c>
      <c r="L1611" s="6" t="n">
        <v>41905</v>
      </c>
      <c r="M1611" s="6" t="s">
        <v>142</v>
      </c>
      <c r="N1611" s="6" t="n">
        <v>50</v>
      </c>
      <c r="O1611" s="6" t="s">
        <v>58</v>
      </c>
      <c r="P1611" s="6" t="n">
        <v>3</v>
      </c>
      <c r="Q1611" s="6" t="n">
        <v>-0.15</v>
      </c>
      <c r="R1611" s="20" t="n">
        <f aca="false">(L1611-K1611)/K1611</f>
        <v>0.0151896894229372</v>
      </c>
    </row>
    <row r="1612" customFormat="false" ht="15" hidden="false" customHeight="false" outlineLevel="0" collapsed="false">
      <c r="A1612" s="6" t="s">
        <v>1774</v>
      </c>
      <c r="B1612" s="6" t="n">
        <v>40</v>
      </c>
      <c r="C1612" s="6" t="s">
        <v>159</v>
      </c>
      <c r="D1612" s="6" t="s">
        <v>135</v>
      </c>
      <c r="E1612" s="6" t="s">
        <v>90</v>
      </c>
      <c r="F1612" s="6" t="s">
        <v>236</v>
      </c>
      <c r="G1612" s="6" t="n">
        <v>16</v>
      </c>
      <c r="H1612" s="6" t="s">
        <v>82</v>
      </c>
      <c r="I1612" s="6" t="s">
        <v>81</v>
      </c>
      <c r="J1612" s="6" t="s">
        <v>60</v>
      </c>
      <c r="K1612" s="6" t="n">
        <v>52191</v>
      </c>
      <c r="L1612" s="6" t="n">
        <v>50525</v>
      </c>
      <c r="M1612" s="6" t="s">
        <v>146</v>
      </c>
      <c r="N1612" s="6" t="n">
        <v>48</v>
      </c>
      <c r="O1612" s="6" t="s">
        <v>60</v>
      </c>
      <c r="P1612" s="6" t="n">
        <v>4</v>
      </c>
      <c r="Q1612" s="6" t="n">
        <v>-11.24</v>
      </c>
      <c r="R1612" s="20" t="n">
        <f aca="false">(L1612-K1612)/K1612</f>
        <v>-0.0319212124695829</v>
      </c>
    </row>
    <row r="1613" customFormat="false" ht="15" hidden="false" customHeight="false" outlineLevel="0" collapsed="false">
      <c r="A1613" s="6" t="s">
        <v>1775</v>
      </c>
      <c r="B1613" s="6" t="n">
        <v>47</v>
      </c>
      <c r="C1613" s="6" t="s">
        <v>139</v>
      </c>
      <c r="D1613" s="6" t="s">
        <v>140</v>
      </c>
      <c r="E1613" s="6" t="s">
        <v>93</v>
      </c>
      <c r="F1613" s="6" t="s">
        <v>164</v>
      </c>
      <c r="G1613" s="6" t="n">
        <v>21</v>
      </c>
      <c r="H1613" s="6" t="s">
        <v>82</v>
      </c>
      <c r="I1613" s="6" t="s">
        <v>82</v>
      </c>
      <c r="J1613" s="6" t="s">
        <v>58</v>
      </c>
      <c r="K1613" s="6" t="n">
        <v>100022</v>
      </c>
      <c r="L1613" s="6" t="n">
        <v>119848</v>
      </c>
      <c r="M1613" s="6" t="s">
        <v>146</v>
      </c>
      <c r="N1613" s="6" t="n">
        <v>39</v>
      </c>
      <c r="O1613" s="6" t="s">
        <v>58</v>
      </c>
      <c r="P1613" s="6" t="n">
        <v>3</v>
      </c>
      <c r="Q1613" s="6" t="n">
        <v>2.87</v>
      </c>
      <c r="R1613" s="20" t="n">
        <f aca="false">(L1613-K1613)/K1613</f>
        <v>0.198216392393673</v>
      </c>
    </row>
    <row r="1614" customFormat="false" ht="15" hidden="false" customHeight="false" outlineLevel="0" collapsed="false">
      <c r="A1614" s="6" t="s">
        <v>1776</v>
      </c>
      <c r="B1614" s="6" t="n">
        <v>25</v>
      </c>
      <c r="C1614" s="6" t="s">
        <v>159</v>
      </c>
      <c r="D1614" s="6" t="s">
        <v>140</v>
      </c>
      <c r="E1614" s="6" t="s">
        <v>90</v>
      </c>
      <c r="F1614" s="6" t="s">
        <v>236</v>
      </c>
      <c r="G1614" s="6" t="n">
        <v>0</v>
      </c>
      <c r="H1614" s="6" t="s">
        <v>82</v>
      </c>
      <c r="I1614" s="6" t="s">
        <v>82</v>
      </c>
      <c r="J1614" s="6" t="s">
        <v>60</v>
      </c>
      <c r="K1614" s="6" t="n">
        <v>111455</v>
      </c>
      <c r="L1614" s="6" t="n">
        <v>125354</v>
      </c>
      <c r="M1614" s="6" t="s">
        <v>137</v>
      </c>
      <c r="N1614" s="6" t="n">
        <v>40</v>
      </c>
      <c r="O1614" s="6" t="s">
        <v>60</v>
      </c>
      <c r="P1614" s="6" t="n">
        <v>7</v>
      </c>
      <c r="Q1614" s="6" t="n">
        <v>-18.58</v>
      </c>
      <c r="R1614" s="20" t="n">
        <f aca="false">(L1614-K1614)/K1614</f>
        <v>0.124705037907676</v>
      </c>
    </row>
    <row r="1615" customFormat="false" ht="15" hidden="false" customHeight="false" outlineLevel="0" collapsed="false">
      <c r="A1615" s="6" t="s">
        <v>1777</v>
      </c>
      <c r="B1615" s="6" t="n">
        <v>57</v>
      </c>
      <c r="C1615" s="6" t="s">
        <v>139</v>
      </c>
      <c r="D1615" s="6" t="s">
        <v>144</v>
      </c>
      <c r="E1615" s="6" t="s">
        <v>90</v>
      </c>
      <c r="F1615" s="6" t="s">
        <v>202</v>
      </c>
      <c r="G1615" s="6" t="n">
        <v>31</v>
      </c>
      <c r="H1615" s="6" t="s">
        <v>80</v>
      </c>
      <c r="I1615" s="6" t="s">
        <v>81</v>
      </c>
      <c r="J1615" s="6" t="s">
        <v>58</v>
      </c>
      <c r="K1615" s="6" t="n">
        <v>95263</v>
      </c>
      <c r="L1615" s="6" t="n">
        <v>102157</v>
      </c>
      <c r="M1615" s="6" t="s">
        <v>146</v>
      </c>
      <c r="N1615" s="6" t="n">
        <v>43</v>
      </c>
      <c r="O1615" s="6" t="s">
        <v>58</v>
      </c>
      <c r="P1615" s="6" t="n">
        <v>6</v>
      </c>
      <c r="Q1615" s="6" t="n">
        <v>36.09</v>
      </c>
      <c r="R1615" s="20" t="n">
        <f aca="false">(L1615-K1615)/K1615</f>
        <v>0.0723680757481919</v>
      </c>
    </row>
    <row r="1616" customFormat="false" ht="15" hidden="false" customHeight="false" outlineLevel="0" collapsed="false">
      <c r="A1616" s="6" t="s">
        <v>1778</v>
      </c>
      <c r="B1616" s="6" t="n">
        <v>50</v>
      </c>
      <c r="C1616" s="6" t="s">
        <v>134</v>
      </c>
      <c r="D1616" s="6" t="s">
        <v>144</v>
      </c>
      <c r="E1616" s="6" t="s">
        <v>89</v>
      </c>
      <c r="F1616" s="6" t="s">
        <v>162</v>
      </c>
      <c r="G1616" s="6" t="n">
        <v>25</v>
      </c>
      <c r="H1616" s="6" t="s">
        <v>81</v>
      </c>
      <c r="I1616" s="6" t="s">
        <v>82</v>
      </c>
      <c r="J1616" s="6" t="s">
        <v>60</v>
      </c>
      <c r="K1616" s="6" t="n">
        <v>77147</v>
      </c>
      <c r="L1616" s="6" t="n">
        <v>80248</v>
      </c>
      <c r="M1616" s="6" t="s">
        <v>142</v>
      </c>
      <c r="N1616" s="6" t="n">
        <v>52</v>
      </c>
      <c r="O1616" s="6" t="s">
        <v>58</v>
      </c>
      <c r="P1616" s="6" t="n">
        <v>7</v>
      </c>
      <c r="Q1616" s="6" t="n">
        <v>17.59</v>
      </c>
      <c r="R1616" s="20" t="n">
        <f aca="false">(L1616-K1616)/K1616</f>
        <v>0.0401959894746393</v>
      </c>
    </row>
    <row r="1617" customFormat="false" ht="15" hidden="false" customHeight="false" outlineLevel="0" collapsed="false">
      <c r="A1617" s="6" t="s">
        <v>1779</v>
      </c>
      <c r="B1617" s="6" t="n">
        <v>34</v>
      </c>
      <c r="C1617" s="6" t="s">
        <v>134</v>
      </c>
      <c r="D1617" s="6" t="s">
        <v>140</v>
      </c>
      <c r="E1617" s="6" t="s">
        <v>92</v>
      </c>
      <c r="F1617" s="6" t="s">
        <v>222</v>
      </c>
      <c r="G1617" s="6" t="n">
        <v>11</v>
      </c>
      <c r="H1617" s="6" t="s">
        <v>80</v>
      </c>
      <c r="I1617" s="6" t="s">
        <v>81</v>
      </c>
      <c r="J1617" s="6" t="s">
        <v>60</v>
      </c>
      <c r="K1617" s="6" t="n">
        <v>91344</v>
      </c>
      <c r="L1617" s="6" t="n">
        <v>94519</v>
      </c>
      <c r="M1617" s="6" t="s">
        <v>146</v>
      </c>
      <c r="N1617" s="6" t="n">
        <v>39</v>
      </c>
      <c r="O1617" s="6" t="s">
        <v>58</v>
      </c>
      <c r="P1617" s="6" t="n">
        <v>7</v>
      </c>
      <c r="Q1617" s="6" t="n">
        <v>36.92</v>
      </c>
      <c r="R1617" s="20" t="n">
        <f aca="false">(L1617-K1617)/K1617</f>
        <v>0.0347587143107374</v>
      </c>
    </row>
    <row r="1618" customFormat="false" ht="15" hidden="false" customHeight="false" outlineLevel="0" collapsed="false">
      <c r="A1618" s="6" t="s">
        <v>1780</v>
      </c>
      <c r="B1618" s="6" t="n">
        <v>27</v>
      </c>
      <c r="C1618" s="6" t="s">
        <v>139</v>
      </c>
      <c r="D1618" s="6" t="s">
        <v>140</v>
      </c>
      <c r="E1618" s="6" t="s">
        <v>87</v>
      </c>
      <c r="F1618" s="6" t="s">
        <v>160</v>
      </c>
      <c r="G1618" s="6" t="n">
        <v>3</v>
      </c>
      <c r="H1618" s="6" t="s">
        <v>82</v>
      </c>
      <c r="I1618" s="6" t="s">
        <v>81</v>
      </c>
      <c r="J1618" s="6" t="s">
        <v>60</v>
      </c>
      <c r="K1618" s="6" t="n">
        <v>63071</v>
      </c>
      <c r="L1618" s="6" t="n">
        <v>53805</v>
      </c>
      <c r="M1618" s="6" t="s">
        <v>146</v>
      </c>
      <c r="N1618" s="6" t="n">
        <v>35</v>
      </c>
      <c r="O1618" s="6" t="s">
        <v>58</v>
      </c>
      <c r="P1618" s="6" t="n">
        <v>9</v>
      </c>
      <c r="Q1618" s="6" t="n">
        <v>-18.42</v>
      </c>
      <c r="R1618" s="20" t="n">
        <f aca="false">(L1618-K1618)/K1618</f>
        <v>-0.14691379556373</v>
      </c>
    </row>
    <row r="1619" customFormat="false" ht="15" hidden="false" customHeight="false" outlineLevel="0" collapsed="false">
      <c r="A1619" s="6" t="s">
        <v>1781</v>
      </c>
      <c r="B1619" s="6" t="n">
        <v>42</v>
      </c>
      <c r="C1619" s="6" t="s">
        <v>159</v>
      </c>
      <c r="D1619" s="6" t="s">
        <v>144</v>
      </c>
      <c r="E1619" s="6" t="s">
        <v>92</v>
      </c>
      <c r="F1619" s="6" t="s">
        <v>136</v>
      </c>
      <c r="G1619" s="6" t="n">
        <v>18</v>
      </c>
      <c r="H1619" s="6" t="s">
        <v>82</v>
      </c>
      <c r="I1619" s="6" t="s">
        <v>81</v>
      </c>
      <c r="J1619" s="6" t="s">
        <v>60</v>
      </c>
      <c r="K1619" s="6" t="n">
        <v>106762</v>
      </c>
      <c r="L1619" s="6" t="n">
        <v>117769</v>
      </c>
      <c r="M1619" s="6" t="s">
        <v>146</v>
      </c>
      <c r="N1619" s="6" t="n">
        <v>36</v>
      </c>
      <c r="O1619" s="6" t="s">
        <v>58</v>
      </c>
      <c r="P1619" s="6" t="n">
        <v>6</v>
      </c>
      <c r="Q1619" s="6" t="n">
        <v>24.88</v>
      </c>
      <c r="R1619" s="20" t="n">
        <f aca="false">(L1619-K1619)/K1619</f>
        <v>0.103098480732845</v>
      </c>
    </row>
    <row r="1620" customFormat="false" ht="15" hidden="false" customHeight="false" outlineLevel="0" collapsed="false">
      <c r="A1620" s="6" t="s">
        <v>1782</v>
      </c>
      <c r="B1620" s="6" t="n">
        <v>43</v>
      </c>
      <c r="C1620" s="6" t="s">
        <v>139</v>
      </c>
      <c r="D1620" s="6" t="s">
        <v>144</v>
      </c>
      <c r="E1620" s="6" t="s">
        <v>92</v>
      </c>
      <c r="F1620" s="6" t="s">
        <v>222</v>
      </c>
      <c r="G1620" s="6" t="n">
        <v>21</v>
      </c>
      <c r="H1620" s="6" t="s">
        <v>82</v>
      </c>
      <c r="I1620" s="6" t="s">
        <v>82</v>
      </c>
      <c r="J1620" s="6" t="s">
        <v>58</v>
      </c>
      <c r="K1620" s="6" t="n">
        <v>60314</v>
      </c>
      <c r="L1620" s="6" t="n">
        <v>57975</v>
      </c>
      <c r="M1620" s="6" t="s">
        <v>137</v>
      </c>
      <c r="N1620" s="6" t="n">
        <v>45</v>
      </c>
      <c r="O1620" s="6" t="s">
        <v>58</v>
      </c>
      <c r="P1620" s="6" t="n">
        <v>3</v>
      </c>
      <c r="Q1620" s="6" t="n">
        <v>0.86</v>
      </c>
      <c r="R1620" s="20" t="n">
        <f aca="false">(L1620-K1620)/K1620</f>
        <v>-0.0387803826640581</v>
      </c>
    </row>
    <row r="1621" customFormat="false" ht="15" hidden="false" customHeight="false" outlineLevel="0" collapsed="false">
      <c r="A1621" s="6" t="s">
        <v>1783</v>
      </c>
      <c r="B1621" s="6" t="n">
        <v>46</v>
      </c>
      <c r="C1621" s="6" t="s">
        <v>159</v>
      </c>
      <c r="D1621" s="6" t="s">
        <v>135</v>
      </c>
      <c r="E1621" s="6" t="s">
        <v>90</v>
      </c>
      <c r="F1621" s="6" t="s">
        <v>202</v>
      </c>
      <c r="G1621" s="6" t="n">
        <v>23</v>
      </c>
      <c r="H1621" s="6" t="s">
        <v>80</v>
      </c>
      <c r="I1621" s="6" t="s">
        <v>82</v>
      </c>
      <c r="J1621" s="6" t="s">
        <v>58</v>
      </c>
      <c r="K1621" s="6" t="n">
        <v>104420</v>
      </c>
      <c r="L1621" s="6" t="n">
        <v>106921</v>
      </c>
      <c r="M1621" s="6" t="s">
        <v>142</v>
      </c>
      <c r="N1621" s="6" t="n">
        <v>42</v>
      </c>
      <c r="O1621" s="6" t="s">
        <v>60</v>
      </c>
      <c r="P1621" s="6" t="n">
        <v>5</v>
      </c>
      <c r="Q1621" s="6" t="n">
        <v>27.15</v>
      </c>
      <c r="R1621" s="20" t="n">
        <f aca="false">(L1621-K1621)/K1621</f>
        <v>0.0239513503160314</v>
      </c>
    </row>
    <row r="1622" customFormat="false" ht="15" hidden="false" customHeight="false" outlineLevel="0" collapsed="false">
      <c r="A1622" s="6" t="s">
        <v>1784</v>
      </c>
      <c r="B1622" s="6" t="n">
        <v>48</v>
      </c>
      <c r="C1622" s="6" t="s">
        <v>134</v>
      </c>
      <c r="D1622" s="6" t="s">
        <v>144</v>
      </c>
      <c r="E1622" s="6" t="s">
        <v>90</v>
      </c>
      <c r="F1622" s="6" t="s">
        <v>145</v>
      </c>
      <c r="G1622" s="6" t="n">
        <v>23</v>
      </c>
      <c r="H1622" s="6" t="s">
        <v>80</v>
      </c>
      <c r="I1622" s="6" t="s">
        <v>82</v>
      </c>
      <c r="J1622" s="6" t="s">
        <v>60</v>
      </c>
      <c r="K1622" s="6" t="n">
        <v>52161</v>
      </c>
      <c r="L1622" s="6" t="n">
        <v>54374</v>
      </c>
      <c r="M1622" s="6" t="s">
        <v>142</v>
      </c>
      <c r="N1622" s="6" t="n">
        <v>39</v>
      </c>
      <c r="O1622" s="6" t="s">
        <v>58</v>
      </c>
      <c r="P1622" s="6" t="n">
        <v>4</v>
      </c>
      <c r="Q1622" s="6" t="n">
        <v>9.93</v>
      </c>
      <c r="R1622" s="20" t="n">
        <f aca="false">(L1622-K1622)/K1622</f>
        <v>0.0424263338509614</v>
      </c>
    </row>
    <row r="1623" customFormat="false" ht="15" hidden="false" customHeight="false" outlineLevel="0" collapsed="false">
      <c r="A1623" s="6" t="s">
        <v>1785</v>
      </c>
      <c r="B1623" s="6" t="n">
        <v>24</v>
      </c>
      <c r="C1623" s="6" t="s">
        <v>139</v>
      </c>
      <c r="D1623" s="6" t="s">
        <v>148</v>
      </c>
      <c r="E1623" s="6" t="s">
        <v>89</v>
      </c>
      <c r="F1623" s="6" t="s">
        <v>151</v>
      </c>
      <c r="G1623" s="6" t="n">
        <v>0</v>
      </c>
      <c r="H1623" s="6" t="s">
        <v>81</v>
      </c>
      <c r="I1623" s="6" t="s">
        <v>81</v>
      </c>
      <c r="J1623" s="6" t="s">
        <v>60</v>
      </c>
      <c r="K1623" s="6" t="n">
        <v>71552</v>
      </c>
      <c r="L1623" s="6" t="n">
        <v>85376</v>
      </c>
      <c r="M1623" s="6" t="s">
        <v>146</v>
      </c>
      <c r="N1623" s="6" t="n">
        <v>52</v>
      </c>
      <c r="O1623" s="6" t="s">
        <v>58</v>
      </c>
      <c r="P1623" s="6" t="n">
        <v>8</v>
      </c>
      <c r="Q1623" s="6" t="n">
        <v>30.62</v>
      </c>
      <c r="R1623" s="20" t="n">
        <f aca="false">(L1623-K1623)/K1623</f>
        <v>0.193202146690519</v>
      </c>
    </row>
    <row r="1624" customFormat="false" ht="15" hidden="false" customHeight="false" outlineLevel="0" collapsed="false">
      <c r="A1624" s="6" t="s">
        <v>1786</v>
      </c>
      <c r="B1624" s="6" t="n">
        <v>59</v>
      </c>
      <c r="C1624" s="6" t="s">
        <v>159</v>
      </c>
      <c r="D1624" s="6" t="s">
        <v>144</v>
      </c>
      <c r="E1624" s="6" t="s">
        <v>91</v>
      </c>
      <c r="F1624" s="6" t="s">
        <v>141</v>
      </c>
      <c r="G1624" s="6" t="n">
        <v>37</v>
      </c>
      <c r="H1624" s="6" t="s">
        <v>81</v>
      </c>
      <c r="I1624" s="6" t="s">
        <v>82</v>
      </c>
      <c r="J1624" s="6" t="s">
        <v>58</v>
      </c>
      <c r="K1624" s="6" t="n">
        <v>66394</v>
      </c>
      <c r="L1624" s="6" t="n">
        <v>70313</v>
      </c>
      <c r="M1624" s="6" t="s">
        <v>142</v>
      </c>
      <c r="N1624" s="6" t="n">
        <v>39</v>
      </c>
      <c r="O1624" s="6" t="s">
        <v>60</v>
      </c>
      <c r="P1624" s="6" t="n">
        <v>7</v>
      </c>
      <c r="Q1624" s="6" t="n">
        <v>-11.73</v>
      </c>
      <c r="R1624" s="20" t="n">
        <f aca="false">(L1624-K1624)/K1624</f>
        <v>0.0590264180498238</v>
      </c>
    </row>
    <row r="1625" customFormat="false" ht="15" hidden="false" customHeight="false" outlineLevel="0" collapsed="false">
      <c r="A1625" s="6" t="s">
        <v>1787</v>
      </c>
      <c r="B1625" s="6" t="n">
        <v>50</v>
      </c>
      <c r="C1625" s="6" t="s">
        <v>134</v>
      </c>
      <c r="D1625" s="6" t="s">
        <v>148</v>
      </c>
      <c r="E1625" s="6" t="s">
        <v>88</v>
      </c>
      <c r="F1625" s="6" t="s">
        <v>234</v>
      </c>
      <c r="G1625" s="6" t="n">
        <v>25</v>
      </c>
      <c r="H1625" s="6" t="s">
        <v>81</v>
      </c>
      <c r="I1625" s="6" t="s">
        <v>82</v>
      </c>
      <c r="J1625" s="6" t="s">
        <v>60</v>
      </c>
      <c r="K1625" s="6" t="n">
        <v>33188</v>
      </c>
      <c r="L1625" s="6" t="n">
        <v>35745</v>
      </c>
      <c r="M1625" s="6" t="s">
        <v>142</v>
      </c>
      <c r="N1625" s="6" t="n">
        <v>45</v>
      </c>
      <c r="O1625" s="6" t="s">
        <v>58</v>
      </c>
      <c r="P1625" s="6" t="n">
        <v>6</v>
      </c>
      <c r="Q1625" s="6" t="n">
        <v>21.72</v>
      </c>
      <c r="R1625" s="20" t="n">
        <f aca="false">(L1625-K1625)/K1625</f>
        <v>0.0770459202121249</v>
      </c>
    </row>
    <row r="1626" customFormat="false" ht="15" hidden="false" customHeight="false" outlineLevel="0" collapsed="false">
      <c r="A1626" s="6" t="s">
        <v>1788</v>
      </c>
      <c r="B1626" s="6" t="n">
        <v>50</v>
      </c>
      <c r="C1626" s="6" t="s">
        <v>134</v>
      </c>
      <c r="D1626" s="6" t="s">
        <v>135</v>
      </c>
      <c r="E1626" s="6" t="s">
        <v>89</v>
      </c>
      <c r="F1626" s="6" t="s">
        <v>153</v>
      </c>
      <c r="G1626" s="6" t="n">
        <v>26</v>
      </c>
      <c r="H1626" s="6" t="s">
        <v>80</v>
      </c>
      <c r="I1626" s="6" t="s">
        <v>80</v>
      </c>
      <c r="J1626" s="6" t="s">
        <v>58</v>
      </c>
      <c r="K1626" s="6" t="n">
        <v>87944</v>
      </c>
      <c r="L1626" s="6" t="n">
        <v>89774</v>
      </c>
      <c r="M1626" s="6" t="s">
        <v>142</v>
      </c>
      <c r="N1626" s="6" t="n">
        <v>50</v>
      </c>
      <c r="O1626" s="6" t="s">
        <v>60</v>
      </c>
      <c r="P1626" s="6" t="n">
        <v>5</v>
      </c>
      <c r="Q1626" s="6" t="n">
        <v>2.97</v>
      </c>
      <c r="R1626" s="20" t="n">
        <f aca="false">(L1626-K1626)/K1626</f>
        <v>0.0208086964431911</v>
      </c>
    </row>
    <row r="1627" customFormat="false" ht="15" hidden="false" customHeight="false" outlineLevel="0" collapsed="false">
      <c r="A1627" s="6" t="s">
        <v>1789</v>
      </c>
      <c r="B1627" s="6" t="n">
        <v>48</v>
      </c>
      <c r="C1627" s="6" t="s">
        <v>139</v>
      </c>
      <c r="D1627" s="6" t="s">
        <v>148</v>
      </c>
      <c r="E1627" s="6" t="s">
        <v>87</v>
      </c>
      <c r="F1627" s="6" t="s">
        <v>155</v>
      </c>
      <c r="G1627" s="6" t="n">
        <v>23</v>
      </c>
      <c r="H1627" s="6" t="s">
        <v>82</v>
      </c>
      <c r="I1627" s="6" t="s">
        <v>80</v>
      </c>
      <c r="J1627" s="6" t="s">
        <v>58</v>
      </c>
      <c r="K1627" s="6" t="n">
        <v>80304</v>
      </c>
      <c r="L1627" s="6" t="n">
        <v>79886</v>
      </c>
      <c r="M1627" s="6" t="s">
        <v>142</v>
      </c>
      <c r="N1627" s="6" t="n">
        <v>53</v>
      </c>
      <c r="O1627" s="6" t="s">
        <v>58</v>
      </c>
      <c r="P1627" s="6" t="n">
        <v>5</v>
      </c>
      <c r="Q1627" s="6" t="n">
        <v>3.77</v>
      </c>
      <c r="R1627" s="20" t="n">
        <f aca="false">(L1627-K1627)/K1627</f>
        <v>-0.00520522016337916</v>
      </c>
    </row>
    <row r="1628" customFormat="false" ht="15" hidden="false" customHeight="false" outlineLevel="0" collapsed="false">
      <c r="A1628" s="6" t="s">
        <v>1790</v>
      </c>
      <c r="B1628" s="6" t="n">
        <v>47</v>
      </c>
      <c r="C1628" s="6" t="s">
        <v>159</v>
      </c>
      <c r="D1628" s="6" t="s">
        <v>135</v>
      </c>
      <c r="E1628" s="6" t="s">
        <v>88</v>
      </c>
      <c r="F1628" s="6" t="s">
        <v>234</v>
      </c>
      <c r="G1628" s="6" t="n">
        <v>25</v>
      </c>
      <c r="H1628" s="6" t="s">
        <v>80</v>
      </c>
      <c r="I1628" s="6" t="s">
        <v>82</v>
      </c>
      <c r="J1628" s="6" t="s">
        <v>60</v>
      </c>
      <c r="K1628" s="6" t="n">
        <v>68745</v>
      </c>
      <c r="L1628" s="6" t="n">
        <v>66114</v>
      </c>
      <c r="M1628" s="6" t="s">
        <v>142</v>
      </c>
      <c r="N1628" s="6" t="n">
        <v>46</v>
      </c>
      <c r="O1628" s="6" t="s">
        <v>58</v>
      </c>
      <c r="P1628" s="6" t="n">
        <v>8</v>
      </c>
      <c r="Q1628" s="6" t="n">
        <v>27.29</v>
      </c>
      <c r="R1628" s="20" t="n">
        <f aca="false">(L1628-K1628)/K1628</f>
        <v>-0.0382718743181322</v>
      </c>
    </row>
    <row r="1629" customFormat="false" ht="15" hidden="false" customHeight="false" outlineLevel="0" collapsed="false">
      <c r="A1629" s="6" t="s">
        <v>1791</v>
      </c>
      <c r="B1629" s="6" t="n">
        <v>29</v>
      </c>
      <c r="C1629" s="6" t="s">
        <v>139</v>
      </c>
      <c r="D1629" s="6" t="s">
        <v>144</v>
      </c>
      <c r="E1629" s="6" t="s">
        <v>92</v>
      </c>
      <c r="F1629" s="6" t="s">
        <v>222</v>
      </c>
      <c r="G1629" s="6" t="n">
        <v>6</v>
      </c>
      <c r="H1629" s="6" t="s">
        <v>81</v>
      </c>
      <c r="I1629" s="6" t="s">
        <v>82</v>
      </c>
      <c r="J1629" s="6" t="s">
        <v>58</v>
      </c>
      <c r="K1629" s="6" t="n">
        <v>30944</v>
      </c>
      <c r="L1629" s="6" t="n">
        <v>29600</v>
      </c>
      <c r="M1629" s="6" t="s">
        <v>142</v>
      </c>
      <c r="N1629" s="6" t="n">
        <v>40</v>
      </c>
      <c r="O1629" s="6" t="s">
        <v>60</v>
      </c>
      <c r="P1629" s="6" t="n">
        <v>7</v>
      </c>
      <c r="Q1629" s="6" t="n">
        <v>-13.19</v>
      </c>
      <c r="R1629" s="20" t="n">
        <f aca="false">(L1629-K1629)/K1629</f>
        <v>-0.0434332988624612</v>
      </c>
    </row>
    <row r="1630" customFormat="false" ht="15" hidden="false" customHeight="false" outlineLevel="0" collapsed="false">
      <c r="A1630" s="6" t="s">
        <v>1792</v>
      </c>
      <c r="B1630" s="6" t="n">
        <v>45</v>
      </c>
      <c r="C1630" s="6" t="s">
        <v>134</v>
      </c>
      <c r="D1630" s="6" t="s">
        <v>135</v>
      </c>
      <c r="E1630" s="6" t="s">
        <v>93</v>
      </c>
      <c r="F1630" s="6" t="s">
        <v>164</v>
      </c>
      <c r="G1630" s="6" t="n">
        <v>20</v>
      </c>
      <c r="H1630" s="6" t="s">
        <v>81</v>
      </c>
      <c r="I1630" s="6" t="s">
        <v>82</v>
      </c>
      <c r="J1630" s="6" t="s">
        <v>58</v>
      </c>
      <c r="K1630" s="6" t="n">
        <v>58114</v>
      </c>
      <c r="L1630" s="6" t="n">
        <v>66296</v>
      </c>
      <c r="M1630" s="6" t="s">
        <v>142</v>
      </c>
      <c r="N1630" s="6" t="n">
        <v>44</v>
      </c>
      <c r="O1630" s="6" t="s">
        <v>58</v>
      </c>
      <c r="P1630" s="6" t="n">
        <v>6</v>
      </c>
      <c r="Q1630" s="6" t="n">
        <v>28.54</v>
      </c>
      <c r="R1630" s="20" t="n">
        <f aca="false">(L1630-K1630)/K1630</f>
        <v>0.140792235950029</v>
      </c>
    </row>
    <row r="1631" customFormat="false" ht="15" hidden="false" customHeight="false" outlineLevel="0" collapsed="false">
      <c r="A1631" s="6" t="s">
        <v>1793</v>
      </c>
      <c r="B1631" s="6" t="n">
        <v>34</v>
      </c>
      <c r="C1631" s="6" t="s">
        <v>159</v>
      </c>
      <c r="D1631" s="6" t="s">
        <v>140</v>
      </c>
      <c r="E1631" s="6" t="s">
        <v>93</v>
      </c>
      <c r="F1631" s="6" t="s">
        <v>197</v>
      </c>
      <c r="G1631" s="6" t="n">
        <v>9</v>
      </c>
      <c r="H1631" s="6" t="s">
        <v>81</v>
      </c>
      <c r="I1631" s="6" t="s">
        <v>81</v>
      </c>
      <c r="J1631" s="6" t="s">
        <v>58</v>
      </c>
      <c r="K1631" s="6" t="n">
        <v>105726</v>
      </c>
      <c r="L1631" s="6" t="n">
        <v>102977</v>
      </c>
      <c r="M1631" s="6" t="s">
        <v>146</v>
      </c>
      <c r="N1631" s="6" t="n">
        <v>48</v>
      </c>
      <c r="O1631" s="6" t="s">
        <v>60</v>
      </c>
      <c r="P1631" s="6" t="n">
        <v>5</v>
      </c>
      <c r="Q1631" s="6" t="n">
        <v>21.72</v>
      </c>
      <c r="R1631" s="20" t="n">
        <f aca="false">(L1631-K1631)/K1631</f>
        <v>-0.0260011728430093</v>
      </c>
    </row>
    <row r="1632" customFormat="false" ht="15" hidden="false" customHeight="false" outlineLevel="0" collapsed="false">
      <c r="A1632" s="6" t="s">
        <v>1794</v>
      </c>
      <c r="B1632" s="6" t="n">
        <v>39</v>
      </c>
      <c r="C1632" s="6" t="s">
        <v>134</v>
      </c>
      <c r="D1632" s="6" t="s">
        <v>144</v>
      </c>
      <c r="E1632" s="6" t="s">
        <v>87</v>
      </c>
      <c r="F1632" s="6" t="s">
        <v>155</v>
      </c>
      <c r="G1632" s="6" t="n">
        <v>13</v>
      </c>
      <c r="H1632" s="6" t="s">
        <v>81</v>
      </c>
      <c r="I1632" s="6" t="s">
        <v>81</v>
      </c>
      <c r="J1632" s="6" t="s">
        <v>58</v>
      </c>
      <c r="K1632" s="6" t="n">
        <v>56467</v>
      </c>
      <c r="L1632" s="6" t="n">
        <v>51319</v>
      </c>
      <c r="M1632" s="6" t="s">
        <v>146</v>
      </c>
      <c r="N1632" s="6" t="n">
        <v>43</v>
      </c>
      <c r="O1632" s="6" t="s">
        <v>60</v>
      </c>
      <c r="P1632" s="6" t="n">
        <v>9</v>
      </c>
      <c r="Q1632" s="6" t="n">
        <v>-9.3</v>
      </c>
      <c r="R1632" s="20" t="n">
        <f aca="false">(L1632-K1632)/K1632</f>
        <v>-0.0911682929852834</v>
      </c>
    </row>
    <row r="1633" customFormat="false" ht="15" hidden="false" customHeight="false" outlineLevel="0" collapsed="false">
      <c r="A1633" s="6" t="s">
        <v>1795</v>
      </c>
      <c r="B1633" s="6" t="n">
        <v>22</v>
      </c>
      <c r="C1633" s="6" t="s">
        <v>134</v>
      </c>
      <c r="D1633" s="6" t="s">
        <v>135</v>
      </c>
      <c r="E1633" s="6" t="s">
        <v>91</v>
      </c>
      <c r="F1633" s="6" t="s">
        <v>206</v>
      </c>
      <c r="G1633" s="6" t="n">
        <v>0</v>
      </c>
      <c r="H1633" s="6" t="s">
        <v>82</v>
      </c>
      <c r="I1633" s="6" t="s">
        <v>81</v>
      </c>
      <c r="J1633" s="6" t="s">
        <v>60</v>
      </c>
      <c r="K1633" s="6" t="n">
        <v>79222</v>
      </c>
      <c r="L1633" s="6" t="n">
        <v>105045</v>
      </c>
      <c r="M1633" s="6" t="s">
        <v>146</v>
      </c>
      <c r="N1633" s="6" t="n">
        <v>37</v>
      </c>
      <c r="O1633" s="6" t="s">
        <v>60</v>
      </c>
      <c r="P1633" s="6" t="n">
        <v>7</v>
      </c>
      <c r="Q1633" s="6" t="n">
        <v>34.75</v>
      </c>
      <c r="R1633" s="20" t="n">
        <f aca="false">(L1633-K1633)/K1633</f>
        <v>0.325957436065739</v>
      </c>
    </row>
    <row r="1634" customFormat="false" ht="15" hidden="false" customHeight="false" outlineLevel="0" collapsed="false">
      <c r="A1634" s="6" t="s">
        <v>1796</v>
      </c>
      <c r="B1634" s="6" t="n">
        <v>31</v>
      </c>
      <c r="C1634" s="6" t="s">
        <v>159</v>
      </c>
      <c r="D1634" s="6" t="s">
        <v>148</v>
      </c>
      <c r="E1634" s="6" t="s">
        <v>93</v>
      </c>
      <c r="F1634" s="6" t="s">
        <v>197</v>
      </c>
      <c r="G1634" s="6" t="n">
        <v>8</v>
      </c>
      <c r="H1634" s="6" t="s">
        <v>80</v>
      </c>
      <c r="I1634" s="6" t="s">
        <v>80</v>
      </c>
      <c r="J1634" s="6" t="s">
        <v>60</v>
      </c>
      <c r="K1634" s="6" t="n">
        <v>76022</v>
      </c>
      <c r="L1634" s="6" t="n">
        <v>73024</v>
      </c>
      <c r="M1634" s="6" t="s">
        <v>142</v>
      </c>
      <c r="N1634" s="6" t="n">
        <v>41</v>
      </c>
      <c r="O1634" s="6" t="s">
        <v>58</v>
      </c>
      <c r="P1634" s="6" t="n">
        <v>3</v>
      </c>
      <c r="Q1634" s="6" t="n">
        <v>14.8</v>
      </c>
      <c r="R1634" s="20" t="n">
        <f aca="false">(L1634-K1634)/K1634</f>
        <v>-0.0394359527505196</v>
      </c>
    </row>
    <row r="1635" customFormat="false" ht="15" hidden="false" customHeight="false" outlineLevel="0" collapsed="false">
      <c r="A1635" s="6" t="s">
        <v>1797</v>
      </c>
      <c r="B1635" s="6" t="n">
        <v>48</v>
      </c>
      <c r="C1635" s="6" t="s">
        <v>139</v>
      </c>
      <c r="D1635" s="6" t="s">
        <v>144</v>
      </c>
      <c r="E1635" s="6" t="s">
        <v>91</v>
      </c>
      <c r="F1635" s="6" t="s">
        <v>141</v>
      </c>
      <c r="G1635" s="6" t="n">
        <v>26</v>
      </c>
      <c r="H1635" s="6" t="s">
        <v>82</v>
      </c>
      <c r="I1635" s="6" t="s">
        <v>81</v>
      </c>
      <c r="J1635" s="6" t="s">
        <v>58</v>
      </c>
      <c r="K1635" s="6" t="n">
        <v>66355</v>
      </c>
      <c r="L1635" s="6" t="n">
        <v>72526</v>
      </c>
      <c r="M1635" s="6" t="s">
        <v>146</v>
      </c>
      <c r="N1635" s="6" t="n">
        <v>44</v>
      </c>
      <c r="O1635" s="6" t="s">
        <v>60</v>
      </c>
      <c r="P1635" s="6" t="n">
        <v>5</v>
      </c>
      <c r="Q1635" s="6" t="n">
        <v>-18.65</v>
      </c>
      <c r="R1635" s="20" t="n">
        <f aca="false">(L1635-K1635)/K1635</f>
        <v>0.0929997739431844</v>
      </c>
    </row>
    <row r="1636" customFormat="false" ht="15" hidden="false" customHeight="false" outlineLevel="0" collapsed="false">
      <c r="A1636" s="6" t="s">
        <v>1798</v>
      </c>
      <c r="B1636" s="6" t="n">
        <v>48</v>
      </c>
      <c r="C1636" s="6" t="s">
        <v>159</v>
      </c>
      <c r="D1636" s="6" t="s">
        <v>148</v>
      </c>
      <c r="E1636" s="6" t="s">
        <v>89</v>
      </c>
      <c r="F1636" s="6" t="s">
        <v>153</v>
      </c>
      <c r="G1636" s="6" t="n">
        <v>24</v>
      </c>
      <c r="H1636" s="6" t="s">
        <v>81</v>
      </c>
      <c r="I1636" s="6" t="s">
        <v>82</v>
      </c>
      <c r="J1636" s="6" t="s">
        <v>58</v>
      </c>
      <c r="K1636" s="6" t="n">
        <v>105675</v>
      </c>
      <c r="L1636" s="6" t="n">
        <v>95457</v>
      </c>
      <c r="M1636" s="6" t="s">
        <v>142</v>
      </c>
      <c r="N1636" s="6" t="n">
        <v>51</v>
      </c>
      <c r="O1636" s="6" t="s">
        <v>60</v>
      </c>
      <c r="P1636" s="6" t="n">
        <v>8</v>
      </c>
      <c r="Q1636" s="6" t="n">
        <v>-1.27</v>
      </c>
      <c r="R1636" s="20" t="n">
        <f aca="false">(L1636-K1636)/K1636</f>
        <v>-0.0966926898509581</v>
      </c>
    </row>
    <row r="1637" customFormat="false" ht="15" hidden="false" customHeight="false" outlineLevel="0" collapsed="false">
      <c r="A1637" s="6" t="s">
        <v>1799</v>
      </c>
      <c r="B1637" s="6" t="n">
        <v>51</v>
      </c>
      <c r="C1637" s="6" t="s">
        <v>139</v>
      </c>
      <c r="D1637" s="6" t="s">
        <v>148</v>
      </c>
      <c r="E1637" s="6" t="s">
        <v>87</v>
      </c>
      <c r="F1637" s="6" t="s">
        <v>155</v>
      </c>
      <c r="G1637" s="6" t="n">
        <v>29</v>
      </c>
      <c r="H1637" s="6" t="s">
        <v>80</v>
      </c>
      <c r="I1637" s="6" t="s">
        <v>81</v>
      </c>
      <c r="J1637" s="6" t="s">
        <v>58</v>
      </c>
      <c r="K1637" s="6" t="n">
        <v>76996</v>
      </c>
      <c r="L1637" s="6" t="n">
        <v>73772</v>
      </c>
      <c r="M1637" s="6" t="s">
        <v>146</v>
      </c>
      <c r="N1637" s="6" t="n">
        <v>46</v>
      </c>
      <c r="O1637" s="6" t="s">
        <v>58</v>
      </c>
      <c r="P1637" s="6" t="n">
        <v>3</v>
      </c>
      <c r="Q1637" s="6" t="n">
        <v>15.8</v>
      </c>
      <c r="R1637" s="20" t="n">
        <f aca="false">(L1637-K1637)/K1637</f>
        <v>-0.041872305054808</v>
      </c>
    </row>
    <row r="1638" customFormat="false" ht="15" hidden="false" customHeight="false" outlineLevel="0" collapsed="false">
      <c r="A1638" s="6" t="s">
        <v>1800</v>
      </c>
      <c r="B1638" s="6" t="n">
        <v>41</v>
      </c>
      <c r="C1638" s="6" t="s">
        <v>159</v>
      </c>
      <c r="D1638" s="6" t="s">
        <v>144</v>
      </c>
      <c r="E1638" s="6" t="s">
        <v>88</v>
      </c>
      <c r="F1638" s="6" t="s">
        <v>157</v>
      </c>
      <c r="G1638" s="6" t="n">
        <v>19</v>
      </c>
      <c r="H1638" s="6" t="s">
        <v>82</v>
      </c>
      <c r="I1638" s="6" t="s">
        <v>81</v>
      </c>
      <c r="J1638" s="6" t="s">
        <v>58</v>
      </c>
      <c r="K1638" s="6" t="n">
        <v>86880</v>
      </c>
      <c r="L1638" s="6" t="n">
        <v>75258</v>
      </c>
      <c r="M1638" s="6" t="s">
        <v>146</v>
      </c>
      <c r="N1638" s="6" t="n">
        <v>47</v>
      </c>
      <c r="O1638" s="6" t="s">
        <v>58</v>
      </c>
      <c r="P1638" s="6" t="n">
        <v>5</v>
      </c>
      <c r="Q1638" s="6" t="n">
        <v>8.07</v>
      </c>
      <c r="R1638" s="20" t="n">
        <f aca="false">(L1638-K1638)/K1638</f>
        <v>-0.133770718232044</v>
      </c>
    </row>
    <row r="1639" customFormat="false" ht="15" hidden="false" customHeight="false" outlineLevel="0" collapsed="false">
      <c r="A1639" s="6" t="s">
        <v>1801</v>
      </c>
      <c r="B1639" s="6" t="n">
        <v>23</v>
      </c>
      <c r="C1639" s="6" t="s">
        <v>159</v>
      </c>
      <c r="D1639" s="6" t="s">
        <v>135</v>
      </c>
      <c r="E1639" s="6" t="s">
        <v>92</v>
      </c>
      <c r="F1639" s="6" t="s">
        <v>192</v>
      </c>
      <c r="G1639" s="6" t="n">
        <v>0</v>
      </c>
      <c r="H1639" s="6" t="s">
        <v>80</v>
      </c>
      <c r="I1639" s="6" t="s">
        <v>81</v>
      </c>
      <c r="J1639" s="6" t="s">
        <v>58</v>
      </c>
      <c r="K1639" s="6" t="n">
        <v>61876</v>
      </c>
      <c r="L1639" s="6" t="n">
        <v>60759</v>
      </c>
      <c r="M1639" s="6" t="s">
        <v>146</v>
      </c>
      <c r="N1639" s="6" t="n">
        <v>51</v>
      </c>
      <c r="O1639" s="6" t="s">
        <v>58</v>
      </c>
      <c r="P1639" s="6" t="n">
        <v>7</v>
      </c>
      <c r="Q1639" s="6" t="n">
        <v>16.97</v>
      </c>
      <c r="R1639" s="20" t="n">
        <f aca="false">(L1639-K1639)/K1639</f>
        <v>-0.0180522334992566</v>
      </c>
    </row>
    <row r="1640" customFormat="false" ht="15" hidden="false" customHeight="false" outlineLevel="0" collapsed="false">
      <c r="A1640" s="6" t="s">
        <v>1802</v>
      </c>
      <c r="B1640" s="6" t="n">
        <v>51</v>
      </c>
      <c r="C1640" s="6" t="s">
        <v>159</v>
      </c>
      <c r="D1640" s="6" t="s">
        <v>144</v>
      </c>
      <c r="E1640" s="6" t="s">
        <v>90</v>
      </c>
      <c r="F1640" s="6" t="s">
        <v>202</v>
      </c>
      <c r="G1640" s="6" t="n">
        <v>29</v>
      </c>
      <c r="H1640" s="6" t="s">
        <v>81</v>
      </c>
      <c r="I1640" s="6" t="s">
        <v>81</v>
      </c>
      <c r="J1640" s="6" t="s">
        <v>58</v>
      </c>
      <c r="K1640" s="6" t="n">
        <v>38507</v>
      </c>
      <c r="L1640" s="6" t="n">
        <v>37953</v>
      </c>
      <c r="M1640" s="6" t="s">
        <v>146</v>
      </c>
      <c r="N1640" s="6" t="n">
        <v>54</v>
      </c>
      <c r="O1640" s="6" t="s">
        <v>58</v>
      </c>
      <c r="P1640" s="6" t="n">
        <v>4</v>
      </c>
      <c r="Q1640" s="6" t="n">
        <v>30.65</v>
      </c>
      <c r="R1640" s="20" t="n">
        <f aca="false">(L1640-K1640)/K1640</f>
        <v>-0.0143869945724154</v>
      </c>
    </row>
    <row r="1641" customFormat="false" ht="15" hidden="false" customHeight="false" outlineLevel="0" collapsed="false">
      <c r="A1641" s="6" t="s">
        <v>1803</v>
      </c>
      <c r="B1641" s="6" t="n">
        <v>26</v>
      </c>
      <c r="C1641" s="6" t="s">
        <v>134</v>
      </c>
      <c r="D1641" s="6" t="s">
        <v>144</v>
      </c>
      <c r="E1641" s="6" t="s">
        <v>90</v>
      </c>
      <c r="F1641" s="6" t="s">
        <v>236</v>
      </c>
      <c r="G1641" s="6" t="n">
        <v>3</v>
      </c>
      <c r="H1641" s="6" t="s">
        <v>81</v>
      </c>
      <c r="I1641" s="6" t="s">
        <v>82</v>
      </c>
      <c r="J1641" s="6" t="s">
        <v>58</v>
      </c>
      <c r="K1641" s="6" t="n">
        <v>75499</v>
      </c>
      <c r="L1641" s="6" t="n">
        <v>72226</v>
      </c>
      <c r="M1641" s="6" t="s">
        <v>142</v>
      </c>
      <c r="N1641" s="6" t="n">
        <v>45</v>
      </c>
      <c r="O1641" s="6" t="s">
        <v>58</v>
      </c>
      <c r="P1641" s="6" t="n">
        <v>8</v>
      </c>
      <c r="Q1641" s="6" t="n">
        <v>22.07</v>
      </c>
      <c r="R1641" s="20" t="n">
        <f aca="false">(L1641-K1641)/K1641</f>
        <v>-0.0433515675704314</v>
      </c>
    </row>
    <row r="1642" customFormat="false" ht="15" hidden="false" customHeight="false" outlineLevel="0" collapsed="false">
      <c r="A1642" s="6" t="s">
        <v>1804</v>
      </c>
      <c r="B1642" s="6" t="n">
        <v>38</v>
      </c>
      <c r="C1642" s="6" t="s">
        <v>139</v>
      </c>
      <c r="D1642" s="6" t="s">
        <v>144</v>
      </c>
      <c r="E1642" s="6" t="s">
        <v>91</v>
      </c>
      <c r="F1642" s="6" t="s">
        <v>141</v>
      </c>
      <c r="G1642" s="6" t="n">
        <v>12</v>
      </c>
      <c r="H1642" s="6" t="s">
        <v>80</v>
      </c>
      <c r="I1642" s="6" t="s">
        <v>81</v>
      </c>
      <c r="J1642" s="6" t="s">
        <v>58</v>
      </c>
      <c r="K1642" s="6" t="n">
        <v>32389</v>
      </c>
      <c r="L1642" s="6" t="n">
        <v>34294</v>
      </c>
      <c r="M1642" s="6" t="s">
        <v>146</v>
      </c>
      <c r="N1642" s="6" t="n">
        <v>50</v>
      </c>
      <c r="O1642" s="6" t="s">
        <v>58</v>
      </c>
      <c r="P1642" s="6" t="n">
        <v>8</v>
      </c>
      <c r="Q1642" s="6" t="n">
        <v>-6.21</v>
      </c>
      <c r="R1642" s="20" t="n">
        <f aca="false">(L1642-K1642)/K1642</f>
        <v>0.0588162647812529</v>
      </c>
    </row>
    <row r="1643" customFormat="false" ht="15" hidden="false" customHeight="false" outlineLevel="0" collapsed="false">
      <c r="A1643" s="6" t="s">
        <v>1805</v>
      </c>
      <c r="B1643" s="6" t="n">
        <v>27</v>
      </c>
      <c r="C1643" s="6" t="s">
        <v>159</v>
      </c>
      <c r="D1643" s="6" t="s">
        <v>148</v>
      </c>
      <c r="E1643" s="6" t="s">
        <v>87</v>
      </c>
      <c r="F1643" s="6" t="s">
        <v>160</v>
      </c>
      <c r="G1643" s="6" t="n">
        <v>4</v>
      </c>
      <c r="H1643" s="6" t="s">
        <v>81</v>
      </c>
      <c r="I1643" s="6" t="s">
        <v>80</v>
      </c>
      <c r="J1643" s="6" t="s">
        <v>60</v>
      </c>
      <c r="K1643" s="6" t="n">
        <v>83950</v>
      </c>
      <c r="L1643" s="6" t="n">
        <v>81536</v>
      </c>
      <c r="M1643" s="6" t="s">
        <v>142</v>
      </c>
      <c r="N1643" s="6" t="n">
        <v>54</v>
      </c>
      <c r="O1643" s="6" t="s">
        <v>58</v>
      </c>
      <c r="P1643" s="6" t="n">
        <v>7</v>
      </c>
      <c r="Q1643" s="6" t="n">
        <v>2.79</v>
      </c>
      <c r="R1643" s="20" t="n">
        <f aca="false">(L1643-K1643)/K1643</f>
        <v>-0.0287552114353782</v>
      </c>
    </row>
    <row r="1644" customFormat="false" ht="15" hidden="false" customHeight="false" outlineLevel="0" collapsed="false">
      <c r="A1644" s="6" t="s">
        <v>1806</v>
      </c>
      <c r="B1644" s="6" t="n">
        <v>53</v>
      </c>
      <c r="C1644" s="6" t="s">
        <v>134</v>
      </c>
      <c r="D1644" s="6" t="s">
        <v>148</v>
      </c>
      <c r="E1644" s="6" t="s">
        <v>93</v>
      </c>
      <c r="F1644" s="6" t="s">
        <v>164</v>
      </c>
      <c r="G1644" s="6" t="n">
        <v>30</v>
      </c>
      <c r="H1644" s="6" t="s">
        <v>81</v>
      </c>
      <c r="I1644" s="6" t="s">
        <v>82</v>
      </c>
      <c r="J1644" s="6" t="s">
        <v>58</v>
      </c>
      <c r="K1644" s="6" t="n">
        <v>77857</v>
      </c>
      <c r="L1644" s="6" t="n">
        <v>77620</v>
      </c>
      <c r="M1644" s="6" t="s">
        <v>142</v>
      </c>
      <c r="N1644" s="6" t="n">
        <v>38</v>
      </c>
      <c r="O1644" s="6" t="s">
        <v>60</v>
      </c>
      <c r="P1644" s="6" t="n">
        <v>8</v>
      </c>
      <c r="Q1644" s="6" t="n">
        <v>-0.88</v>
      </c>
      <c r="R1644" s="20" t="n">
        <f aca="false">(L1644-K1644)/K1644</f>
        <v>-0.00304404228264639</v>
      </c>
    </row>
    <row r="1645" customFormat="false" ht="15" hidden="false" customHeight="false" outlineLevel="0" collapsed="false">
      <c r="A1645" s="6" t="s">
        <v>1807</v>
      </c>
      <c r="B1645" s="6" t="n">
        <v>43</v>
      </c>
      <c r="C1645" s="6" t="s">
        <v>139</v>
      </c>
      <c r="D1645" s="6" t="s">
        <v>135</v>
      </c>
      <c r="E1645" s="6" t="s">
        <v>89</v>
      </c>
      <c r="F1645" s="6" t="s">
        <v>153</v>
      </c>
      <c r="G1645" s="6" t="n">
        <v>19</v>
      </c>
      <c r="H1645" s="6" t="s">
        <v>81</v>
      </c>
      <c r="I1645" s="6" t="s">
        <v>81</v>
      </c>
      <c r="J1645" s="6" t="s">
        <v>60</v>
      </c>
      <c r="K1645" s="6" t="n">
        <v>92583</v>
      </c>
      <c r="L1645" s="6" t="n">
        <v>107195</v>
      </c>
      <c r="M1645" s="6" t="s">
        <v>146</v>
      </c>
      <c r="N1645" s="6" t="n">
        <v>51</v>
      </c>
      <c r="O1645" s="6" t="s">
        <v>58</v>
      </c>
      <c r="P1645" s="6" t="n">
        <v>3</v>
      </c>
      <c r="Q1645" s="6" t="n">
        <v>-4.62</v>
      </c>
      <c r="R1645" s="20" t="n">
        <f aca="false">(L1645-K1645)/K1645</f>
        <v>0.1578259507685</v>
      </c>
    </row>
    <row r="1646" customFormat="false" ht="15" hidden="false" customHeight="false" outlineLevel="0" collapsed="false">
      <c r="A1646" s="6" t="s">
        <v>1808</v>
      </c>
      <c r="B1646" s="6" t="n">
        <v>52</v>
      </c>
      <c r="C1646" s="6" t="s">
        <v>139</v>
      </c>
      <c r="D1646" s="6" t="s">
        <v>148</v>
      </c>
      <c r="E1646" s="6" t="s">
        <v>87</v>
      </c>
      <c r="F1646" s="6" t="s">
        <v>160</v>
      </c>
      <c r="G1646" s="6" t="n">
        <v>29</v>
      </c>
      <c r="H1646" s="6" t="s">
        <v>81</v>
      </c>
      <c r="I1646" s="6" t="s">
        <v>82</v>
      </c>
      <c r="J1646" s="6" t="s">
        <v>60</v>
      </c>
      <c r="K1646" s="6" t="n">
        <v>91161</v>
      </c>
      <c r="L1646" s="6" t="n">
        <v>100143</v>
      </c>
      <c r="M1646" s="6" t="s">
        <v>142</v>
      </c>
      <c r="N1646" s="6" t="n">
        <v>38</v>
      </c>
      <c r="O1646" s="6" t="s">
        <v>60</v>
      </c>
      <c r="P1646" s="6" t="n">
        <v>6</v>
      </c>
      <c r="Q1646" s="6" t="n">
        <v>6.89</v>
      </c>
      <c r="R1646" s="20" t="n">
        <f aca="false">(L1646-K1646)/K1646</f>
        <v>0.0985289762069306</v>
      </c>
    </row>
    <row r="1647" customFormat="false" ht="15" hidden="false" customHeight="false" outlineLevel="0" collapsed="false">
      <c r="A1647" s="6" t="s">
        <v>1809</v>
      </c>
      <c r="B1647" s="6" t="n">
        <v>47</v>
      </c>
      <c r="C1647" s="6" t="s">
        <v>134</v>
      </c>
      <c r="D1647" s="6" t="s">
        <v>140</v>
      </c>
      <c r="E1647" s="6" t="s">
        <v>93</v>
      </c>
      <c r="F1647" s="6" t="s">
        <v>181</v>
      </c>
      <c r="G1647" s="6" t="n">
        <v>22</v>
      </c>
      <c r="H1647" s="6" t="s">
        <v>81</v>
      </c>
      <c r="I1647" s="6" t="s">
        <v>81</v>
      </c>
      <c r="J1647" s="6" t="s">
        <v>58</v>
      </c>
      <c r="K1647" s="6" t="n">
        <v>93472</v>
      </c>
      <c r="L1647" s="6" t="n">
        <v>110894</v>
      </c>
      <c r="M1647" s="6" t="s">
        <v>146</v>
      </c>
      <c r="N1647" s="6" t="n">
        <v>38</v>
      </c>
      <c r="O1647" s="6" t="s">
        <v>60</v>
      </c>
      <c r="P1647" s="6" t="n">
        <v>7</v>
      </c>
      <c r="Q1647" s="6" t="n">
        <v>35.55</v>
      </c>
      <c r="R1647" s="20" t="n">
        <f aca="false">(L1647-K1647)/K1647</f>
        <v>0.186387367339952</v>
      </c>
    </row>
    <row r="1648" customFormat="false" ht="15" hidden="false" customHeight="false" outlineLevel="0" collapsed="false">
      <c r="A1648" s="6" t="s">
        <v>1810</v>
      </c>
      <c r="B1648" s="6" t="n">
        <v>44</v>
      </c>
      <c r="C1648" s="6" t="s">
        <v>134</v>
      </c>
      <c r="D1648" s="6" t="s">
        <v>135</v>
      </c>
      <c r="E1648" s="6" t="s">
        <v>91</v>
      </c>
      <c r="F1648" s="6" t="s">
        <v>141</v>
      </c>
      <c r="G1648" s="6" t="n">
        <v>18</v>
      </c>
      <c r="H1648" s="6" t="s">
        <v>81</v>
      </c>
      <c r="I1648" s="6" t="s">
        <v>80</v>
      </c>
      <c r="J1648" s="6" t="s">
        <v>60</v>
      </c>
      <c r="K1648" s="6" t="n">
        <v>97143</v>
      </c>
      <c r="L1648" s="6" t="n">
        <v>90954</v>
      </c>
      <c r="M1648" s="6" t="s">
        <v>142</v>
      </c>
      <c r="N1648" s="6" t="n">
        <v>40</v>
      </c>
      <c r="O1648" s="6" t="s">
        <v>60</v>
      </c>
      <c r="P1648" s="6" t="n">
        <v>5</v>
      </c>
      <c r="Q1648" s="6" t="n">
        <v>-9.88</v>
      </c>
      <c r="R1648" s="20" t="n">
        <f aca="false">(L1648-K1648)/K1648</f>
        <v>-0.0637102004261758</v>
      </c>
    </row>
    <row r="1649" customFormat="false" ht="15" hidden="false" customHeight="false" outlineLevel="0" collapsed="false">
      <c r="A1649" s="6" t="s">
        <v>1811</v>
      </c>
      <c r="B1649" s="6" t="n">
        <v>37</v>
      </c>
      <c r="C1649" s="6" t="s">
        <v>134</v>
      </c>
      <c r="D1649" s="6" t="s">
        <v>144</v>
      </c>
      <c r="E1649" s="6" t="s">
        <v>92</v>
      </c>
      <c r="F1649" s="6" t="s">
        <v>192</v>
      </c>
      <c r="G1649" s="6" t="n">
        <v>11</v>
      </c>
      <c r="H1649" s="6" t="s">
        <v>81</v>
      </c>
      <c r="I1649" s="6" t="s">
        <v>82</v>
      </c>
      <c r="J1649" s="6" t="s">
        <v>58</v>
      </c>
      <c r="K1649" s="6" t="n">
        <v>50175</v>
      </c>
      <c r="L1649" s="6" t="n">
        <v>51123</v>
      </c>
      <c r="M1649" s="6" t="s">
        <v>142</v>
      </c>
      <c r="N1649" s="6" t="n">
        <v>52</v>
      </c>
      <c r="O1649" s="6" t="s">
        <v>60</v>
      </c>
      <c r="P1649" s="6" t="n">
        <v>7</v>
      </c>
      <c r="Q1649" s="6" t="n">
        <v>-15.33</v>
      </c>
      <c r="R1649" s="20" t="n">
        <f aca="false">(L1649-K1649)/K1649</f>
        <v>0.0188938714499253</v>
      </c>
    </row>
    <row r="1650" customFormat="false" ht="15" hidden="false" customHeight="false" outlineLevel="0" collapsed="false">
      <c r="A1650" s="6" t="s">
        <v>1812</v>
      </c>
      <c r="B1650" s="6" t="n">
        <v>24</v>
      </c>
      <c r="C1650" s="6" t="s">
        <v>134</v>
      </c>
      <c r="D1650" s="6" t="s">
        <v>148</v>
      </c>
      <c r="E1650" s="6" t="s">
        <v>92</v>
      </c>
      <c r="F1650" s="6" t="s">
        <v>136</v>
      </c>
      <c r="G1650" s="6" t="n">
        <v>0</v>
      </c>
      <c r="H1650" s="6" t="s">
        <v>81</v>
      </c>
      <c r="I1650" s="6" t="s">
        <v>82</v>
      </c>
      <c r="J1650" s="6" t="s">
        <v>58</v>
      </c>
      <c r="K1650" s="6" t="n">
        <v>105017</v>
      </c>
      <c r="L1650" s="6" t="n">
        <v>94760</v>
      </c>
      <c r="M1650" s="6" t="s">
        <v>142</v>
      </c>
      <c r="N1650" s="6" t="n">
        <v>49</v>
      </c>
      <c r="O1650" s="6" t="s">
        <v>60</v>
      </c>
      <c r="P1650" s="6" t="n">
        <v>3</v>
      </c>
      <c r="Q1650" s="6" t="n">
        <v>25.18</v>
      </c>
      <c r="R1650" s="20" t="n">
        <f aca="false">(L1650-K1650)/K1650</f>
        <v>-0.0976699010636373</v>
      </c>
    </row>
    <row r="1651" customFormat="false" ht="15" hidden="false" customHeight="false" outlineLevel="0" collapsed="false">
      <c r="A1651" s="6" t="s">
        <v>1813</v>
      </c>
      <c r="B1651" s="6" t="n">
        <v>28</v>
      </c>
      <c r="C1651" s="6" t="s">
        <v>139</v>
      </c>
      <c r="D1651" s="6" t="s">
        <v>140</v>
      </c>
      <c r="E1651" s="6" t="s">
        <v>92</v>
      </c>
      <c r="F1651" s="6" t="s">
        <v>222</v>
      </c>
      <c r="G1651" s="6" t="n">
        <v>3</v>
      </c>
      <c r="H1651" s="6" t="s">
        <v>82</v>
      </c>
      <c r="I1651" s="6" t="s">
        <v>81</v>
      </c>
      <c r="J1651" s="6" t="s">
        <v>60</v>
      </c>
      <c r="K1651" s="6" t="n">
        <v>84567</v>
      </c>
      <c r="L1651" s="6" t="n">
        <v>100008</v>
      </c>
      <c r="M1651" s="6" t="s">
        <v>146</v>
      </c>
      <c r="N1651" s="6" t="n">
        <v>49</v>
      </c>
      <c r="O1651" s="6" t="s">
        <v>60</v>
      </c>
      <c r="P1651" s="6" t="n">
        <v>7</v>
      </c>
      <c r="Q1651" s="6" t="n">
        <v>-2.24</v>
      </c>
      <c r="R1651" s="20" t="n">
        <f aca="false">(L1651-K1651)/K1651</f>
        <v>0.182588953137749</v>
      </c>
    </row>
    <row r="1652" customFormat="false" ht="15" hidden="false" customHeight="false" outlineLevel="0" collapsed="false">
      <c r="A1652" s="6" t="s">
        <v>1814</v>
      </c>
      <c r="B1652" s="6" t="n">
        <v>27</v>
      </c>
      <c r="C1652" s="6" t="s">
        <v>159</v>
      </c>
      <c r="D1652" s="6" t="s">
        <v>148</v>
      </c>
      <c r="E1652" s="6" t="s">
        <v>88</v>
      </c>
      <c r="F1652" s="6" t="s">
        <v>179</v>
      </c>
      <c r="G1652" s="6" t="n">
        <v>2</v>
      </c>
      <c r="H1652" s="6" t="s">
        <v>81</v>
      </c>
      <c r="I1652" s="6" t="s">
        <v>81</v>
      </c>
      <c r="J1652" s="6" t="s">
        <v>58</v>
      </c>
      <c r="K1652" s="6" t="n">
        <v>55594</v>
      </c>
      <c r="L1652" s="6" t="n">
        <v>59572</v>
      </c>
      <c r="M1652" s="6" t="s">
        <v>146</v>
      </c>
      <c r="N1652" s="6" t="n">
        <v>40</v>
      </c>
      <c r="O1652" s="6" t="s">
        <v>58</v>
      </c>
      <c r="P1652" s="6" t="n">
        <v>4</v>
      </c>
      <c r="Q1652" s="6" t="n">
        <v>15.03</v>
      </c>
      <c r="R1652" s="20" t="n">
        <f aca="false">(L1652-K1652)/K1652</f>
        <v>0.0715544842968666</v>
      </c>
    </row>
    <row r="1653" customFormat="false" ht="15" hidden="false" customHeight="false" outlineLevel="0" collapsed="false">
      <c r="A1653" s="6" t="s">
        <v>1815</v>
      </c>
      <c r="B1653" s="6" t="n">
        <v>42</v>
      </c>
      <c r="C1653" s="6" t="s">
        <v>139</v>
      </c>
      <c r="D1653" s="6" t="s">
        <v>140</v>
      </c>
      <c r="E1653" s="6" t="s">
        <v>90</v>
      </c>
      <c r="F1653" s="6" t="s">
        <v>236</v>
      </c>
      <c r="G1653" s="6" t="n">
        <v>16</v>
      </c>
      <c r="H1653" s="6" t="s">
        <v>80</v>
      </c>
      <c r="I1653" s="6" t="s">
        <v>80</v>
      </c>
      <c r="J1653" s="6" t="s">
        <v>58</v>
      </c>
      <c r="K1653" s="6" t="n">
        <v>93226</v>
      </c>
      <c r="L1653" s="6" t="n">
        <v>98857</v>
      </c>
      <c r="M1653" s="6" t="s">
        <v>142</v>
      </c>
      <c r="N1653" s="6" t="n">
        <v>46</v>
      </c>
      <c r="O1653" s="6" t="s">
        <v>60</v>
      </c>
      <c r="P1653" s="6" t="n">
        <v>3</v>
      </c>
      <c r="Q1653" s="6" t="n">
        <v>13.41</v>
      </c>
      <c r="R1653" s="20" t="n">
        <f aca="false">(L1653-K1653)/K1653</f>
        <v>0.0604016047025508</v>
      </c>
    </row>
    <row r="1654" customFormat="false" ht="15" hidden="false" customHeight="false" outlineLevel="0" collapsed="false">
      <c r="A1654" s="6" t="s">
        <v>1816</v>
      </c>
      <c r="B1654" s="6" t="n">
        <v>58</v>
      </c>
      <c r="C1654" s="6" t="s">
        <v>134</v>
      </c>
      <c r="D1654" s="6" t="s">
        <v>135</v>
      </c>
      <c r="E1654" s="6" t="s">
        <v>89</v>
      </c>
      <c r="F1654" s="6" t="s">
        <v>153</v>
      </c>
      <c r="G1654" s="6" t="n">
        <v>35</v>
      </c>
      <c r="H1654" s="6" t="s">
        <v>82</v>
      </c>
      <c r="I1654" s="6" t="s">
        <v>80</v>
      </c>
      <c r="J1654" s="6" t="s">
        <v>58</v>
      </c>
      <c r="K1654" s="6" t="n">
        <v>78704</v>
      </c>
      <c r="L1654" s="6" t="n">
        <v>76573</v>
      </c>
      <c r="M1654" s="6" t="s">
        <v>142</v>
      </c>
      <c r="N1654" s="6" t="n">
        <v>45</v>
      </c>
      <c r="O1654" s="6" t="s">
        <v>58</v>
      </c>
      <c r="P1654" s="6" t="n">
        <v>7</v>
      </c>
      <c r="Q1654" s="6" t="n">
        <v>-10.38</v>
      </c>
      <c r="R1654" s="20" t="n">
        <f aca="false">(L1654-K1654)/K1654</f>
        <v>-0.0270761333604391</v>
      </c>
    </row>
    <row r="1655" customFormat="false" ht="15" hidden="false" customHeight="false" outlineLevel="0" collapsed="false">
      <c r="A1655" s="6" t="s">
        <v>1817</v>
      </c>
      <c r="B1655" s="6" t="n">
        <v>39</v>
      </c>
      <c r="C1655" s="6" t="s">
        <v>134</v>
      </c>
      <c r="D1655" s="6" t="s">
        <v>140</v>
      </c>
      <c r="E1655" s="6" t="s">
        <v>87</v>
      </c>
      <c r="F1655" s="6" t="s">
        <v>155</v>
      </c>
      <c r="G1655" s="6" t="n">
        <v>17</v>
      </c>
      <c r="H1655" s="6" t="s">
        <v>82</v>
      </c>
      <c r="I1655" s="6" t="s">
        <v>82</v>
      </c>
      <c r="J1655" s="6" t="s">
        <v>58</v>
      </c>
      <c r="K1655" s="6" t="n">
        <v>119532</v>
      </c>
      <c r="L1655" s="6" t="n">
        <v>109181</v>
      </c>
      <c r="M1655" s="6" t="s">
        <v>137</v>
      </c>
      <c r="N1655" s="6" t="n">
        <v>50</v>
      </c>
      <c r="O1655" s="6" t="s">
        <v>58</v>
      </c>
      <c r="P1655" s="6" t="n">
        <v>4</v>
      </c>
      <c r="Q1655" s="6" t="n">
        <v>8.17</v>
      </c>
      <c r="R1655" s="20" t="n">
        <f aca="false">(L1655-K1655)/K1655</f>
        <v>-0.0865960579593749</v>
      </c>
    </row>
    <row r="1656" customFormat="false" ht="15" hidden="false" customHeight="false" outlineLevel="0" collapsed="false">
      <c r="A1656" s="6" t="s">
        <v>1818</v>
      </c>
      <c r="B1656" s="6" t="n">
        <v>38</v>
      </c>
      <c r="C1656" s="6" t="s">
        <v>134</v>
      </c>
      <c r="D1656" s="6" t="s">
        <v>144</v>
      </c>
      <c r="E1656" s="6" t="s">
        <v>87</v>
      </c>
      <c r="F1656" s="6" t="s">
        <v>155</v>
      </c>
      <c r="G1656" s="6" t="n">
        <v>13</v>
      </c>
      <c r="H1656" s="6" t="s">
        <v>81</v>
      </c>
      <c r="I1656" s="6" t="s">
        <v>82</v>
      </c>
      <c r="J1656" s="6" t="s">
        <v>58</v>
      </c>
      <c r="K1656" s="6" t="n">
        <v>80665</v>
      </c>
      <c r="L1656" s="6" t="n">
        <v>84471</v>
      </c>
      <c r="M1656" s="6" t="s">
        <v>142</v>
      </c>
      <c r="N1656" s="6" t="n">
        <v>47</v>
      </c>
      <c r="O1656" s="6" t="s">
        <v>60</v>
      </c>
      <c r="P1656" s="6" t="n">
        <v>6</v>
      </c>
      <c r="Q1656" s="6" t="n">
        <v>37.97</v>
      </c>
      <c r="R1656" s="20" t="n">
        <f aca="false">(L1656-K1656)/K1656</f>
        <v>0.0471827930329139</v>
      </c>
    </row>
    <row r="1657" customFormat="false" ht="15" hidden="false" customHeight="false" outlineLevel="0" collapsed="false">
      <c r="A1657" s="6" t="s">
        <v>1819</v>
      </c>
      <c r="B1657" s="6" t="n">
        <v>49</v>
      </c>
      <c r="C1657" s="6" t="s">
        <v>134</v>
      </c>
      <c r="D1657" s="6" t="s">
        <v>144</v>
      </c>
      <c r="E1657" s="6" t="s">
        <v>91</v>
      </c>
      <c r="F1657" s="6" t="s">
        <v>208</v>
      </c>
      <c r="G1657" s="6" t="n">
        <v>26</v>
      </c>
      <c r="H1657" s="6" t="s">
        <v>80</v>
      </c>
      <c r="I1657" s="6" t="s">
        <v>81</v>
      </c>
      <c r="J1657" s="6" t="s">
        <v>60</v>
      </c>
      <c r="K1657" s="6" t="n">
        <v>92820</v>
      </c>
      <c r="L1657" s="6" t="n">
        <v>93156</v>
      </c>
      <c r="M1657" s="6" t="s">
        <v>146</v>
      </c>
      <c r="N1657" s="6" t="n">
        <v>54</v>
      </c>
      <c r="O1657" s="6" t="s">
        <v>58</v>
      </c>
      <c r="P1657" s="6" t="n">
        <v>7</v>
      </c>
      <c r="Q1657" s="6" t="n">
        <v>23.77</v>
      </c>
      <c r="R1657" s="20" t="n">
        <f aca="false">(L1657-K1657)/K1657</f>
        <v>0.00361990950226244</v>
      </c>
    </row>
    <row r="1658" customFormat="false" ht="15" hidden="false" customHeight="false" outlineLevel="0" collapsed="false">
      <c r="A1658" s="6" t="s">
        <v>1820</v>
      </c>
      <c r="B1658" s="6" t="n">
        <v>50</v>
      </c>
      <c r="C1658" s="6" t="s">
        <v>159</v>
      </c>
      <c r="D1658" s="6" t="s">
        <v>148</v>
      </c>
      <c r="E1658" s="6" t="s">
        <v>93</v>
      </c>
      <c r="F1658" s="6" t="s">
        <v>181</v>
      </c>
      <c r="G1658" s="6" t="n">
        <v>26</v>
      </c>
      <c r="H1658" s="6" t="s">
        <v>81</v>
      </c>
      <c r="I1658" s="6" t="s">
        <v>81</v>
      </c>
      <c r="J1658" s="6" t="s">
        <v>58</v>
      </c>
      <c r="K1658" s="6" t="n">
        <v>103802</v>
      </c>
      <c r="L1658" s="6" t="n">
        <v>106450</v>
      </c>
      <c r="M1658" s="6" t="s">
        <v>146</v>
      </c>
      <c r="N1658" s="6" t="n">
        <v>43</v>
      </c>
      <c r="O1658" s="6" t="s">
        <v>58</v>
      </c>
      <c r="P1658" s="6" t="n">
        <v>8</v>
      </c>
      <c r="Q1658" s="6" t="n">
        <v>6.45</v>
      </c>
      <c r="R1658" s="20" t="n">
        <f aca="false">(L1658-K1658)/K1658</f>
        <v>0.0255101057783087</v>
      </c>
    </row>
    <row r="1659" customFormat="false" ht="15" hidden="false" customHeight="false" outlineLevel="0" collapsed="false">
      <c r="A1659" s="6" t="s">
        <v>1821</v>
      </c>
      <c r="B1659" s="6" t="n">
        <v>30</v>
      </c>
      <c r="C1659" s="6" t="s">
        <v>134</v>
      </c>
      <c r="D1659" s="6" t="s">
        <v>144</v>
      </c>
      <c r="E1659" s="6" t="s">
        <v>90</v>
      </c>
      <c r="F1659" s="6" t="s">
        <v>145</v>
      </c>
      <c r="G1659" s="6" t="n">
        <v>6</v>
      </c>
      <c r="H1659" s="6" t="s">
        <v>82</v>
      </c>
      <c r="I1659" s="6" t="s">
        <v>81</v>
      </c>
      <c r="J1659" s="6" t="s">
        <v>60</v>
      </c>
      <c r="K1659" s="6" t="n">
        <v>99852</v>
      </c>
      <c r="L1659" s="6" t="n">
        <v>91068</v>
      </c>
      <c r="M1659" s="6" t="s">
        <v>146</v>
      </c>
      <c r="N1659" s="6" t="n">
        <v>46</v>
      </c>
      <c r="O1659" s="6" t="s">
        <v>58</v>
      </c>
      <c r="P1659" s="6" t="n">
        <v>8</v>
      </c>
      <c r="Q1659" s="6" t="n">
        <v>0.76</v>
      </c>
      <c r="R1659" s="20" t="n">
        <f aca="false">(L1659-K1659)/K1659</f>
        <v>-0.0879701958899171</v>
      </c>
    </row>
    <row r="1660" customFormat="false" ht="15" hidden="false" customHeight="false" outlineLevel="0" collapsed="false">
      <c r="A1660" s="6" t="s">
        <v>1822</v>
      </c>
      <c r="B1660" s="6" t="n">
        <v>39</v>
      </c>
      <c r="C1660" s="6" t="s">
        <v>139</v>
      </c>
      <c r="D1660" s="6" t="s">
        <v>140</v>
      </c>
      <c r="E1660" s="6" t="s">
        <v>89</v>
      </c>
      <c r="F1660" s="6" t="s">
        <v>162</v>
      </c>
      <c r="G1660" s="6" t="n">
        <v>14</v>
      </c>
      <c r="H1660" s="6" t="s">
        <v>81</v>
      </c>
      <c r="I1660" s="6" t="s">
        <v>82</v>
      </c>
      <c r="J1660" s="6" t="s">
        <v>58</v>
      </c>
      <c r="K1660" s="6" t="n">
        <v>31214</v>
      </c>
      <c r="L1660" s="6" t="n">
        <v>31781</v>
      </c>
      <c r="M1660" s="6" t="s">
        <v>142</v>
      </c>
      <c r="N1660" s="6" t="n">
        <v>44</v>
      </c>
      <c r="O1660" s="6" t="s">
        <v>58</v>
      </c>
      <c r="P1660" s="6" t="n">
        <v>6</v>
      </c>
      <c r="Q1660" s="6" t="n">
        <v>4.98</v>
      </c>
      <c r="R1660" s="20" t="n">
        <f aca="false">(L1660-K1660)/K1660</f>
        <v>0.0181649259947459</v>
      </c>
    </row>
    <row r="1661" customFormat="false" ht="15" hidden="false" customHeight="false" outlineLevel="0" collapsed="false">
      <c r="A1661" s="6" t="s">
        <v>1823</v>
      </c>
      <c r="B1661" s="6" t="n">
        <v>40</v>
      </c>
      <c r="C1661" s="6" t="s">
        <v>159</v>
      </c>
      <c r="D1661" s="6" t="s">
        <v>144</v>
      </c>
      <c r="E1661" s="6" t="s">
        <v>91</v>
      </c>
      <c r="F1661" s="6" t="s">
        <v>208</v>
      </c>
      <c r="G1661" s="6" t="n">
        <v>18</v>
      </c>
      <c r="H1661" s="6" t="s">
        <v>81</v>
      </c>
      <c r="I1661" s="6" t="s">
        <v>81</v>
      </c>
      <c r="J1661" s="6" t="s">
        <v>58</v>
      </c>
      <c r="K1661" s="6" t="n">
        <v>55538</v>
      </c>
      <c r="L1661" s="6" t="n">
        <v>55614</v>
      </c>
      <c r="M1661" s="6" t="s">
        <v>146</v>
      </c>
      <c r="N1661" s="6" t="n">
        <v>36</v>
      </c>
      <c r="O1661" s="6" t="s">
        <v>58</v>
      </c>
      <c r="P1661" s="6" t="n">
        <v>7</v>
      </c>
      <c r="Q1661" s="6" t="n">
        <v>-1.4</v>
      </c>
      <c r="R1661" s="20" t="n">
        <f aca="false">(L1661-K1661)/K1661</f>
        <v>0.00136843242464619</v>
      </c>
    </row>
    <row r="1662" customFormat="false" ht="15" hidden="false" customHeight="false" outlineLevel="0" collapsed="false">
      <c r="A1662" s="6" t="s">
        <v>1824</v>
      </c>
      <c r="B1662" s="6" t="n">
        <v>50</v>
      </c>
      <c r="C1662" s="6" t="s">
        <v>159</v>
      </c>
      <c r="D1662" s="6" t="s">
        <v>144</v>
      </c>
      <c r="E1662" s="6" t="s">
        <v>92</v>
      </c>
      <c r="F1662" s="6" t="s">
        <v>222</v>
      </c>
      <c r="G1662" s="6" t="n">
        <v>28</v>
      </c>
      <c r="H1662" s="6" t="s">
        <v>81</v>
      </c>
      <c r="I1662" s="6" t="s">
        <v>82</v>
      </c>
      <c r="J1662" s="6" t="s">
        <v>58</v>
      </c>
      <c r="K1662" s="6" t="n">
        <v>102105</v>
      </c>
      <c r="L1662" s="6" t="n">
        <v>100322</v>
      </c>
      <c r="M1662" s="6" t="s">
        <v>142</v>
      </c>
      <c r="N1662" s="6" t="n">
        <v>52</v>
      </c>
      <c r="O1662" s="6" t="s">
        <v>58</v>
      </c>
      <c r="P1662" s="6" t="n">
        <v>7</v>
      </c>
      <c r="Q1662" s="6" t="n">
        <v>10.43</v>
      </c>
      <c r="R1662" s="20" t="n">
        <f aca="false">(L1662-K1662)/K1662</f>
        <v>-0.0174624161402478</v>
      </c>
    </row>
    <row r="1663" customFormat="false" ht="15" hidden="false" customHeight="false" outlineLevel="0" collapsed="false">
      <c r="A1663" s="6" t="s">
        <v>1825</v>
      </c>
      <c r="B1663" s="6" t="n">
        <v>36</v>
      </c>
      <c r="C1663" s="6" t="s">
        <v>139</v>
      </c>
      <c r="D1663" s="6" t="s">
        <v>144</v>
      </c>
      <c r="E1663" s="6" t="s">
        <v>91</v>
      </c>
      <c r="F1663" s="6" t="s">
        <v>206</v>
      </c>
      <c r="G1663" s="6" t="n">
        <v>11</v>
      </c>
      <c r="H1663" s="6" t="s">
        <v>80</v>
      </c>
      <c r="I1663" s="6" t="s">
        <v>80</v>
      </c>
      <c r="J1663" s="6" t="s">
        <v>60</v>
      </c>
      <c r="K1663" s="6" t="n">
        <v>56119</v>
      </c>
      <c r="L1663" s="6" t="n">
        <v>58213</v>
      </c>
      <c r="M1663" s="6" t="s">
        <v>142</v>
      </c>
      <c r="N1663" s="6" t="n">
        <v>46</v>
      </c>
      <c r="O1663" s="6" t="s">
        <v>60</v>
      </c>
      <c r="P1663" s="6" t="n">
        <v>4</v>
      </c>
      <c r="Q1663" s="6" t="n">
        <v>-5.07</v>
      </c>
      <c r="R1663" s="20" t="n">
        <f aca="false">(L1663-K1663)/K1663</f>
        <v>0.0373135658154992</v>
      </c>
    </row>
    <row r="1664" customFormat="false" ht="15" hidden="false" customHeight="false" outlineLevel="0" collapsed="false">
      <c r="A1664" s="6" t="s">
        <v>1826</v>
      </c>
      <c r="B1664" s="6" t="n">
        <v>54</v>
      </c>
      <c r="C1664" s="6" t="s">
        <v>139</v>
      </c>
      <c r="D1664" s="6" t="s">
        <v>140</v>
      </c>
      <c r="E1664" s="6" t="s">
        <v>93</v>
      </c>
      <c r="F1664" s="6" t="s">
        <v>164</v>
      </c>
      <c r="G1664" s="6" t="n">
        <v>31</v>
      </c>
      <c r="H1664" s="6" t="s">
        <v>82</v>
      </c>
      <c r="I1664" s="6" t="s">
        <v>81</v>
      </c>
      <c r="J1664" s="6" t="s">
        <v>60</v>
      </c>
      <c r="K1664" s="6" t="n">
        <v>47881</v>
      </c>
      <c r="L1664" s="6" t="n">
        <v>62530</v>
      </c>
      <c r="M1664" s="6" t="s">
        <v>146</v>
      </c>
      <c r="N1664" s="6" t="n">
        <v>49</v>
      </c>
      <c r="O1664" s="6" t="s">
        <v>60</v>
      </c>
      <c r="P1664" s="6" t="n">
        <v>4</v>
      </c>
      <c r="Q1664" s="6" t="n">
        <v>9.38</v>
      </c>
      <c r="R1664" s="20" t="n">
        <f aca="false">(L1664-K1664)/K1664</f>
        <v>0.305945991102943</v>
      </c>
    </row>
    <row r="1665" customFormat="false" ht="15" hidden="false" customHeight="false" outlineLevel="0" collapsed="false">
      <c r="A1665" s="6" t="s">
        <v>1827</v>
      </c>
      <c r="B1665" s="6" t="n">
        <v>22</v>
      </c>
      <c r="C1665" s="6" t="s">
        <v>159</v>
      </c>
      <c r="D1665" s="6" t="s">
        <v>135</v>
      </c>
      <c r="E1665" s="6" t="s">
        <v>91</v>
      </c>
      <c r="F1665" s="6" t="s">
        <v>141</v>
      </c>
      <c r="G1665" s="6" t="n">
        <v>0</v>
      </c>
      <c r="H1665" s="6" t="s">
        <v>80</v>
      </c>
      <c r="I1665" s="6" t="s">
        <v>82</v>
      </c>
      <c r="J1665" s="6" t="s">
        <v>60</v>
      </c>
      <c r="K1665" s="6" t="n">
        <v>85041</v>
      </c>
      <c r="L1665" s="6" t="n">
        <v>83422</v>
      </c>
      <c r="M1665" s="6" t="s">
        <v>142</v>
      </c>
      <c r="N1665" s="6" t="n">
        <v>44</v>
      </c>
      <c r="O1665" s="6" t="s">
        <v>58</v>
      </c>
      <c r="P1665" s="6" t="n">
        <v>4</v>
      </c>
      <c r="Q1665" s="6" t="n">
        <v>21.24</v>
      </c>
      <c r="R1665" s="20" t="n">
        <f aca="false">(L1665-K1665)/K1665</f>
        <v>-0.0190378758481203</v>
      </c>
    </row>
    <row r="1666" customFormat="false" ht="15" hidden="false" customHeight="false" outlineLevel="0" collapsed="false">
      <c r="A1666" s="6" t="s">
        <v>1828</v>
      </c>
      <c r="B1666" s="6" t="n">
        <v>38</v>
      </c>
      <c r="C1666" s="6" t="s">
        <v>159</v>
      </c>
      <c r="D1666" s="6" t="s">
        <v>144</v>
      </c>
      <c r="E1666" s="6" t="s">
        <v>88</v>
      </c>
      <c r="F1666" s="6" t="s">
        <v>179</v>
      </c>
      <c r="G1666" s="6" t="n">
        <v>15</v>
      </c>
      <c r="H1666" s="6" t="s">
        <v>81</v>
      </c>
      <c r="I1666" s="6" t="s">
        <v>80</v>
      </c>
      <c r="J1666" s="6" t="s">
        <v>60</v>
      </c>
      <c r="K1666" s="6" t="n">
        <v>32786</v>
      </c>
      <c r="L1666" s="6" t="n">
        <v>31682</v>
      </c>
      <c r="M1666" s="6" t="s">
        <v>142</v>
      </c>
      <c r="N1666" s="6" t="n">
        <v>40</v>
      </c>
      <c r="O1666" s="6" t="s">
        <v>60</v>
      </c>
      <c r="P1666" s="6" t="n">
        <v>5</v>
      </c>
      <c r="Q1666" s="6" t="n">
        <v>-3.54</v>
      </c>
      <c r="R1666" s="20" t="n">
        <f aca="false">(L1666-K1666)/K1666</f>
        <v>-0.0336729091685476</v>
      </c>
    </row>
    <row r="1667" customFormat="false" ht="15" hidden="false" customHeight="false" outlineLevel="0" collapsed="false">
      <c r="A1667" s="6" t="s">
        <v>1829</v>
      </c>
      <c r="B1667" s="6" t="n">
        <v>42</v>
      </c>
      <c r="C1667" s="6" t="s">
        <v>159</v>
      </c>
      <c r="D1667" s="6" t="s">
        <v>148</v>
      </c>
      <c r="E1667" s="6" t="s">
        <v>91</v>
      </c>
      <c r="F1667" s="6" t="s">
        <v>208</v>
      </c>
      <c r="G1667" s="6" t="n">
        <v>16</v>
      </c>
      <c r="H1667" s="6" t="s">
        <v>81</v>
      </c>
      <c r="I1667" s="6" t="s">
        <v>81</v>
      </c>
      <c r="J1667" s="6" t="s">
        <v>58</v>
      </c>
      <c r="K1667" s="6" t="n">
        <v>39745</v>
      </c>
      <c r="L1667" s="6" t="n">
        <v>40791</v>
      </c>
      <c r="M1667" s="6" t="s">
        <v>146</v>
      </c>
      <c r="N1667" s="6" t="n">
        <v>38</v>
      </c>
      <c r="O1667" s="6" t="s">
        <v>60</v>
      </c>
      <c r="P1667" s="6" t="n">
        <v>8</v>
      </c>
      <c r="Q1667" s="6" t="n">
        <v>-15.89</v>
      </c>
      <c r="R1667" s="20" t="n">
        <f aca="false">(L1667-K1667)/K1667</f>
        <v>0.026317775820858</v>
      </c>
    </row>
    <row r="1668" customFormat="false" ht="15" hidden="false" customHeight="false" outlineLevel="0" collapsed="false">
      <c r="A1668" s="6" t="s">
        <v>1830</v>
      </c>
      <c r="B1668" s="6" t="n">
        <v>45</v>
      </c>
      <c r="C1668" s="6" t="s">
        <v>134</v>
      </c>
      <c r="D1668" s="6" t="s">
        <v>135</v>
      </c>
      <c r="E1668" s="6" t="s">
        <v>87</v>
      </c>
      <c r="F1668" s="6" t="s">
        <v>149</v>
      </c>
      <c r="G1668" s="6" t="n">
        <v>19</v>
      </c>
      <c r="H1668" s="6" t="s">
        <v>82</v>
      </c>
      <c r="I1668" s="6" t="s">
        <v>81</v>
      </c>
      <c r="J1668" s="6" t="s">
        <v>60</v>
      </c>
      <c r="K1668" s="6" t="n">
        <v>116089</v>
      </c>
      <c r="L1668" s="6" t="n">
        <v>123932</v>
      </c>
      <c r="M1668" s="6" t="s">
        <v>146</v>
      </c>
      <c r="N1668" s="6" t="n">
        <v>52</v>
      </c>
      <c r="O1668" s="6" t="s">
        <v>58</v>
      </c>
      <c r="P1668" s="6" t="n">
        <v>3</v>
      </c>
      <c r="Q1668" s="6" t="n">
        <v>-6.52</v>
      </c>
      <c r="R1668" s="20" t="n">
        <f aca="false">(L1668-K1668)/K1668</f>
        <v>0.0675602339584285</v>
      </c>
    </row>
    <row r="1669" customFormat="false" ht="15" hidden="false" customHeight="false" outlineLevel="0" collapsed="false">
      <c r="A1669" s="6" t="s">
        <v>1831</v>
      </c>
      <c r="B1669" s="6" t="n">
        <v>59</v>
      </c>
      <c r="C1669" s="6" t="s">
        <v>139</v>
      </c>
      <c r="D1669" s="6" t="s">
        <v>140</v>
      </c>
      <c r="E1669" s="6" t="s">
        <v>91</v>
      </c>
      <c r="F1669" s="6" t="s">
        <v>141</v>
      </c>
      <c r="G1669" s="6" t="n">
        <v>33</v>
      </c>
      <c r="H1669" s="6" t="s">
        <v>81</v>
      </c>
      <c r="I1669" s="6" t="s">
        <v>81</v>
      </c>
      <c r="J1669" s="6" t="s">
        <v>58</v>
      </c>
      <c r="K1669" s="6" t="n">
        <v>57350</v>
      </c>
      <c r="L1669" s="6" t="n">
        <v>58075</v>
      </c>
      <c r="M1669" s="6" t="s">
        <v>146</v>
      </c>
      <c r="N1669" s="6" t="n">
        <v>44</v>
      </c>
      <c r="O1669" s="6" t="s">
        <v>60</v>
      </c>
      <c r="P1669" s="6" t="n">
        <v>5</v>
      </c>
      <c r="Q1669" s="6" t="n">
        <v>9.87</v>
      </c>
      <c r="R1669" s="20" t="n">
        <f aca="false">(L1669-K1669)/K1669</f>
        <v>0.0126416739319965</v>
      </c>
    </row>
    <row r="1670" customFormat="false" ht="15" hidden="false" customHeight="false" outlineLevel="0" collapsed="false">
      <c r="A1670" s="6" t="s">
        <v>1832</v>
      </c>
      <c r="B1670" s="6" t="n">
        <v>34</v>
      </c>
      <c r="C1670" s="6" t="s">
        <v>139</v>
      </c>
      <c r="D1670" s="6" t="s">
        <v>148</v>
      </c>
      <c r="E1670" s="6" t="s">
        <v>93</v>
      </c>
      <c r="F1670" s="6" t="s">
        <v>164</v>
      </c>
      <c r="G1670" s="6" t="n">
        <v>9</v>
      </c>
      <c r="H1670" s="6" t="s">
        <v>82</v>
      </c>
      <c r="I1670" s="6" t="s">
        <v>80</v>
      </c>
      <c r="J1670" s="6" t="s">
        <v>60</v>
      </c>
      <c r="K1670" s="6" t="n">
        <v>63800</v>
      </c>
      <c r="L1670" s="6" t="n">
        <v>70945</v>
      </c>
      <c r="M1670" s="6" t="s">
        <v>142</v>
      </c>
      <c r="N1670" s="6" t="n">
        <v>36</v>
      </c>
      <c r="O1670" s="6" t="s">
        <v>58</v>
      </c>
      <c r="P1670" s="6" t="n">
        <v>9</v>
      </c>
      <c r="Q1670" s="6" t="n">
        <v>27.28</v>
      </c>
      <c r="R1670" s="20" t="n">
        <f aca="false">(L1670-K1670)/K1670</f>
        <v>0.111990595611285</v>
      </c>
    </row>
    <row r="1671" customFormat="false" ht="15" hidden="false" customHeight="false" outlineLevel="0" collapsed="false">
      <c r="A1671" s="6" t="s">
        <v>1833</v>
      </c>
      <c r="B1671" s="6" t="n">
        <v>26</v>
      </c>
      <c r="C1671" s="6" t="s">
        <v>139</v>
      </c>
      <c r="D1671" s="6" t="s">
        <v>135</v>
      </c>
      <c r="E1671" s="6" t="s">
        <v>89</v>
      </c>
      <c r="F1671" s="6" t="s">
        <v>151</v>
      </c>
      <c r="G1671" s="6" t="n">
        <v>3</v>
      </c>
      <c r="H1671" s="6" t="s">
        <v>80</v>
      </c>
      <c r="I1671" s="6" t="s">
        <v>80</v>
      </c>
      <c r="J1671" s="6" t="s">
        <v>60</v>
      </c>
      <c r="K1671" s="6" t="n">
        <v>70498</v>
      </c>
      <c r="L1671" s="6" t="n">
        <v>69551</v>
      </c>
      <c r="M1671" s="6" t="s">
        <v>142</v>
      </c>
      <c r="N1671" s="6" t="n">
        <v>42</v>
      </c>
      <c r="O1671" s="6" t="s">
        <v>58</v>
      </c>
      <c r="P1671" s="6" t="n">
        <v>3</v>
      </c>
      <c r="Q1671" s="6" t="n">
        <v>-10.85</v>
      </c>
      <c r="R1671" s="20" t="n">
        <f aca="false">(L1671-K1671)/K1671</f>
        <v>-0.0134330051916366</v>
      </c>
    </row>
    <row r="1672" customFormat="false" ht="15" hidden="false" customHeight="false" outlineLevel="0" collapsed="false">
      <c r="A1672" s="6" t="s">
        <v>1834</v>
      </c>
      <c r="B1672" s="6" t="n">
        <v>45</v>
      </c>
      <c r="C1672" s="6" t="s">
        <v>159</v>
      </c>
      <c r="D1672" s="6" t="s">
        <v>148</v>
      </c>
      <c r="E1672" s="6" t="s">
        <v>90</v>
      </c>
      <c r="F1672" s="6" t="s">
        <v>202</v>
      </c>
      <c r="G1672" s="6" t="n">
        <v>19</v>
      </c>
      <c r="H1672" s="6" t="s">
        <v>82</v>
      </c>
      <c r="I1672" s="6" t="s">
        <v>82</v>
      </c>
      <c r="J1672" s="6" t="s">
        <v>60</v>
      </c>
      <c r="K1672" s="6" t="n">
        <v>115366</v>
      </c>
      <c r="L1672" s="6" t="n">
        <v>99517</v>
      </c>
      <c r="M1672" s="6" t="s">
        <v>137</v>
      </c>
      <c r="N1672" s="6" t="n">
        <v>51</v>
      </c>
      <c r="O1672" s="6" t="s">
        <v>60</v>
      </c>
      <c r="P1672" s="6" t="n">
        <v>7</v>
      </c>
      <c r="Q1672" s="6" t="n">
        <v>38.96</v>
      </c>
      <c r="R1672" s="20" t="n">
        <f aca="false">(L1672-K1672)/K1672</f>
        <v>-0.137380163999792</v>
      </c>
    </row>
    <row r="1673" customFormat="false" ht="15" hidden="false" customHeight="false" outlineLevel="0" collapsed="false">
      <c r="A1673" s="6" t="s">
        <v>1835</v>
      </c>
      <c r="B1673" s="6" t="n">
        <v>59</v>
      </c>
      <c r="C1673" s="6" t="s">
        <v>134</v>
      </c>
      <c r="D1673" s="6" t="s">
        <v>135</v>
      </c>
      <c r="E1673" s="6" t="s">
        <v>92</v>
      </c>
      <c r="F1673" s="6" t="s">
        <v>136</v>
      </c>
      <c r="G1673" s="6" t="n">
        <v>36</v>
      </c>
      <c r="H1673" s="6" t="s">
        <v>82</v>
      </c>
      <c r="I1673" s="6" t="s">
        <v>82</v>
      </c>
      <c r="J1673" s="6" t="s">
        <v>58</v>
      </c>
      <c r="K1673" s="6" t="n">
        <v>100423</v>
      </c>
      <c r="L1673" s="6" t="n">
        <v>91814</v>
      </c>
      <c r="M1673" s="6" t="s">
        <v>146</v>
      </c>
      <c r="N1673" s="6" t="n">
        <v>49</v>
      </c>
      <c r="O1673" s="6" t="s">
        <v>58</v>
      </c>
      <c r="P1673" s="6" t="n">
        <v>5</v>
      </c>
      <c r="Q1673" s="6" t="n">
        <v>6.53</v>
      </c>
      <c r="R1673" s="20" t="n">
        <f aca="false">(L1673-K1673)/K1673</f>
        <v>-0.0857273732113161</v>
      </c>
    </row>
    <row r="1674" customFormat="false" ht="15" hidden="false" customHeight="false" outlineLevel="0" collapsed="false">
      <c r="A1674" s="6" t="s">
        <v>1836</v>
      </c>
      <c r="B1674" s="6" t="n">
        <v>34</v>
      </c>
      <c r="C1674" s="6" t="s">
        <v>139</v>
      </c>
      <c r="D1674" s="6" t="s">
        <v>144</v>
      </c>
      <c r="E1674" s="6" t="s">
        <v>92</v>
      </c>
      <c r="F1674" s="6" t="s">
        <v>222</v>
      </c>
      <c r="G1674" s="6" t="n">
        <v>8</v>
      </c>
      <c r="H1674" s="6" t="s">
        <v>81</v>
      </c>
      <c r="I1674" s="6" t="s">
        <v>82</v>
      </c>
      <c r="J1674" s="6" t="s">
        <v>60</v>
      </c>
      <c r="K1674" s="6" t="n">
        <v>111311</v>
      </c>
      <c r="L1674" s="6" t="n">
        <v>111209</v>
      </c>
      <c r="M1674" s="6" t="s">
        <v>142</v>
      </c>
      <c r="N1674" s="6" t="n">
        <v>51</v>
      </c>
      <c r="O1674" s="6" t="s">
        <v>58</v>
      </c>
      <c r="P1674" s="6" t="n">
        <v>5</v>
      </c>
      <c r="Q1674" s="6" t="n">
        <v>15.72</v>
      </c>
      <c r="R1674" s="20" t="n">
        <f aca="false">(L1674-K1674)/K1674</f>
        <v>-0.000916351483680858</v>
      </c>
    </row>
    <row r="1675" customFormat="false" ht="15" hidden="false" customHeight="false" outlineLevel="0" collapsed="false">
      <c r="A1675" s="6" t="s">
        <v>1837</v>
      </c>
      <c r="B1675" s="6" t="n">
        <v>25</v>
      </c>
      <c r="C1675" s="6" t="s">
        <v>159</v>
      </c>
      <c r="D1675" s="6" t="s">
        <v>135</v>
      </c>
      <c r="E1675" s="6" t="s">
        <v>93</v>
      </c>
      <c r="F1675" s="6" t="s">
        <v>181</v>
      </c>
      <c r="G1675" s="6" t="n">
        <v>0</v>
      </c>
      <c r="H1675" s="6" t="s">
        <v>81</v>
      </c>
      <c r="I1675" s="6" t="s">
        <v>80</v>
      </c>
      <c r="J1675" s="6" t="s">
        <v>60</v>
      </c>
      <c r="K1675" s="6" t="n">
        <v>60482</v>
      </c>
      <c r="L1675" s="6" t="n">
        <v>69738</v>
      </c>
      <c r="M1675" s="6" t="s">
        <v>142</v>
      </c>
      <c r="N1675" s="6" t="n">
        <v>36</v>
      </c>
      <c r="O1675" s="6" t="s">
        <v>60</v>
      </c>
      <c r="P1675" s="6" t="n">
        <v>5</v>
      </c>
      <c r="Q1675" s="6" t="n">
        <v>21.3</v>
      </c>
      <c r="R1675" s="20" t="n">
        <f aca="false">(L1675-K1675)/K1675</f>
        <v>0.153037267286135</v>
      </c>
    </row>
    <row r="1676" customFormat="false" ht="15" hidden="false" customHeight="false" outlineLevel="0" collapsed="false">
      <c r="A1676" s="6" t="s">
        <v>1838</v>
      </c>
      <c r="B1676" s="6" t="n">
        <v>44</v>
      </c>
      <c r="C1676" s="6" t="s">
        <v>139</v>
      </c>
      <c r="D1676" s="6" t="s">
        <v>140</v>
      </c>
      <c r="E1676" s="6" t="s">
        <v>91</v>
      </c>
      <c r="F1676" s="6" t="s">
        <v>206</v>
      </c>
      <c r="G1676" s="6" t="n">
        <v>21</v>
      </c>
      <c r="H1676" s="6" t="s">
        <v>80</v>
      </c>
      <c r="I1676" s="6" t="s">
        <v>82</v>
      </c>
      <c r="J1676" s="6" t="s">
        <v>60</v>
      </c>
      <c r="K1676" s="6" t="n">
        <v>43890</v>
      </c>
      <c r="L1676" s="6" t="n">
        <v>46967</v>
      </c>
      <c r="M1676" s="6" t="s">
        <v>142</v>
      </c>
      <c r="N1676" s="6" t="n">
        <v>44</v>
      </c>
      <c r="O1676" s="6" t="s">
        <v>58</v>
      </c>
      <c r="P1676" s="6" t="n">
        <v>5</v>
      </c>
      <c r="Q1676" s="6" t="n">
        <v>35.1</v>
      </c>
      <c r="R1676" s="20" t="n">
        <f aca="false">(L1676-K1676)/K1676</f>
        <v>0.0701070858965596</v>
      </c>
    </row>
    <row r="1677" customFormat="false" ht="15" hidden="false" customHeight="false" outlineLevel="0" collapsed="false">
      <c r="A1677" s="6" t="s">
        <v>1839</v>
      </c>
      <c r="B1677" s="6" t="n">
        <v>56</v>
      </c>
      <c r="C1677" s="6" t="s">
        <v>139</v>
      </c>
      <c r="D1677" s="6" t="s">
        <v>135</v>
      </c>
      <c r="E1677" s="6" t="s">
        <v>90</v>
      </c>
      <c r="F1677" s="6" t="s">
        <v>236</v>
      </c>
      <c r="G1677" s="6" t="n">
        <v>34</v>
      </c>
      <c r="H1677" s="6" t="s">
        <v>80</v>
      </c>
      <c r="I1677" s="6" t="s">
        <v>82</v>
      </c>
      <c r="J1677" s="6" t="s">
        <v>60</v>
      </c>
      <c r="K1677" s="6" t="n">
        <v>101975</v>
      </c>
      <c r="L1677" s="6" t="n">
        <v>101796</v>
      </c>
      <c r="M1677" s="6" t="s">
        <v>142</v>
      </c>
      <c r="N1677" s="6" t="n">
        <v>40</v>
      </c>
      <c r="O1677" s="6" t="s">
        <v>60</v>
      </c>
      <c r="P1677" s="6" t="n">
        <v>4</v>
      </c>
      <c r="Q1677" s="6" t="n">
        <v>-12.07</v>
      </c>
      <c r="R1677" s="20" t="n">
        <f aca="false">(L1677-K1677)/K1677</f>
        <v>-0.00175533218926207</v>
      </c>
    </row>
    <row r="1678" customFormat="false" ht="15" hidden="false" customHeight="false" outlineLevel="0" collapsed="false">
      <c r="A1678" s="6" t="s">
        <v>1840</v>
      </c>
      <c r="B1678" s="6" t="n">
        <v>42</v>
      </c>
      <c r="C1678" s="6" t="s">
        <v>134</v>
      </c>
      <c r="D1678" s="6" t="s">
        <v>135</v>
      </c>
      <c r="E1678" s="6" t="s">
        <v>89</v>
      </c>
      <c r="F1678" s="6" t="s">
        <v>153</v>
      </c>
      <c r="G1678" s="6" t="n">
        <v>18</v>
      </c>
      <c r="H1678" s="6" t="s">
        <v>80</v>
      </c>
      <c r="I1678" s="6" t="s">
        <v>82</v>
      </c>
      <c r="J1678" s="6" t="s">
        <v>58</v>
      </c>
      <c r="K1678" s="6" t="n">
        <v>113312</v>
      </c>
      <c r="L1678" s="6" t="n">
        <v>124425</v>
      </c>
      <c r="M1678" s="6" t="s">
        <v>142</v>
      </c>
      <c r="N1678" s="6" t="n">
        <v>39</v>
      </c>
      <c r="O1678" s="6" t="s">
        <v>58</v>
      </c>
      <c r="P1678" s="6" t="n">
        <v>9</v>
      </c>
      <c r="Q1678" s="6" t="n">
        <v>-0.92</v>
      </c>
      <c r="R1678" s="20" t="n">
        <f aca="false">(L1678-K1678)/K1678</f>
        <v>0.0980743434058176</v>
      </c>
    </row>
    <row r="1679" customFormat="false" ht="15" hidden="false" customHeight="false" outlineLevel="0" collapsed="false">
      <c r="A1679" s="6" t="s">
        <v>1841</v>
      </c>
      <c r="B1679" s="6" t="n">
        <v>54</v>
      </c>
      <c r="C1679" s="6" t="s">
        <v>139</v>
      </c>
      <c r="D1679" s="6" t="s">
        <v>135</v>
      </c>
      <c r="E1679" s="6" t="s">
        <v>90</v>
      </c>
      <c r="F1679" s="6" t="s">
        <v>202</v>
      </c>
      <c r="G1679" s="6" t="n">
        <v>29</v>
      </c>
      <c r="H1679" s="6" t="s">
        <v>81</v>
      </c>
      <c r="I1679" s="6" t="s">
        <v>81</v>
      </c>
      <c r="J1679" s="6" t="s">
        <v>60</v>
      </c>
      <c r="K1679" s="6" t="n">
        <v>60383</v>
      </c>
      <c r="L1679" s="6" t="n">
        <v>58418</v>
      </c>
      <c r="M1679" s="6" t="s">
        <v>146</v>
      </c>
      <c r="N1679" s="6" t="n">
        <v>49</v>
      </c>
      <c r="O1679" s="6" t="s">
        <v>58</v>
      </c>
      <c r="P1679" s="6" t="n">
        <v>4</v>
      </c>
      <c r="Q1679" s="6" t="n">
        <v>11.17</v>
      </c>
      <c r="R1679" s="20" t="n">
        <f aca="false">(L1679-K1679)/K1679</f>
        <v>-0.0325422718314758</v>
      </c>
    </row>
    <row r="1680" customFormat="false" ht="15" hidden="false" customHeight="false" outlineLevel="0" collapsed="false">
      <c r="A1680" s="6" t="s">
        <v>1842</v>
      </c>
      <c r="B1680" s="6" t="n">
        <v>24</v>
      </c>
      <c r="C1680" s="6" t="s">
        <v>134</v>
      </c>
      <c r="D1680" s="6" t="s">
        <v>148</v>
      </c>
      <c r="E1680" s="6" t="s">
        <v>92</v>
      </c>
      <c r="F1680" s="6" t="s">
        <v>136</v>
      </c>
      <c r="G1680" s="6" t="n">
        <v>1</v>
      </c>
      <c r="H1680" s="6" t="s">
        <v>81</v>
      </c>
      <c r="I1680" s="6" t="s">
        <v>80</v>
      </c>
      <c r="J1680" s="6" t="s">
        <v>60</v>
      </c>
      <c r="K1680" s="6" t="n">
        <v>47443</v>
      </c>
      <c r="L1680" s="6" t="n">
        <v>46435</v>
      </c>
      <c r="M1680" s="6" t="s">
        <v>142</v>
      </c>
      <c r="N1680" s="6" t="n">
        <v>51</v>
      </c>
      <c r="O1680" s="6" t="s">
        <v>58</v>
      </c>
      <c r="P1680" s="6" t="n">
        <v>8</v>
      </c>
      <c r="Q1680" s="6" t="n">
        <v>-17.64</v>
      </c>
      <c r="R1680" s="20" t="n">
        <f aca="false">(L1680-K1680)/K1680</f>
        <v>-0.0212465484897667</v>
      </c>
    </row>
    <row r="1681" customFormat="false" ht="15" hidden="false" customHeight="false" outlineLevel="0" collapsed="false">
      <c r="A1681" s="6" t="s">
        <v>1843</v>
      </c>
      <c r="B1681" s="6" t="n">
        <v>48</v>
      </c>
      <c r="C1681" s="6" t="s">
        <v>159</v>
      </c>
      <c r="D1681" s="6" t="s">
        <v>135</v>
      </c>
      <c r="E1681" s="6" t="s">
        <v>93</v>
      </c>
      <c r="F1681" s="6" t="s">
        <v>164</v>
      </c>
      <c r="G1681" s="6" t="n">
        <v>26</v>
      </c>
      <c r="H1681" s="6" t="s">
        <v>82</v>
      </c>
      <c r="I1681" s="6" t="s">
        <v>81</v>
      </c>
      <c r="J1681" s="6" t="s">
        <v>60</v>
      </c>
      <c r="K1681" s="6" t="n">
        <v>62210</v>
      </c>
      <c r="L1681" s="6" t="n">
        <v>66763</v>
      </c>
      <c r="M1681" s="6" t="s">
        <v>146</v>
      </c>
      <c r="N1681" s="6" t="n">
        <v>47</v>
      </c>
      <c r="O1681" s="6" t="s">
        <v>60</v>
      </c>
      <c r="P1681" s="6" t="n">
        <v>5</v>
      </c>
      <c r="Q1681" s="6" t="n">
        <v>21.88</v>
      </c>
      <c r="R1681" s="20" t="n">
        <f aca="false">(L1681-K1681)/K1681</f>
        <v>0.0731875904195467</v>
      </c>
    </row>
    <row r="1682" customFormat="false" ht="15" hidden="false" customHeight="false" outlineLevel="0" collapsed="false">
      <c r="A1682" s="6" t="s">
        <v>1844</v>
      </c>
      <c r="B1682" s="6" t="n">
        <v>47</v>
      </c>
      <c r="C1682" s="6" t="s">
        <v>134</v>
      </c>
      <c r="D1682" s="6" t="s">
        <v>144</v>
      </c>
      <c r="E1682" s="6" t="s">
        <v>91</v>
      </c>
      <c r="F1682" s="6" t="s">
        <v>208</v>
      </c>
      <c r="G1682" s="6" t="n">
        <v>21</v>
      </c>
      <c r="H1682" s="6" t="s">
        <v>82</v>
      </c>
      <c r="I1682" s="6" t="s">
        <v>81</v>
      </c>
      <c r="J1682" s="6" t="s">
        <v>60</v>
      </c>
      <c r="K1682" s="6" t="n">
        <v>61971</v>
      </c>
      <c r="L1682" s="6" t="n">
        <v>71141</v>
      </c>
      <c r="M1682" s="6" t="s">
        <v>146</v>
      </c>
      <c r="N1682" s="6" t="n">
        <v>41</v>
      </c>
      <c r="O1682" s="6" t="s">
        <v>58</v>
      </c>
      <c r="P1682" s="6" t="n">
        <v>6</v>
      </c>
      <c r="Q1682" s="6" t="n">
        <v>36.88</v>
      </c>
      <c r="R1682" s="20" t="n">
        <f aca="false">(L1682-K1682)/K1682</f>
        <v>0.147972438721337</v>
      </c>
    </row>
    <row r="1683" customFormat="false" ht="15" hidden="false" customHeight="false" outlineLevel="0" collapsed="false">
      <c r="A1683" s="6" t="s">
        <v>1845</v>
      </c>
      <c r="B1683" s="6" t="n">
        <v>52</v>
      </c>
      <c r="C1683" s="6" t="s">
        <v>159</v>
      </c>
      <c r="D1683" s="6" t="s">
        <v>135</v>
      </c>
      <c r="E1683" s="6" t="s">
        <v>90</v>
      </c>
      <c r="F1683" s="6" t="s">
        <v>145</v>
      </c>
      <c r="G1683" s="6" t="n">
        <v>26</v>
      </c>
      <c r="H1683" s="6" t="s">
        <v>80</v>
      </c>
      <c r="I1683" s="6" t="s">
        <v>81</v>
      </c>
      <c r="J1683" s="6" t="s">
        <v>58</v>
      </c>
      <c r="K1683" s="6" t="n">
        <v>112256</v>
      </c>
      <c r="L1683" s="6" t="n">
        <v>107900</v>
      </c>
      <c r="M1683" s="6" t="s">
        <v>146</v>
      </c>
      <c r="N1683" s="6" t="n">
        <v>47</v>
      </c>
      <c r="O1683" s="6" t="s">
        <v>60</v>
      </c>
      <c r="P1683" s="6" t="n">
        <v>5</v>
      </c>
      <c r="Q1683" s="6" t="n">
        <v>34.87</v>
      </c>
      <c r="R1683" s="20" t="n">
        <f aca="false">(L1683-K1683)/K1683</f>
        <v>-0.0388041619156214</v>
      </c>
    </row>
    <row r="1684" customFormat="false" ht="15" hidden="false" customHeight="false" outlineLevel="0" collapsed="false">
      <c r="A1684" s="6" t="s">
        <v>1846</v>
      </c>
      <c r="B1684" s="6" t="n">
        <v>47</v>
      </c>
      <c r="C1684" s="6" t="s">
        <v>139</v>
      </c>
      <c r="D1684" s="6" t="s">
        <v>144</v>
      </c>
      <c r="E1684" s="6" t="s">
        <v>87</v>
      </c>
      <c r="F1684" s="6" t="s">
        <v>155</v>
      </c>
      <c r="G1684" s="6" t="n">
        <v>24</v>
      </c>
      <c r="H1684" s="6" t="s">
        <v>80</v>
      </c>
      <c r="I1684" s="6" t="s">
        <v>81</v>
      </c>
      <c r="J1684" s="6" t="s">
        <v>60</v>
      </c>
      <c r="K1684" s="6" t="n">
        <v>41217</v>
      </c>
      <c r="L1684" s="6" t="n">
        <v>41707</v>
      </c>
      <c r="M1684" s="6" t="s">
        <v>146</v>
      </c>
      <c r="N1684" s="6" t="n">
        <v>35</v>
      </c>
      <c r="O1684" s="6" t="s">
        <v>58</v>
      </c>
      <c r="P1684" s="6" t="n">
        <v>4</v>
      </c>
      <c r="Q1684" s="6" t="n">
        <v>-4.61</v>
      </c>
      <c r="R1684" s="20" t="n">
        <f aca="false">(L1684-K1684)/K1684</f>
        <v>0.011888298517602</v>
      </c>
    </row>
    <row r="1685" customFormat="false" ht="15" hidden="false" customHeight="false" outlineLevel="0" collapsed="false">
      <c r="A1685" s="6" t="s">
        <v>1847</v>
      </c>
      <c r="B1685" s="6" t="n">
        <v>45</v>
      </c>
      <c r="C1685" s="6" t="s">
        <v>134</v>
      </c>
      <c r="D1685" s="6" t="s">
        <v>148</v>
      </c>
      <c r="E1685" s="6" t="s">
        <v>91</v>
      </c>
      <c r="F1685" s="6" t="s">
        <v>208</v>
      </c>
      <c r="G1685" s="6" t="n">
        <v>23</v>
      </c>
      <c r="H1685" s="6" t="s">
        <v>80</v>
      </c>
      <c r="I1685" s="6" t="s">
        <v>80</v>
      </c>
      <c r="J1685" s="6" t="s">
        <v>60</v>
      </c>
      <c r="K1685" s="6" t="n">
        <v>31218</v>
      </c>
      <c r="L1685" s="6" t="n">
        <v>31499</v>
      </c>
      <c r="M1685" s="6" t="s">
        <v>142</v>
      </c>
      <c r="N1685" s="6" t="n">
        <v>37</v>
      </c>
      <c r="O1685" s="6" t="s">
        <v>58</v>
      </c>
      <c r="P1685" s="6" t="n">
        <v>5</v>
      </c>
      <c r="Q1685" s="6" t="n">
        <v>30.79</v>
      </c>
      <c r="R1685" s="20" t="n">
        <f aca="false">(L1685-K1685)/K1685</f>
        <v>0.00900121724646038</v>
      </c>
    </row>
    <row r="1686" customFormat="false" ht="15" hidden="false" customHeight="false" outlineLevel="0" collapsed="false">
      <c r="A1686" s="6" t="s">
        <v>1848</v>
      </c>
      <c r="B1686" s="6" t="n">
        <v>25</v>
      </c>
      <c r="C1686" s="6" t="s">
        <v>139</v>
      </c>
      <c r="D1686" s="6" t="s">
        <v>140</v>
      </c>
      <c r="E1686" s="6" t="s">
        <v>90</v>
      </c>
      <c r="F1686" s="6" t="s">
        <v>202</v>
      </c>
      <c r="G1686" s="6" t="n">
        <v>0</v>
      </c>
      <c r="H1686" s="6" t="s">
        <v>80</v>
      </c>
      <c r="I1686" s="6" t="s">
        <v>81</v>
      </c>
      <c r="J1686" s="6" t="s">
        <v>60</v>
      </c>
      <c r="K1686" s="6" t="n">
        <v>48226</v>
      </c>
      <c r="L1686" s="6" t="n">
        <v>49663</v>
      </c>
      <c r="M1686" s="6" t="s">
        <v>146</v>
      </c>
      <c r="N1686" s="6" t="n">
        <v>35</v>
      </c>
      <c r="O1686" s="6" t="s">
        <v>60</v>
      </c>
      <c r="P1686" s="6" t="n">
        <v>9</v>
      </c>
      <c r="Q1686" s="6" t="n">
        <v>28.54</v>
      </c>
      <c r="R1686" s="20" t="n">
        <f aca="false">(L1686-K1686)/K1686</f>
        <v>0.0297972048272716</v>
      </c>
    </row>
    <row r="1687" customFormat="false" ht="15" hidden="false" customHeight="false" outlineLevel="0" collapsed="false">
      <c r="A1687" s="6" t="s">
        <v>1849</v>
      </c>
      <c r="B1687" s="6" t="n">
        <v>32</v>
      </c>
      <c r="C1687" s="6" t="s">
        <v>139</v>
      </c>
      <c r="D1687" s="6" t="s">
        <v>148</v>
      </c>
      <c r="E1687" s="6" t="s">
        <v>88</v>
      </c>
      <c r="F1687" s="6" t="s">
        <v>179</v>
      </c>
      <c r="G1687" s="6" t="n">
        <v>8</v>
      </c>
      <c r="H1687" s="6" t="s">
        <v>82</v>
      </c>
      <c r="I1687" s="6" t="s">
        <v>81</v>
      </c>
      <c r="J1687" s="6" t="s">
        <v>58</v>
      </c>
      <c r="K1687" s="6" t="n">
        <v>61740</v>
      </c>
      <c r="L1687" s="6" t="n">
        <v>67994</v>
      </c>
      <c r="M1687" s="6" t="s">
        <v>146</v>
      </c>
      <c r="N1687" s="6" t="n">
        <v>46</v>
      </c>
      <c r="O1687" s="6" t="s">
        <v>58</v>
      </c>
      <c r="P1687" s="6" t="n">
        <v>3</v>
      </c>
      <c r="Q1687" s="6" t="n">
        <v>37.95</v>
      </c>
      <c r="R1687" s="20" t="n">
        <f aca="false">(L1687-K1687)/K1687</f>
        <v>0.101295756397797</v>
      </c>
    </row>
    <row r="1688" customFormat="false" ht="15" hidden="false" customHeight="false" outlineLevel="0" collapsed="false">
      <c r="A1688" s="6" t="s">
        <v>1850</v>
      </c>
      <c r="B1688" s="6" t="n">
        <v>31</v>
      </c>
      <c r="C1688" s="6" t="s">
        <v>139</v>
      </c>
      <c r="D1688" s="6" t="s">
        <v>135</v>
      </c>
      <c r="E1688" s="6" t="s">
        <v>89</v>
      </c>
      <c r="F1688" s="6" t="s">
        <v>153</v>
      </c>
      <c r="G1688" s="6" t="n">
        <v>5</v>
      </c>
      <c r="H1688" s="6" t="s">
        <v>82</v>
      </c>
      <c r="I1688" s="6" t="s">
        <v>81</v>
      </c>
      <c r="J1688" s="6" t="s">
        <v>58</v>
      </c>
      <c r="K1688" s="6" t="n">
        <v>48413</v>
      </c>
      <c r="L1688" s="6" t="n">
        <v>44192</v>
      </c>
      <c r="M1688" s="6" t="s">
        <v>146</v>
      </c>
      <c r="N1688" s="6" t="n">
        <v>40</v>
      </c>
      <c r="O1688" s="6" t="s">
        <v>60</v>
      </c>
      <c r="P1688" s="6" t="n">
        <v>4</v>
      </c>
      <c r="Q1688" s="6" t="n">
        <v>31.58</v>
      </c>
      <c r="R1688" s="20" t="n">
        <f aca="false">(L1688-K1688)/K1688</f>
        <v>-0.0871873257182988</v>
      </c>
    </row>
    <row r="1689" customFormat="false" ht="15" hidden="false" customHeight="false" outlineLevel="0" collapsed="false">
      <c r="A1689" s="6" t="s">
        <v>1851</v>
      </c>
      <c r="B1689" s="6" t="n">
        <v>34</v>
      </c>
      <c r="C1689" s="6" t="s">
        <v>159</v>
      </c>
      <c r="D1689" s="6" t="s">
        <v>144</v>
      </c>
      <c r="E1689" s="6" t="s">
        <v>92</v>
      </c>
      <c r="F1689" s="6" t="s">
        <v>136</v>
      </c>
      <c r="G1689" s="6" t="n">
        <v>11</v>
      </c>
      <c r="H1689" s="6" t="s">
        <v>82</v>
      </c>
      <c r="I1689" s="6" t="s">
        <v>82</v>
      </c>
      <c r="J1689" s="6" t="s">
        <v>60</v>
      </c>
      <c r="K1689" s="6" t="n">
        <v>75924</v>
      </c>
      <c r="L1689" s="6" t="n">
        <v>61533</v>
      </c>
      <c r="M1689" s="6" t="s">
        <v>137</v>
      </c>
      <c r="N1689" s="6" t="n">
        <v>41</v>
      </c>
      <c r="O1689" s="6" t="s">
        <v>60</v>
      </c>
      <c r="P1689" s="6" t="n">
        <v>6</v>
      </c>
      <c r="Q1689" s="6" t="n">
        <v>24.03</v>
      </c>
      <c r="R1689" s="20" t="n">
        <f aca="false">(L1689-K1689)/K1689</f>
        <v>-0.189544807965861</v>
      </c>
    </row>
    <row r="1690" customFormat="false" ht="15" hidden="false" customHeight="false" outlineLevel="0" collapsed="false">
      <c r="A1690" s="6" t="s">
        <v>1852</v>
      </c>
      <c r="B1690" s="6" t="n">
        <v>46</v>
      </c>
      <c r="C1690" s="6" t="s">
        <v>134</v>
      </c>
      <c r="D1690" s="6" t="s">
        <v>148</v>
      </c>
      <c r="E1690" s="6" t="s">
        <v>90</v>
      </c>
      <c r="F1690" s="6" t="s">
        <v>236</v>
      </c>
      <c r="G1690" s="6" t="n">
        <v>22</v>
      </c>
      <c r="H1690" s="6" t="s">
        <v>81</v>
      </c>
      <c r="I1690" s="6" t="s">
        <v>80</v>
      </c>
      <c r="J1690" s="6" t="s">
        <v>60</v>
      </c>
      <c r="K1690" s="6" t="n">
        <v>77403</v>
      </c>
      <c r="L1690" s="6" t="n">
        <v>87544</v>
      </c>
      <c r="M1690" s="6" t="s">
        <v>142</v>
      </c>
      <c r="N1690" s="6" t="n">
        <v>52</v>
      </c>
      <c r="O1690" s="6" t="s">
        <v>58</v>
      </c>
      <c r="P1690" s="6" t="n">
        <v>7</v>
      </c>
      <c r="Q1690" s="6" t="n">
        <v>7.74</v>
      </c>
      <c r="R1690" s="20" t="n">
        <f aca="false">(L1690-K1690)/K1690</f>
        <v>0.131015593710838</v>
      </c>
    </row>
    <row r="1691" customFormat="false" ht="15" hidden="false" customHeight="false" outlineLevel="0" collapsed="false">
      <c r="A1691" s="6" t="s">
        <v>1853</v>
      </c>
      <c r="B1691" s="6" t="n">
        <v>29</v>
      </c>
      <c r="C1691" s="6" t="s">
        <v>134</v>
      </c>
      <c r="D1691" s="6" t="s">
        <v>140</v>
      </c>
      <c r="E1691" s="6" t="s">
        <v>88</v>
      </c>
      <c r="F1691" s="6" t="s">
        <v>234</v>
      </c>
      <c r="G1691" s="6" t="n">
        <v>3</v>
      </c>
      <c r="H1691" s="6" t="s">
        <v>80</v>
      </c>
      <c r="I1691" s="6" t="s">
        <v>80</v>
      </c>
      <c r="J1691" s="6" t="s">
        <v>60</v>
      </c>
      <c r="K1691" s="6" t="n">
        <v>105351</v>
      </c>
      <c r="L1691" s="6" t="n">
        <v>108849</v>
      </c>
      <c r="M1691" s="6" t="s">
        <v>142</v>
      </c>
      <c r="N1691" s="6" t="n">
        <v>50</v>
      </c>
      <c r="O1691" s="6" t="s">
        <v>58</v>
      </c>
      <c r="P1691" s="6" t="n">
        <v>6</v>
      </c>
      <c r="Q1691" s="6" t="n">
        <v>14.52</v>
      </c>
      <c r="R1691" s="20" t="n">
        <f aca="false">(L1691-K1691)/K1691</f>
        <v>0.0332032918529487</v>
      </c>
    </row>
    <row r="1692" customFormat="false" ht="15" hidden="false" customHeight="false" outlineLevel="0" collapsed="false">
      <c r="A1692" s="6" t="s">
        <v>1854</v>
      </c>
      <c r="B1692" s="6" t="n">
        <v>57</v>
      </c>
      <c r="C1692" s="6" t="s">
        <v>159</v>
      </c>
      <c r="D1692" s="6" t="s">
        <v>135</v>
      </c>
      <c r="E1692" s="6" t="s">
        <v>90</v>
      </c>
      <c r="F1692" s="6" t="s">
        <v>202</v>
      </c>
      <c r="G1692" s="6" t="n">
        <v>32</v>
      </c>
      <c r="H1692" s="6" t="s">
        <v>82</v>
      </c>
      <c r="I1692" s="6" t="s">
        <v>81</v>
      </c>
      <c r="J1692" s="6" t="s">
        <v>60</v>
      </c>
      <c r="K1692" s="6" t="n">
        <v>39290</v>
      </c>
      <c r="L1692" s="6" t="n">
        <v>49069</v>
      </c>
      <c r="M1692" s="6" t="s">
        <v>146</v>
      </c>
      <c r="N1692" s="6" t="n">
        <v>39</v>
      </c>
      <c r="O1692" s="6" t="s">
        <v>58</v>
      </c>
      <c r="P1692" s="6" t="n">
        <v>8</v>
      </c>
      <c r="Q1692" s="6" t="n">
        <v>8.18</v>
      </c>
      <c r="R1692" s="20" t="n">
        <f aca="false">(L1692-K1692)/K1692</f>
        <v>0.24889284805294</v>
      </c>
    </row>
    <row r="1693" customFormat="false" ht="15" hidden="false" customHeight="false" outlineLevel="0" collapsed="false">
      <c r="A1693" s="6" t="s">
        <v>1855</v>
      </c>
      <c r="B1693" s="6" t="n">
        <v>40</v>
      </c>
      <c r="C1693" s="6" t="s">
        <v>134</v>
      </c>
      <c r="D1693" s="6" t="s">
        <v>144</v>
      </c>
      <c r="E1693" s="6" t="s">
        <v>88</v>
      </c>
      <c r="F1693" s="6" t="s">
        <v>179</v>
      </c>
      <c r="G1693" s="6" t="n">
        <v>17</v>
      </c>
      <c r="H1693" s="6" t="s">
        <v>81</v>
      </c>
      <c r="I1693" s="6" t="s">
        <v>82</v>
      </c>
      <c r="J1693" s="6" t="s">
        <v>60</v>
      </c>
      <c r="K1693" s="6" t="n">
        <v>115674</v>
      </c>
      <c r="L1693" s="6" t="n">
        <v>104743</v>
      </c>
      <c r="M1693" s="6" t="s">
        <v>142</v>
      </c>
      <c r="N1693" s="6" t="n">
        <v>42</v>
      </c>
      <c r="O1693" s="6" t="s">
        <v>58</v>
      </c>
      <c r="P1693" s="6" t="n">
        <v>8</v>
      </c>
      <c r="Q1693" s="6" t="n">
        <v>-1.29</v>
      </c>
      <c r="R1693" s="20" t="n">
        <f aca="false">(L1693-K1693)/K1693</f>
        <v>-0.0944983315178865</v>
      </c>
    </row>
    <row r="1694" customFormat="false" ht="15" hidden="false" customHeight="false" outlineLevel="0" collapsed="false">
      <c r="A1694" s="6" t="s">
        <v>1856</v>
      </c>
      <c r="B1694" s="6" t="n">
        <v>25</v>
      </c>
      <c r="C1694" s="6" t="s">
        <v>139</v>
      </c>
      <c r="D1694" s="6" t="s">
        <v>144</v>
      </c>
      <c r="E1694" s="6" t="s">
        <v>93</v>
      </c>
      <c r="F1694" s="6" t="s">
        <v>164</v>
      </c>
      <c r="G1694" s="6" t="n">
        <v>0</v>
      </c>
      <c r="H1694" s="6" t="s">
        <v>80</v>
      </c>
      <c r="I1694" s="6" t="s">
        <v>82</v>
      </c>
      <c r="J1694" s="6" t="s">
        <v>60</v>
      </c>
      <c r="K1694" s="6" t="n">
        <v>117211</v>
      </c>
      <c r="L1694" s="6" t="n">
        <v>120452</v>
      </c>
      <c r="M1694" s="6" t="s">
        <v>142</v>
      </c>
      <c r="N1694" s="6" t="n">
        <v>44</v>
      </c>
      <c r="O1694" s="6" t="s">
        <v>58</v>
      </c>
      <c r="P1694" s="6" t="n">
        <v>8</v>
      </c>
      <c r="Q1694" s="6" t="n">
        <v>29.91</v>
      </c>
      <c r="R1694" s="20" t="n">
        <f aca="false">(L1694-K1694)/K1694</f>
        <v>0.0276509883884618</v>
      </c>
    </row>
    <row r="1695" customFormat="false" ht="15" hidden="false" customHeight="false" outlineLevel="0" collapsed="false">
      <c r="A1695" s="6" t="s">
        <v>1857</v>
      </c>
      <c r="B1695" s="6" t="n">
        <v>35</v>
      </c>
      <c r="C1695" s="6" t="s">
        <v>139</v>
      </c>
      <c r="D1695" s="6" t="s">
        <v>148</v>
      </c>
      <c r="E1695" s="6" t="s">
        <v>93</v>
      </c>
      <c r="F1695" s="6" t="s">
        <v>164</v>
      </c>
      <c r="G1695" s="6" t="n">
        <v>9</v>
      </c>
      <c r="H1695" s="6" t="s">
        <v>82</v>
      </c>
      <c r="I1695" s="6" t="s">
        <v>82</v>
      </c>
      <c r="J1695" s="6" t="s">
        <v>58</v>
      </c>
      <c r="K1695" s="6" t="n">
        <v>113816</v>
      </c>
      <c r="L1695" s="6" t="n">
        <v>154751</v>
      </c>
      <c r="M1695" s="6" t="s">
        <v>137</v>
      </c>
      <c r="N1695" s="6" t="n">
        <v>38</v>
      </c>
      <c r="O1695" s="6" t="s">
        <v>60</v>
      </c>
      <c r="P1695" s="6" t="n">
        <v>4</v>
      </c>
      <c r="Q1695" s="6" t="n">
        <v>0.71</v>
      </c>
      <c r="R1695" s="20" t="n">
        <f aca="false">(L1695-K1695)/K1695</f>
        <v>0.359659450340901</v>
      </c>
    </row>
    <row r="1696" customFormat="false" ht="15" hidden="false" customHeight="false" outlineLevel="0" collapsed="false">
      <c r="A1696" s="6" t="s">
        <v>1858</v>
      </c>
      <c r="B1696" s="6" t="n">
        <v>56</v>
      </c>
      <c r="C1696" s="6" t="s">
        <v>159</v>
      </c>
      <c r="D1696" s="6" t="s">
        <v>135</v>
      </c>
      <c r="E1696" s="6" t="s">
        <v>90</v>
      </c>
      <c r="F1696" s="6" t="s">
        <v>145</v>
      </c>
      <c r="G1696" s="6" t="n">
        <v>33</v>
      </c>
      <c r="H1696" s="6" t="s">
        <v>82</v>
      </c>
      <c r="I1696" s="6" t="s">
        <v>81</v>
      </c>
      <c r="J1696" s="6" t="s">
        <v>60</v>
      </c>
      <c r="K1696" s="6" t="n">
        <v>50011</v>
      </c>
      <c r="L1696" s="6" t="n">
        <v>57268</v>
      </c>
      <c r="M1696" s="6" t="s">
        <v>146</v>
      </c>
      <c r="N1696" s="6" t="n">
        <v>53</v>
      </c>
      <c r="O1696" s="6" t="s">
        <v>60</v>
      </c>
      <c r="P1696" s="6" t="n">
        <v>4</v>
      </c>
      <c r="Q1696" s="6" t="n">
        <v>39.12</v>
      </c>
      <c r="R1696" s="20" t="n">
        <f aca="false">(L1696-K1696)/K1696</f>
        <v>0.145108076223231</v>
      </c>
    </row>
    <row r="1697" customFormat="false" ht="15" hidden="false" customHeight="false" outlineLevel="0" collapsed="false">
      <c r="A1697" s="6" t="s">
        <v>1859</v>
      </c>
      <c r="B1697" s="6" t="n">
        <v>22</v>
      </c>
      <c r="C1697" s="6" t="s">
        <v>139</v>
      </c>
      <c r="D1697" s="6" t="s">
        <v>148</v>
      </c>
      <c r="E1697" s="6" t="s">
        <v>87</v>
      </c>
      <c r="F1697" s="6" t="s">
        <v>149</v>
      </c>
      <c r="G1697" s="6" t="n">
        <v>0</v>
      </c>
      <c r="H1697" s="6" t="s">
        <v>80</v>
      </c>
      <c r="I1697" s="6" t="s">
        <v>82</v>
      </c>
      <c r="J1697" s="6" t="s">
        <v>58</v>
      </c>
      <c r="K1697" s="6" t="n">
        <v>98879</v>
      </c>
      <c r="L1697" s="6" t="n">
        <v>103427</v>
      </c>
      <c r="M1697" s="6" t="s">
        <v>142</v>
      </c>
      <c r="N1697" s="6" t="n">
        <v>43</v>
      </c>
      <c r="O1697" s="6" t="s">
        <v>60</v>
      </c>
      <c r="P1697" s="6" t="n">
        <v>6</v>
      </c>
      <c r="Q1697" s="6" t="n">
        <v>36.36</v>
      </c>
      <c r="R1697" s="20" t="n">
        <f aca="false">(L1697-K1697)/K1697</f>
        <v>0.0459956107970348</v>
      </c>
    </row>
    <row r="1698" customFormat="false" ht="15" hidden="false" customHeight="false" outlineLevel="0" collapsed="false">
      <c r="A1698" s="6" t="s">
        <v>1860</v>
      </c>
      <c r="B1698" s="6" t="n">
        <v>36</v>
      </c>
      <c r="C1698" s="6" t="s">
        <v>159</v>
      </c>
      <c r="D1698" s="6" t="s">
        <v>144</v>
      </c>
      <c r="E1698" s="6" t="s">
        <v>92</v>
      </c>
      <c r="F1698" s="6" t="s">
        <v>222</v>
      </c>
      <c r="G1698" s="6" t="n">
        <v>13</v>
      </c>
      <c r="H1698" s="6" t="s">
        <v>81</v>
      </c>
      <c r="I1698" s="6" t="s">
        <v>82</v>
      </c>
      <c r="J1698" s="6" t="s">
        <v>60</v>
      </c>
      <c r="K1698" s="6" t="n">
        <v>107066</v>
      </c>
      <c r="L1698" s="6" t="n">
        <v>122713</v>
      </c>
      <c r="M1698" s="6" t="s">
        <v>142</v>
      </c>
      <c r="N1698" s="6" t="n">
        <v>54</v>
      </c>
      <c r="O1698" s="6" t="s">
        <v>60</v>
      </c>
      <c r="P1698" s="6" t="n">
        <v>9</v>
      </c>
      <c r="Q1698" s="6" t="n">
        <v>-17.32</v>
      </c>
      <c r="R1698" s="20" t="n">
        <f aca="false">(L1698-K1698)/K1698</f>
        <v>0.146143500270861</v>
      </c>
    </row>
    <row r="1699" customFormat="false" ht="15" hidden="false" customHeight="false" outlineLevel="0" collapsed="false">
      <c r="A1699" s="6" t="s">
        <v>1861</v>
      </c>
      <c r="B1699" s="6" t="n">
        <v>56</v>
      </c>
      <c r="C1699" s="6" t="s">
        <v>134</v>
      </c>
      <c r="D1699" s="6" t="s">
        <v>135</v>
      </c>
      <c r="E1699" s="6" t="s">
        <v>93</v>
      </c>
      <c r="F1699" s="6" t="s">
        <v>164</v>
      </c>
      <c r="G1699" s="6" t="n">
        <v>33</v>
      </c>
      <c r="H1699" s="6" t="s">
        <v>81</v>
      </c>
      <c r="I1699" s="6" t="s">
        <v>80</v>
      </c>
      <c r="J1699" s="6" t="s">
        <v>58</v>
      </c>
      <c r="K1699" s="6" t="n">
        <v>49056</v>
      </c>
      <c r="L1699" s="6" t="n">
        <v>49136</v>
      </c>
      <c r="M1699" s="6" t="s">
        <v>142</v>
      </c>
      <c r="N1699" s="6" t="n">
        <v>53</v>
      </c>
      <c r="O1699" s="6" t="s">
        <v>58</v>
      </c>
      <c r="P1699" s="6" t="n">
        <v>9</v>
      </c>
      <c r="Q1699" s="6" t="n">
        <v>-9.46</v>
      </c>
      <c r="R1699" s="20" t="n">
        <f aca="false">(L1699-K1699)/K1699</f>
        <v>0.00163078930202218</v>
      </c>
    </row>
    <row r="1700" customFormat="false" ht="15" hidden="false" customHeight="false" outlineLevel="0" collapsed="false">
      <c r="A1700" s="6" t="s">
        <v>1862</v>
      </c>
      <c r="B1700" s="6" t="n">
        <v>52</v>
      </c>
      <c r="C1700" s="6" t="s">
        <v>159</v>
      </c>
      <c r="D1700" s="6" t="s">
        <v>140</v>
      </c>
      <c r="E1700" s="6" t="s">
        <v>90</v>
      </c>
      <c r="F1700" s="6" t="s">
        <v>236</v>
      </c>
      <c r="G1700" s="6" t="n">
        <v>29</v>
      </c>
      <c r="H1700" s="6" t="s">
        <v>81</v>
      </c>
      <c r="I1700" s="6" t="s">
        <v>81</v>
      </c>
      <c r="J1700" s="6" t="s">
        <v>60</v>
      </c>
      <c r="K1700" s="6" t="n">
        <v>102999</v>
      </c>
      <c r="L1700" s="6" t="n">
        <v>100633</v>
      </c>
      <c r="M1700" s="6" t="s">
        <v>146</v>
      </c>
      <c r="N1700" s="6" t="n">
        <v>38</v>
      </c>
      <c r="O1700" s="6" t="s">
        <v>58</v>
      </c>
      <c r="P1700" s="6" t="n">
        <v>3</v>
      </c>
      <c r="Q1700" s="6" t="n">
        <v>-17.91</v>
      </c>
      <c r="R1700" s="20" t="n">
        <f aca="false">(L1700-K1700)/K1700</f>
        <v>-0.0229710968067651</v>
      </c>
    </row>
    <row r="1701" customFormat="false" ht="15" hidden="false" customHeight="false" outlineLevel="0" collapsed="false">
      <c r="A1701" s="6" t="s">
        <v>1863</v>
      </c>
      <c r="B1701" s="6" t="n">
        <v>58</v>
      </c>
      <c r="C1701" s="6" t="s">
        <v>159</v>
      </c>
      <c r="D1701" s="6" t="s">
        <v>140</v>
      </c>
      <c r="E1701" s="6" t="s">
        <v>87</v>
      </c>
      <c r="F1701" s="6" t="s">
        <v>155</v>
      </c>
      <c r="G1701" s="6" t="n">
        <v>33</v>
      </c>
      <c r="H1701" s="6" t="s">
        <v>82</v>
      </c>
      <c r="I1701" s="6" t="s">
        <v>80</v>
      </c>
      <c r="J1701" s="6" t="s">
        <v>58</v>
      </c>
      <c r="K1701" s="6" t="n">
        <v>73923</v>
      </c>
      <c r="L1701" s="6" t="n">
        <v>100737</v>
      </c>
      <c r="M1701" s="6" t="s">
        <v>142</v>
      </c>
      <c r="N1701" s="6" t="n">
        <v>54</v>
      </c>
      <c r="O1701" s="6" t="s">
        <v>60</v>
      </c>
      <c r="P1701" s="6" t="n">
        <v>3</v>
      </c>
      <c r="Q1701" s="6" t="n">
        <v>12.54</v>
      </c>
      <c r="R1701" s="20" t="n">
        <f aca="false">(L1701-K1701)/K1701</f>
        <v>0.362728785357737</v>
      </c>
    </row>
    <row r="1702" customFormat="false" ht="15" hidden="false" customHeight="false" outlineLevel="0" collapsed="false">
      <c r="A1702" s="6" t="s">
        <v>1864</v>
      </c>
      <c r="B1702" s="6" t="n">
        <v>57</v>
      </c>
      <c r="C1702" s="6" t="s">
        <v>134</v>
      </c>
      <c r="D1702" s="6" t="s">
        <v>135</v>
      </c>
      <c r="E1702" s="6" t="s">
        <v>91</v>
      </c>
      <c r="F1702" s="6" t="s">
        <v>206</v>
      </c>
      <c r="G1702" s="6" t="n">
        <v>31</v>
      </c>
      <c r="H1702" s="6" t="s">
        <v>80</v>
      </c>
      <c r="I1702" s="6" t="s">
        <v>81</v>
      </c>
      <c r="J1702" s="6" t="s">
        <v>58</v>
      </c>
      <c r="K1702" s="6" t="n">
        <v>59722</v>
      </c>
      <c r="L1702" s="6" t="n">
        <v>57031</v>
      </c>
      <c r="M1702" s="6" t="s">
        <v>146</v>
      </c>
      <c r="N1702" s="6" t="n">
        <v>43</v>
      </c>
      <c r="O1702" s="6" t="s">
        <v>60</v>
      </c>
      <c r="P1702" s="6" t="n">
        <v>6</v>
      </c>
      <c r="Q1702" s="6" t="n">
        <v>-19.93</v>
      </c>
      <c r="R1702" s="20" t="n">
        <f aca="false">(L1702-K1702)/K1702</f>
        <v>-0.0450587723117109</v>
      </c>
    </row>
    <row r="1703" customFormat="false" ht="15" hidden="false" customHeight="false" outlineLevel="0" collapsed="false">
      <c r="A1703" s="6" t="s">
        <v>1865</v>
      </c>
      <c r="B1703" s="6" t="n">
        <v>53</v>
      </c>
      <c r="C1703" s="6" t="s">
        <v>139</v>
      </c>
      <c r="D1703" s="6" t="s">
        <v>135</v>
      </c>
      <c r="E1703" s="6" t="s">
        <v>89</v>
      </c>
      <c r="F1703" s="6" t="s">
        <v>162</v>
      </c>
      <c r="G1703" s="6" t="n">
        <v>30</v>
      </c>
      <c r="H1703" s="6" t="s">
        <v>82</v>
      </c>
      <c r="I1703" s="6" t="s">
        <v>80</v>
      </c>
      <c r="J1703" s="6" t="s">
        <v>60</v>
      </c>
      <c r="K1703" s="6" t="n">
        <v>37711</v>
      </c>
      <c r="L1703" s="6" t="n">
        <v>36154</v>
      </c>
      <c r="M1703" s="6" t="s">
        <v>142</v>
      </c>
      <c r="N1703" s="6" t="n">
        <v>40</v>
      </c>
      <c r="O1703" s="6" t="s">
        <v>58</v>
      </c>
      <c r="P1703" s="6" t="n">
        <v>6</v>
      </c>
      <c r="Q1703" s="6" t="n">
        <v>10.84</v>
      </c>
      <c r="R1703" s="20" t="n">
        <f aca="false">(L1703-K1703)/K1703</f>
        <v>-0.0412876879425101</v>
      </c>
    </row>
    <row r="1704" customFormat="false" ht="15" hidden="false" customHeight="false" outlineLevel="0" collapsed="false">
      <c r="A1704" s="6" t="s">
        <v>1866</v>
      </c>
      <c r="B1704" s="6" t="n">
        <v>22</v>
      </c>
      <c r="C1704" s="6" t="s">
        <v>134</v>
      </c>
      <c r="D1704" s="6" t="s">
        <v>140</v>
      </c>
      <c r="E1704" s="6" t="s">
        <v>92</v>
      </c>
      <c r="F1704" s="6" t="s">
        <v>192</v>
      </c>
      <c r="G1704" s="6" t="n">
        <v>0</v>
      </c>
      <c r="H1704" s="6" t="s">
        <v>81</v>
      </c>
      <c r="I1704" s="6" t="s">
        <v>82</v>
      </c>
      <c r="J1704" s="6" t="s">
        <v>60</v>
      </c>
      <c r="K1704" s="6" t="n">
        <v>119848</v>
      </c>
      <c r="L1704" s="6" t="n">
        <v>119636</v>
      </c>
      <c r="M1704" s="6" t="s">
        <v>142</v>
      </c>
      <c r="N1704" s="6" t="n">
        <v>35</v>
      </c>
      <c r="O1704" s="6" t="s">
        <v>60</v>
      </c>
      <c r="P1704" s="6" t="n">
        <v>8</v>
      </c>
      <c r="Q1704" s="6" t="n">
        <v>-11.85</v>
      </c>
      <c r="R1704" s="20" t="n">
        <f aca="false">(L1704-K1704)/K1704</f>
        <v>-0.00176890728255791</v>
      </c>
    </row>
    <row r="1705" customFormat="false" ht="15" hidden="false" customHeight="false" outlineLevel="0" collapsed="false">
      <c r="A1705" s="6" t="s">
        <v>1867</v>
      </c>
      <c r="B1705" s="6" t="n">
        <v>30</v>
      </c>
      <c r="C1705" s="6" t="s">
        <v>139</v>
      </c>
      <c r="D1705" s="6" t="s">
        <v>144</v>
      </c>
      <c r="E1705" s="6" t="s">
        <v>93</v>
      </c>
      <c r="F1705" s="6" t="s">
        <v>197</v>
      </c>
      <c r="G1705" s="6" t="n">
        <v>5</v>
      </c>
      <c r="H1705" s="6" t="s">
        <v>82</v>
      </c>
      <c r="I1705" s="6" t="s">
        <v>81</v>
      </c>
      <c r="J1705" s="6" t="s">
        <v>60</v>
      </c>
      <c r="K1705" s="6" t="n">
        <v>62963</v>
      </c>
      <c r="L1705" s="6" t="n">
        <v>66584</v>
      </c>
      <c r="M1705" s="6" t="s">
        <v>146</v>
      </c>
      <c r="N1705" s="6" t="n">
        <v>41</v>
      </c>
      <c r="O1705" s="6" t="s">
        <v>58</v>
      </c>
      <c r="P1705" s="6" t="n">
        <v>4</v>
      </c>
      <c r="Q1705" s="6" t="n">
        <v>-1.71</v>
      </c>
      <c r="R1705" s="20" t="n">
        <f aca="false">(L1705-K1705)/K1705</f>
        <v>0.0575099661706081</v>
      </c>
    </row>
    <row r="1706" customFormat="false" ht="15" hidden="false" customHeight="false" outlineLevel="0" collapsed="false">
      <c r="A1706" s="6" t="s">
        <v>1868</v>
      </c>
      <c r="B1706" s="6" t="n">
        <v>34</v>
      </c>
      <c r="C1706" s="6" t="s">
        <v>159</v>
      </c>
      <c r="D1706" s="6" t="s">
        <v>135</v>
      </c>
      <c r="E1706" s="6" t="s">
        <v>87</v>
      </c>
      <c r="F1706" s="6" t="s">
        <v>149</v>
      </c>
      <c r="G1706" s="6" t="n">
        <v>9</v>
      </c>
      <c r="H1706" s="6" t="s">
        <v>82</v>
      </c>
      <c r="I1706" s="6" t="s">
        <v>81</v>
      </c>
      <c r="J1706" s="6" t="s">
        <v>60</v>
      </c>
      <c r="K1706" s="6" t="n">
        <v>113441</v>
      </c>
      <c r="L1706" s="6" t="n">
        <v>127071</v>
      </c>
      <c r="M1706" s="6" t="s">
        <v>146</v>
      </c>
      <c r="N1706" s="6" t="n">
        <v>48</v>
      </c>
      <c r="O1706" s="6" t="s">
        <v>58</v>
      </c>
      <c r="P1706" s="6" t="n">
        <v>4</v>
      </c>
      <c r="Q1706" s="6" t="n">
        <v>-13.21</v>
      </c>
      <c r="R1706" s="20" t="n">
        <f aca="false">(L1706-K1706)/K1706</f>
        <v>0.120150562847648</v>
      </c>
    </row>
    <row r="1707" customFormat="false" ht="15" hidden="false" customHeight="false" outlineLevel="0" collapsed="false">
      <c r="A1707" s="6" t="s">
        <v>1869</v>
      </c>
      <c r="B1707" s="6" t="n">
        <v>29</v>
      </c>
      <c r="C1707" s="6" t="s">
        <v>139</v>
      </c>
      <c r="D1707" s="6" t="s">
        <v>144</v>
      </c>
      <c r="E1707" s="6" t="s">
        <v>93</v>
      </c>
      <c r="F1707" s="6" t="s">
        <v>181</v>
      </c>
      <c r="G1707" s="6" t="n">
        <v>5</v>
      </c>
      <c r="H1707" s="6" t="s">
        <v>81</v>
      </c>
      <c r="I1707" s="6" t="s">
        <v>81</v>
      </c>
      <c r="J1707" s="6" t="s">
        <v>58</v>
      </c>
      <c r="K1707" s="6" t="n">
        <v>30639</v>
      </c>
      <c r="L1707" s="6" t="n">
        <v>36372</v>
      </c>
      <c r="M1707" s="6" t="s">
        <v>146</v>
      </c>
      <c r="N1707" s="6" t="n">
        <v>46</v>
      </c>
      <c r="O1707" s="6" t="s">
        <v>60</v>
      </c>
      <c r="P1707" s="6" t="n">
        <v>3</v>
      </c>
      <c r="Q1707" s="6" t="n">
        <v>21.81</v>
      </c>
      <c r="R1707" s="20" t="n">
        <f aca="false">(L1707-K1707)/K1707</f>
        <v>0.187114461960247</v>
      </c>
    </row>
    <row r="1708" customFormat="false" ht="15" hidden="false" customHeight="false" outlineLevel="0" collapsed="false">
      <c r="A1708" s="6" t="s">
        <v>1870</v>
      </c>
      <c r="B1708" s="6" t="n">
        <v>24</v>
      </c>
      <c r="C1708" s="6" t="s">
        <v>134</v>
      </c>
      <c r="D1708" s="6" t="s">
        <v>135</v>
      </c>
      <c r="E1708" s="6" t="s">
        <v>90</v>
      </c>
      <c r="F1708" s="6" t="s">
        <v>145</v>
      </c>
      <c r="G1708" s="6" t="n">
        <v>1</v>
      </c>
      <c r="H1708" s="6" t="s">
        <v>81</v>
      </c>
      <c r="I1708" s="6" t="s">
        <v>82</v>
      </c>
      <c r="J1708" s="6" t="s">
        <v>60</v>
      </c>
      <c r="K1708" s="6" t="n">
        <v>64019</v>
      </c>
      <c r="L1708" s="6" t="n">
        <v>70074</v>
      </c>
      <c r="M1708" s="6" t="s">
        <v>142</v>
      </c>
      <c r="N1708" s="6" t="n">
        <v>50</v>
      </c>
      <c r="O1708" s="6" t="s">
        <v>58</v>
      </c>
      <c r="P1708" s="6" t="n">
        <v>9</v>
      </c>
      <c r="Q1708" s="6" t="n">
        <v>23.29</v>
      </c>
      <c r="R1708" s="20" t="n">
        <f aca="false">(L1708-K1708)/K1708</f>
        <v>0.0945812961776972</v>
      </c>
    </row>
    <row r="1709" customFormat="false" ht="15" hidden="false" customHeight="false" outlineLevel="0" collapsed="false">
      <c r="A1709" s="6" t="s">
        <v>1871</v>
      </c>
      <c r="B1709" s="6" t="n">
        <v>40</v>
      </c>
      <c r="C1709" s="6" t="s">
        <v>134</v>
      </c>
      <c r="D1709" s="6" t="s">
        <v>140</v>
      </c>
      <c r="E1709" s="6" t="s">
        <v>89</v>
      </c>
      <c r="F1709" s="6" t="s">
        <v>162</v>
      </c>
      <c r="G1709" s="6" t="n">
        <v>14</v>
      </c>
      <c r="H1709" s="6" t="s">
        <v>82</v>
      </c>
      <c r="I1709" s="6" t="s">
        <v>82</v>
      </c>
      <c r="J1709" s="6" t="s">
        <v>58</v>
      </c>
      <c r="K1709" s="6" t="n">
        <v>90531</v>
      </c>
      <c r="L1709" s="6" t="n">
        <v>120342</v>
      </c>
      <c r="M1709" s="6" t="s">
        <v>146</v>
      </c>
      <c r="N1709" s="6" t="n">
        <v>50</v>
      </c>
      <c r="O1709" s="6" t="s">
        <v>60</v>
      </c>
      <c r="P1709" s="6" t="n">
        <v>3</v>
      </c>
      <c r="Q1709" s="6" t="n">
        <v>14.49</v>
      </c>
      <c r="R1709" s="20" t="n">
        <f aca="false">(L1709-K1709)/K1709</f>
        <v>0.329290519269642</v>
      </c>
    </row>
    <row r="1710" customFormat="false" ht="15" hidden="false" customHeight="false" outlineLevel="0" collapsed="false">
      <c r="A1710" s="6" t="s">
        <v>1872</v>
      </c>
      <c r="B1710" s="6" t="n">
        <v>23</v>
      </c>
      <c r="C1710" s="6" t="s">
        <v>159</v>
      </c>
      <c r="D1710" s="6" t="s">
        <v>135</v>
      </c>
      <c r="E1710" s="6" t="s">
        <v>90</v>
      </c>
      <c r="F1710" s="6" t="s">
        <v>202</v>
      </c>
      <c r="G1710" s="6" t="n">
        <v>0</v>
      </c>
      <c r="H1710" s="6" t="s">
        <v>81</v>
      </c>
      <c r="I1710" s="6" t="s">
        <v>81</v>
      </c>
      <c r="J1710" s="6" t="s">
        <v>58</v>
      </c>
      <c r="K1710" s="6" t="n">
        <v>40857</v>
      </c>
      <c r="L1710" s="6" t="n">
        <v>48003</v>
      </c>
      <c r="M1710" s="6" t="s">
        <v>146</v>
      </c>
      <c r="N1710" s="6" t="n">
        <v>47</v>
      </c>
      <c r="O1710" s="6" t="s">
        <v>60</v>
      </c>
      <c r="P1710" s="6" t="n">
        <v>3</v>
      </c>
      <c r="Q1710" s="6" t="n">
        <v>-17</v>
      </c>
      <c r="R1710" s="20" t="n">
        <f aca="false">(L1710-K1710)/K1710</f>
        <v>0.174902709450033</v>
      </c>
    </row>
    <row r="1711" customFormat="false" ht="15" hidden="false" customHeight="false" outlineLevel="0" collapsed="false">
      <c r="A1711" s="6" t="s">
        <v>1873</v>
      </c>
      <c r="B1711" s="6" t="n">
        <v>37</v>
      </c>
      <c r="C1711" s="6" t="s">
        <v>139</v>
      </c>
      <c r="D1711" s="6" t="s">
        <v>135</v>
      </c>
      <c r="E1711" s="6" t="s">
        <v>88</v>
      </c>
      <c r="F1711" s="6" t="s">
        <v>157</v>
      </c>
      <c r="G1711" s="6" t="n">
        <v>15</v>
      </c>
      <c r="H1711" s="6" t="s">
        <v>81</v>
      </c>
      <c r="I1711" s="6" t="s">
        <v>81</v>
      </c>
      <c r="J1711" s="6" t="s">
        <v>58</v>
      </c>
      <c r="K1711" s="6" t="n">
        <v>76111</v>
      </c>
      <c r="L1711" s="6" t="n">
        <v>91252</v>
      </c>
      <c r="M1711" s="6" t="s">
        <v>146</v>
      </c>
      <c r="N1711" s="6" t="n">
        <v>48</v>
      </c>
      <c r="O1711" s="6" t="s">
        <v>60</v>
      </c>
      <c r="P1711" s="6" t="n">
        <v>6</v>
      </c>
      <c r="Q1711" s="6" t="n">
        <v>27.24</v>
      </c>
      <c r="R1711" s="20" t="n">
        <f aca="false">(L1711-K1711)/K1711</f>
        <v>0.198933137128667</v>
      </c>
    </row>
    <row r="1712" customFormat="false" ht="15" hidden="false" customHeight="false" outlineLevel="0" collapsed="false">
      <c r="A1712" s="6" t="s">
        <v>1874</v>
      </c>
      <c r="B1712" s="6" t="n">
        <v>33</v>
      </c>
      <c r="C1712" s="6" t="s">
        <v>139</v>
      </c>
      <c r="D1712" s="6" t="s">
        <v>144</v>
      </c>
      <c r="E1712" s="6" t="s">
        <v>90</v>
      </c>
      <c r="F1712" s="6" t="s">
        <v>236</v>
      </c>
      <c r="G1712" s="6" t="n">
        <v>8</v>
      </c>
      <c r="H1712" s="6" t="s">
        <v>81</v>
      </c>
      <c r="I1712" s="6" t="s">
        <v>80</v>
      </c>
      <c r="J1712" s="6" t="s">
        <v>60</v>
      </c>
      <c r="K1712" s="6" t="n">
        <v>72816</v>
      </c>
      <c r="L1712" s="6" t="n">
        <v>83342</v>
      </c>
      <c r="M1712" s="6" t="s">
        <v>142</v>
      </c>
      <c r="N1712" s="6" t="n">
        <v>53</v>
      </c>
      <c r="O1712" s="6" t="s">
        <v>58</v>
      </c>
      <c r="P1712" s="6" t="n">
        <v>3</v>
      </c>
      <c r="Q1712" s="6" t="n">
        <v>-14.92</v>
      </c>
      <c r="R1712" s="20" t="n">
        <f aca="false">(L1712-K1712)/K1712</f>
        <v>0.144556141507361</v>
      </c>
    </row>
    <row r="1713" customFormat="false" ht="15" hidden="false" customHeight="false" outlineLevel="0" collapsed="false">
      <c r="A1713" s="6" t="s">
        <v>1875</v>
      </c>
      <c r="B1713" s="6" t="n">
        <v>49</v>
      </c>
      <c r="C1713" s="6" t="s">
        <v>159</v>
      </c>
      <c r="D1713" s="6" t="s">
        <v>148</v>
      </c>
      <c r="E1713" s="6" t="s">
        <v>90</v>
      </c>
      <c r="F1713" s="6" t="s">
        <v>145</v>
      </c>
      <c r="G1713" s="6" t="n">
        <v>27</v>
      </c>
      <c r="H1713" s="6" t="s">
        <v>82</v>
      </c>
      <c r="I1713" s="6" t="s">
        <v>82</v>
      </c>
      <c r="J1713" s="6" t="s">
        <v>58</v>
      </c>
      <c r="K1713" s="6" t="n">
        <v>57289</v>
      </c>
      <c r="L1713" s="6" t="n">
        <v>47747</v>
      </c>
      <c r="M1713" s="6" t="s">
        <v>146</v>
      </c>
      <c r="N1713" s="6" t="n">
        <v>49</v>
      </c>
      <c r="O1713" s="6" t="s">
        <v>60</v>
      </c>
      <c r="P1713" s="6" t="n">
        <v>9</v>
      </c>
      <c r="Q1713" s="6" t="n">
        <v>14.44</v>
      </c>
      <c r="R1713" s="20" t="n">
        <f aca="false">(L1713-K1713)/K1713</f>
        <v>-0.166559025292814</v>
      </c>
    </row>
    <row r="1714" customFormat="false" ht="15" hidden="false" customHeight="false" outlineLevel="0" collapsed="false">
      <c r="A1714" s="6" t="s">
        <v>1876</v>
      </c>
      <c r="B1714" s="6" t="n">
        <v>59</v>
      </c>
      <c r="C1714" s="6" t="s">
        <v>139</v>
      </c>
      <c r="D1714" s="6" t="s">
        <v>140</v>
      </c>
      <c r="E1714" s="6" t="s">
        <v>91</v>
      </c>
      <c r="F1714" s="6" t="s">
        <v>208</v>
      </c>
      <c r="G1714" s="6" t="n">
        <v>33</v>
      </c>
      <c r="H1714" s="6" t="s">
        <v>81</v>
      </c>
      <c r="I1714" s="6" t="s">
        <v>82</v>
      </c>
      <c r="J1714" s="6" t="s">
        <v>60</v>
      </c>
      <c r="K1714" s="6" t="n">
        <v>53437</v>
      </c>
      <c r="L1714" s="6" t="n">
        <v>55841</v>
      </c>
      <c r="M1714" s="6" t="s">
        <v>142</v>
      </c>
      <c r="N1714" s="6" t="n">
        <v>40</v>
      </c>
      <c r="O1714" s="6" t="s">
        <v>60</v>
      </c>
      <c r="P1714" s="6" t="n">
        <v>7</v>
      </c>
      <c r="Q1714" s="6" t="n">
        <v>0.16</v>
      </c>
      <c r="R1714" s="20" t="n">
        <f aca="false">(L1714-K1714)/K1714</f>
        <v>0.0449875554391152</v>
      </c>
    </row>
    <row r="1715" customFormat="false" ht="15" hidden="false" customHeight="false" outlineLevel="0" collapsed="false">
      <c r="A1715" s="6" t="s">
        <v>1877</v>
      </c>
      <c r="B1715" s="6" t="n">
        <v>58</v>
      </c>
      <c r="C1715" s="6" t="s">
        <v>134</v>
      </c>
      <c r="D1715" s="6" t="s">
        <v>135</v>
      </c>
      <c r="E1715" s="6" t="s">
        <v>93</v>
      </c>
      <c r="F1715" s="6" t="s">
        <v>197</v>
      </c>
      <c r="G1715" s="6" t="n">
        <v>36</v>
      </c>
      <c r="H1715" s="6" t="s">
        <v>82</v>
      </c>
      <c r="I1715" s="6" t="s">
        <v>82</v>
      </c>
      <c r="J1715" s="6" t="s">
        <v>60</v>
      </c>
      <c r="K1715" s="6" t="n">
        <v>49455</v>
      </c>
      <c r="L1715" s="6" t="n">
        <v>67257</v>
      </c>
      <c r="M1715" s="6" t="s">
        <v>146</v>
      </c>
      <c r="N1715" s="6" t="n">
        <v>41</v>
      </c>
      <c r="O1715" s="6" t="s">
        <v>58</v>
      </c>
      <c r="P1715" s="6" t="n">
        <v>3</v>
      </c>
      <c r="Q1715" s="6" t="n">
        <v>28.36</v>
      </c>
      <c r="R1715" s="20" t="n">
        <f aca="false">(L1715-K1715)/K1715</f>
        <v>0.359963603275705</v>
      </c>
    </row>
    <row r="1716" customFormat="false" ht="15" hidden="false" customHeight="false" outlineLevel="0" collapsed="false">
      <c r="A1716" s="6" t="s">
        <v>1878</v>
      </c>
      <c r="B1716" s="6" t="n">
        <v>58</v>
      </c>
      <c r="C1716" s="6" t="s">
        <v>134</v>
      </c>
      <c r="D1716" s="6" t="s">
        <v>135</v>
      </c>
      <c r="E1716" s="6" t="s">
        <v>89</v>
      </c>
      <c r="F1716" s="6" t="s">
        <v>162</v>
      </c>
      <c r="G1716" s="6" t="n">
        <v>32</v>
      </c>
      <c r="H1716" s="6" t="s">
        <v>82</v>
      </c>
      <c r="I1716" s="6" t="s">
        <v>80</v>
      </c>
      <c r="J1716" s="6" t="s">
        <v>60</v>
      </c>
      <c r="K1716" s="6" t="n">
        <v>60215</v>
      </c>
      <c r="L1716" s="6" t="n">
        <v>49418</v>
      </c>
      <c r="M1716" s="6" t="s">
        <v>142</v>
      </c>
      <c r="N1716" s="6" t="n">
        <v>45</v>
      </c>
      <c r="O1716" s="6" t="s">
        <v>58</v>
      </c>
      <c r="P1716" s="6" t="n">
        <v>6</v>
      </c>
      <c r="Q1716" s="6" t="n">
        <v>-2.71</v>
      </c>
      <c r="R1716" s="20" t="n">
        <f aca="false">(L1716-K1716)/K1716</f>
        <v>-0.179307481524537</v>
      </c>
    </row>
    <row r="1717" customFormat="false" ht="15" hidden="false" customHeight="false" outlineLevel="0" collapsed="false">
      <c r="A1717" s="6" t="s">
        <v>1879</v>
      </c>
      <c r="B1717" s="6" t="n">
        <v>39</v>
      </c>
      <c r="C1717" s="6" t="s">
        <v>139</v>
      </c>
      <c r="D1717" s="6" t="s">
        <v>140</v>
      </c>
      <c r="E1717" s="6" t="s">
        <v>92</v>
      </c>
      <c r="F1717" s="6" t="s">
        <v>136</v>
      </c>
      <c r="G1717" s="6" t="n">
        <v>17</v>
      </c>
      <c r="H1717" s="6" t="s">
        <v>81</v>
      </c>
      <c r="I1717" s="6" t="s">
        <v>81</v>
      </c>
      <c r="J1717" s="6" t="s">
        <v>60</v>
      </c>
      <c r="K1717" s="6" t="n">
        <v>59605</v>
      </c>
      <c r="L1717" s="6" t="n">
        <v>57397</v>
      </c>
      <c r="M1717" s="6" t="s">
        <v>146</v>
      </c>
      <c r="N1717" s="6" t="n">
        <v>47</v>
      </c>
      <c r="O1717" s="6" t="s">
        <v>60</v>
      </c>
      <c r="P1717" s="6" t="n">
        <v>9</v>
      </c>
      <c r="Q1717" s="6" t="n">
        <v>15.95</v>
      </c>
      <c r="R1717" s="20" t="n">
        <f aca="false">(L1717-K1717)/K1717</f>
        <v>-0.037043872158376</v>
      </c>
    </row>
    <row r="1718" customFormat="false" ht="15" hidden="false" customHeight="false" outlineLevel="0" collapsed="false">
      <c r="A1718" s="6" t="s">
        <v>1880</v>
      </c>
      <c r="B1718" s="6" t="n">
        <v>46</v>
      </c>
      <c r="C1718" s="6" t="s">
        <v>134</v>
      </c>
      <c r="D1718" s="6" t="s">
        <v>135</v>
      </c>
      <c r="E1718" s="6" t="s">
        <v>88</v>
      </c>
      <c r="F1718" s="6" t="s">
        <v>234</v>
      </c>
      <c r="G1718" s="6" t="n">
        <v>21</v>
      </c>
      <c r="H1718" s="6" t="s">
        <v>82</v>
      </c>
      <c r="I1718" s="6" t="s">
        <v>80</v>
      </c>
      <c r="J1718" s="6" t="s">
        <v>60</v>
      </c>
      <c r="K1718" s="6" t="n">
        <v>116173</v>
      </c>
      <c r="L1718" s="6" t="n">
        <v>122414</v>
      </c>
      <c r="M1718" s="6" t="s">
        <v>142</v>
      </c>
      <c r="N1718" s="6" t="n">
        <v>39</v>
      </c>
      <c r="O1718" s="6" t="s">
        <v>60</v>
      </c>
      <c r="P1718" s="6" t="n">
        <v>5</v>
      </c>
      <c r="Q1718" s="6" t="n">
        <v>13.95</v>
      </c>
      <c r="R1718" s="20" t="n">
        <f aca="false">(L1718-K1718)/K1718</f>
        <v>0.0537216048479423</v>
      </c>
    </row>
    <row r="1719" customFormat="false" ht="15" hidden="false" customHeight="false" outlineLevel="0" collapsed="false">
      <c r="A1719" s="6" t="s">
        <v>1881</v>
      </c>
      <c r="B1719" s="6" t="n">
        <v>37</v>
      </c>
      <c r="C1719" s="6" t="s">
        <v>159</v>
      </c>
      <c r="D1719" s="6" t="s">
        <v>135</v>
      </c>
      <c r="E1719" s="6" t="s">
        <v>87</v>
      </c>
      <c r="F1719" s="6" t="s">
        <v>155</v>
      </c>
      <c r="G1719" s="6" t="n">
        <v>11</v>
      </c>
      <c r="H1719" s="6" t="s">
        <v>80</v>
      </c>
      <c r="I1719" s="6" t="s">
        <v>80</v>
      </c>
      <c r="J1719" s="6" t="s">
        <v>60</v>
      </c>
      <c r="K1719" s="6" t="n">
        <v>102153</v>
      </c>
      <c r="L1719" s="6" t="n">
        <v>101319</v>
      </c>
      <c r="M1719" s="6" t="s">
        <v>142</v>
      </c>
      <c r="N1719" s="6" t="n">
        <v>50</v>
      </c>
      <c r="O1719" s="6" t="s">
        <v>60</v>
      </c>
      <c r="P1719" s="6" t="n">
        <v>9</v>
      </c>
      <c r="Q1719" s="6" t="n">
        <v>-9.18</v>
      </c>
      <c r="R1719" s="20" t="n">
        <f aca="false">(L1719-K1719)/K1719</f>
        <v>-0.00816422425185751</v>
      </c>
    </row>
    <row r="1720" customFormat="false" ht="15" hidden="false" customHeight="false" outlineLevel="0" collapsed="false">
      <c r="A1720" s="6" t="s">
        <v>1882</v>
      </c>
      <c r="B1720" s="6" t="n">
        <v>33</v>
      </c>
      <c r="C1720" s="6" t="s">
        <v>139</v>
      </c>
      <c r="D1720" s="6" t="s">
        <v>148</v>
      </c>
      <c r="E1720" s="6" t="s">
        <v>90</v>
      </c>
      <c r="F1720" s="6" t="s">
        <v>145</v>
      </c>
      <c r="G1720" s="6" t="n">
        <v>10</v>
      </c>
      <c r="H1720" s="6" t="s">
        <v>80</v>
      </c>
      <c r="I1720" s="6" t="s">
        <v>81</v>
      </c>
      <c r="J1720" s="6" t="s">
        <v>60</v>
      </c>
      <c r="K1720" s="6" t="n">
        <v>116426</v>
      </c>
      <c r="L1720" s="6" t="n">
        <v>123159</v>
      </c>
      <c r="M1720" s="6" t="s">
        <v>146</v>
      </c>
      <c r="N1720" s="6" t="n">
        <v>50</v>
      </c>
      <c r="O1720" s="6" t="s">
        <v>58</v>
      </c>
      <c r="P1720" s="6" t="n">
        <v>7</v>
      </c>
      <c r="Q1720" s="6" t="n">
        <v>23.78</v>
      </c>
      <c r="R1720" s="20" t="n">
        <f aca="false">(L1720-K1720)/K1720</f>
        <v>0.057830725095769</v>
      </c>
    </row>
    <row r="1721" customFormat="false" ht="15" hidden="false" customHeight="false" outlineLevel="0" collapsed="false">
      <c r="A1721" s="6" t="s">
        <v>1883</v>
      </c>
      <c r="B1721" s="6" t="n">
        <v>50</v>
      </c>
      <c r="C1721" s="6" t="s">
        <v>139</v>
      </c>
      <c r="D1721" s="6" t="s">
        <v>135</v>
      </c>
      <c r="E1721" s="6" t="s">
        <v>88</v>
      </c>
      <c r="F1721" s="6" t="s">
        <v>234</v>
      </c>
      <c r="G1721" s="6" t="n">
        <v>28</v>
      </c>
      <c r="H1721" s="6" t="s">
        <v>80</v>
      </c>
      <c r="I1721" s="6" t="s">
        <v>82</v>
      </c>
      <c r="J1721" s="6" t="s">
        <v>58</v>
      </c>
      <c r="K1721" s="6" t="n">
        <v>117579</v>
      </c>
      <c r="L1721" s="6" t="n">
        <v>126906</v>
      </c>
      <c r="M1721" s="6" t="s">
        <v>142</v>
      </c>
      <c r="N1721" s="6" t="n">
        <v>43</v>
      </c>
      <c r="O1721" s="6" t="s">
        <v>60</v>
      </c>
      <c r="P1721" s="6" t="n">
        <v>9</v>
      </c>
      <c r="Q1721" s="6" t="n">
        <v>24.56</v>
      </c>
      <c r="R1721" s="20" t="n">
        <f aca="false">(L1721-K1721)/K1721</f>
        <v>0.0793253897379634</v>
      </c>
    </row>
    <row r="1722" customFormat="false" ht="15" hidden="false" customHeight="false" outlineLevel="0" collapsed="false">
      <c r="A1722" s="6" t="s">
        <v>1884</v>
      </c>
      <c r="B1722" s="6" t="n">
        <v>35</v>
      </c>
      <c r="C1722" s="6" t="s">
        <v>139</v>
      </c>
      <c r="D1722" s="6" t="s">
        <v>135</v>
      </c>
      <c r="E1722" s="6" t="s">
        <v>89</v>
      </c>
      <c r="F1722" s="6" t="s">
        <v>162</v>
      </c>
      <c r="G1722" s="6" t="n">
        <v>11</v>
      </c>
      <c r="H1722" s="6" t="s">
        <v>82</v>
      </c>
      <c r="I1722" s="6" t="s">
        <v>81</v>
      </c>
      <c r="J1722" s="6" t="s">
        <v>58</v>
      </c>
      <c r="K1722" s="6" t="n">
        <v>48676</v>
      </c>
      <c r="L1722" s="6" t="n">
        <v>66100</v>
      </c>
      <c r="M1722" s="6" t="s">
        <v>146</v>
      </c>
      <c r="N1722" s="6" t="n">
        <v>37</v>
      </c>
      <c r="O1722" s="6" t="s">
        <v>58</v>
      </c>
      <c r="P1722" s="6" t="n">
        <v>4</v>
      </c>
      <c r="Q1722" s="6" t="n">
        <v>0.61</v>
      </c>
      <c r="R1722" s="20" t="n">
        <f aca="false">(L1722-K1722)/K1722</f>
        <v>0.357958747637439</v>
      </c>
    </row>
    <row r="1723" customFormat="false" ht="15" hidden="false" customHeight="false" outlineLevel="0" collapsed="false">
      <c r="A1723" s="6" t="s">
        <v>1885</v>
      </c>
      <c r="B1723" s="6" t="n">
        <v>37</v>
      </c>
      <c r="C1723" s="6" t="s">
        <v>134</v>
      </c>
      <c r="D1723" s="6" t="s">
        <v>144</v>
      </c>
      <c r="E1723" s="6" t="s">
        <v>91</v>
      </c>
      <c r="F1723" s="6" t="s">
        <v>141</v>
      </c>
      <c r="G1723" s="6" t="n">
        <v>12</v>
      </c>
      <c r="H1723" s="6" t="s">
        <v>82</v>
      </c>
      <c r="I1723" s="6" t="s">
        <v>80</v>
      </c>
      <c r="J1723" s="6" t="s">
        <v>58</v>
      </c>
      <c r="K1723" s="6" t="n">
        <v>41231</v>
      </c>
      <c r="L1723" s="6" t="n">
        <v>41102</v>
      </c>
      <c r="M1723" s="6" t="s">
        <v>142</v>
      </c>
      <c r="N1723" s="6" t="n">
        <v>40</v>
      </c>
      <c r="O1723" s="6" t="s">
        <v>60</v>
      </c>
      <c r="P1723" s="6" t="n">
        <v>5</v>
      </c>
      <c r="Q1723" s="6" t="n">
        <v>34.49</v>
      </c>
      <c r="R1723" s="20" t="n">
        <f aca="false">(L1723-K1723)/K1723</f>
        <v>-0.00312871383182557</v>
      </c>
    </row>
    <row r="1724" customFormat="false" ht="15" hidden="false" customHeight="false" outlineLevel="0" collapsed="false">
      <c r="A1724" s="6" t="s">
        <v>1886</v>
      </c>
      <c r="B1724" s="6" t="n">
        <v>51</v>
      </c>
      <c r="C1724" s="6" t="s">
        <v>159</v>
      </c>
      <c r="D1724" s="6" t="s">
        <v>144</v>
      </c>
      <c r="E1724" s="6" t="s">
        <v>88</v>
      </c>
      <c r="F1724" s="6" t="s">
        <v>157</v>
      </c>
      <c r="G1724" s="6" t="n">
        <v>29</v>
      </c>
      <c r="H1724" s="6" t="s">
        <v>80</v>
      </c>
      <c r="I1724" s="6" t="s">
        <v>82</v>
      </c>
      <c r="J1724" s="6" t="s">
        <v>58</v>
      </c>
      <c r="K1724" s="6" t="n">
        <v>91517</v>
      </c>
      <c r="L1724" s="6" t="n">
        <v>88623</v>
      </c>
      <c r="M1724" s="6" t="s">
        <v>142</v>
      </c>
      <c r="N1724" s="6" t="n">
        <v>49</v>
      </c>
      <c r="O1724" s="6" t="s">
        <v>60</v>
      </c>
      <c r="P1724" s="6" t="n">
        <v>4</v>
      </c>
      <c r="Q1724" s="6" t="n">
        <v>-7.28</v>
      </c>
      <c r="R1724" s="20" t="n">
        <f aca="false">(L1724-K1724)/K1724</f>
        <v>-0.0316225400745217</v>
      </c>
    </row>
    <row r="1725" customFormat="false" ht="15" hidden="false" customHeight="false" outlineLevel="0" collapsed="false">
      <c r="A1725" s="6" t="s">
        <v>1887</v>
      </c>
      <c r="B1725" s="6" t="n">
        <v>53</v>
      </c>
      <c r="C1725" s="6" t="s">
        <v>159</v>
      </c>
      <c r="D1725" s="6" t="s">
        <v>144</v>
      </c>
      <c r="E1725" s="6" t="s">
        <v>89</v>
      </c>
      <c r="F1725" s="6" t="s">
        <v>151</v>
      </c>
      <c r="G1725" s="6" t="n">
        <v>27</v>
      </c>
      <c r="H1725" s="6" t="s">
        <v>81</v>
      </c>
      <c r="I1725" s="6" t="s">
        <v>82</v>
      </c>
      <c r="J1725" s="6" t="s">
        <v>60</v>
      </c>
      <c r="K1725" s="6" t="n">
        <v>40196</v>
      </c>
      <c r="L1725" s="6" t="n">
        <v>36423</v>
      </c>
      <c r="M1725" s="6" t="s">
        <v>142</v>
      </c>
      <c r="N1725" s="6" t="n">
        <v>37</v>
      </c>
      <c r="O1725" s="6" t="s">
        <v>58</v>
      </c>
      <c r="P1725" s="6" t="n">
        <v>6</v>
      </c>
      <c r="Q1725" s="6" t="n">
        <v>11.31</v>
      </c>
      <c r="R1725" s="20" t="n">
        <f aca="false">(L1725-K1725)/K1725</f>
        <v>-0.0938650612001194</v>
      </c>
    </row>
    <row r="1726" customFormat="false" ht="15" hidden="false" customHeight="false" outlineLevel="0" collapsed="false">
      <c r="A1726" s="6" t="s">
        <v>1888</v>
      </c>
      <c r="B1726" s="6" t="n">
        <v>55</v>
      </c>
      <c r="C1726" s="6" t="s">
        <v>159</v>
      </c>
      <c r="D1726" s="6" t="s">
        <v>144</v>
      </c>
      <c r="E1726" s="6" t="s">
        <v>87</v>
      </c>
      <c r="F1726" s="6" t="s">
        <v>149</v>
      </c>
      <c r="G1726" s="6" t="n">
        <v>33</v>
      </c>
      <c r="H1726" s="6" t="s">
        <v>82</v>
      </c>
      <c r="I1726" s="6" t="s">
        <v>81</v>
      </c>
      <c r="J1726" s="6" t="s">
        <v>58</v>
      </c>
      <c r="K1726" s="6" t="n">
        <v>54111</v>
      </c>
      <c r="L1726" s="6" t="n">
        <v>72296</v>
      </c>
      <c r="M1726" s="6" t="s">
        <v>146</v>
      </c>
      <c r="N1726" s="6" t="n">
        <v>35</v>
      </c>
      <c r="O1726" s="6" t="s">
        <v>58</v>
      </c>
      <c r="P1726" s="6" t="n">
        <v>9</v>
      </c>
      <c r="Q1726" s="6" t="n">
        <v>29.39</v>
      </c>
      <c r="R1726" s="20" t="n">
        <f aca="false">(L1726-K1726)/K1726</f>
        <v>0.336068451885938</v>
      </c>
    </row>
    <row r="1727" customFormat="false" ht="15" hidden="false" customHeight="false" outlineLevel="0" collapsed="false">
      <c r="A1727" s="6" t="s">
        <v>1889</v>
      </c>
      <c r="B1727" s="6" t="n">
        <v>39</v>
      </c>
      <c r="C1727" s="6" t="s">
        <v>134</v>
      </c>
      <c r="D1727" s="6" t="s">
        <v>144</v>
      </c>
      <c r="E1727" s="6" t="s">
        <v>90</v>
      </c>
      <c r="F1727" s="6" t="s">
        <v>145</v>
      </c>
      <c r="G1727" s="6" t="n">
        <v>14</v>
      </c>
      <c r="H1727" s="6" t="s">
        <v>81</v>
      </c>
      <c r="I1727" s="6" t="s">
        <v>80</v>
      </c>
      <c r="J1727" s="6" t="s">
        <v>60</v>
      </c>
      <c r="K1727" s="6" t="n">
        <v>85038</v>
      </c>
      <c r="L1727" s="6" t="n">
        <v>86385</v>
      </c>
      <c r="M1727" s="6" t="s">
        <v>142</v>
      </c>
      <c r="N1727" s="6" t="n">
        <v>47</v>
      </c>
      <c r="O1727" s="6" t="s">
        <v>60</v>
      </c>
      <c r="P1727" s="6" t="n">
        <v>9</v>
      </c>
      <c r="Q1727" s="6" t="n">
        <v>27.22</v>
      </c>
      <c r="R1727" s="20" t="n">
        <f aca="false">(L1727-K1727)/K1727</f>
        <v>0.0158399774218585</v>
      </c>
    </row>
    <row r="1728" customFormat="false" ht="15" hidden="false" customHeight="false" outlineLevel="0" collapsed="false">
      <c r="A1728" s="6" t="s">
        <v>1890</v>
      </c>
      <c r="B1728" s="6" t="n">
        <v>35</v>
      </c>
      <c r="C1728" s="6" t="s">
        <v>139</v>
      </c>
      <c r="D1728" s="6" t="s">
        <v>144</v>
      </c>
      <c r="E1728" s="6" t="s">
        <v>88</v>
      </c>
      <c r="F1728" s="6" t="s">
        <v>179</v>
      </c>
      <c r="G1728" s="6" t="n">
        <v>13</v>
      </c>
      <c r="H1728" s="6" t="s">
        <v>80</v>
      </c>
      <c r="I1728" s="6" t="s">
        <v>82</v>
      </c>
      <c r="J1728" s="6" t="s">
        <v>58</v>
      </c>
      <c r="K1728" s="6" t="n">
        <v>46267</v>
      </c>
      <c r="L1728" s="6" t="n">
        <v>44327</v>
      </c>
      <c r="M1728" s="6" t="s">
        <v>142</v>
      </c>
      <c r="N1728" s="6" t="n">
        <v>54</v>
      </c>
      <c r="O1728" s="6" t="s">
        <v>58</v>
      </c>
      <c r="P1728" s="6" t="n">
        <v>7</v>
      </c>
      <c r="Q1728" s="6" t="n">
        <v>-19.27</v>
      </c>
      <c r="R1728" s="20" t="n">
        <f aca="false">(L1728-K1728)/K1728</f>
        <v>-0.0419305336416885</v>
      </c>
    </row>
    <row r="1729" customFormat="false" ht="15" hidden="false" customHeight="false" outlineLevel="0" collapsed="false">
      <c r="A1729" s="6" t="s">
        <v>1891</v>
      </c>
      <c r="B1729" s="6" t="n">
        <v>41</v>
      </c>
      <c r="C1729" s="6" t="s">
        <v>159</v>
      </c>
      <c r="D1729" s="6" t="s">
        <v>140</v>
      </c>
      <c r="E1729" s="6" t="s">
        <v>91</v>
      </c>
      <c r="F1729" s="6" t="s">
        <v>206</v>
      </c>
      <c r="G1729" s="6" t="n">
        <v>15</v>
      </c>
      <c r="H1729" s="6" t="s">
        <v>81</v>
      </c>
      <c r="I1729" s="6" t="s">
        <v>81</v>
      </c>
      <c r="J1729" s="6" t="s">
        <v>60</v>
      </c>
      <c r="K1729" s="6" t="n">
        <v>37235</v>
      </c>
      <c r="L1729" s="6" t="n">
        <v>36525</v>
      </c>
      <c r="M1729" s="6" t="s">
        <v>146</v>
      </c>
      <c r="N1729" s="6" t="n">
        <v>36</v>
      </c>
      <c r="O1729" s="6" t="s">
        <v>58</v>
      </c>
      <c r="P1729" s="6" t="n">
        <v>3</v>
      </c>
      <c r="Q1729" s="6" t="n">
        <v>10.69</v>
      </c>
      <c r="R1729" s="20" t="n">
        <f aca="false">(L1729-K1729)/K1729</f>
        <v>-0.0190680811064858</v>
      </c>
    </row>
    <row r="1730" customFormat="false" ht="15" hidden="false" customHeight="false" outlineLevel="0" collapsed="false">
      <c r="A1730" s="6" t="s">
        <v>1892</v>
      </c>
      <c r="B1730" s="6" t="n">
        <v>51</v>
      </c>
      <c r="C1730" s="6" t="s">
        <v>139</v>
      </c>
      <c r="D1730" s="6" t="s">
        <v>140</v>
      </c>
      <c r="E1730" s="6" t="s">
        <v>87</v>
      </c>
      <c r="F1730" s="6" t="s">
        <v>149</v>
      </c>
      <c r="G1730" s="6" t="n">
        <v>28</v>
      </c>
      <c r="H1730" s="6" t="s">
        <v>80</v>
      </c>
      <c r="I1730" s="6" t="s">
        <v>82</v>
      </c>
      <c r="J1730" s="6" t="s">
        <v>58</v>
      </c>
      <c r="K1730" s="6" t="n">
        <v>117218</v>
      </c>
      <c r="L1730" s="6" t="n">
        <v>118163</v>
      </c>
      <c r="M1730" s="6" t="s">
        <v>142</v>
      </c>
      <c r="N1730" s="6" t="n">
        <v>54</v>
      </c>
      <c r="O1730" s="6" t="s">
        <v>58</v>
      </c>
      <c r="P1730" s="6" t="n">
        <v>5</v>
      </c>
      <c r="Q1730" s="6" t="n">
        <v>-4.92</v>
      </c>
      <c r="R1730" s="20" t="n">
        <f aca="false">(L1730-K1730)/K1730</f>
        <v>0.00806190175570305</v>
      </c>
    </row>
    <row r="1731" customFormat="false" ht="15" hidden="false" customHeight="false" outlineLevel="0" collapsed="false">
      <c r="A1731" s="6" t="s">
        <v>1893</v>
      </c>
      <c r="B1731" s="6" t="n">
        <v>31</v>
      </c>
      <c r="C1731" s="6" t="s">
        <v>134</v>
      </c>
      <c r="D1731" s="6" t="s">
        <v>148</v>
      </c>
      <c r="E1731" s="6" t="s">
        <v>87</v>
      </c>
      <c r="F1731" s="6" t="s">
        <v>160</v>
      </c>
      <c r="G1731" s="6" t="n">
        <v>5</v>
      </c>
      <c r="H1731" s="6" t="s">
        <v>82</v>
      </c>
      <c r="I1731" s="6" t="s">
        <v>80</v>
      </c>
      <c r="J1731" s="6" t="s">
        <v>58</v>
      </c>
      <c r="K1731" s="6" t="n">
        <v>31942</v>
      </c>
      <c r="L1731" s="6" t="n">
        <v>38334</v>
      </c>
      <c r="M1731" s="6" t="s">
        <v>142</v>
      </c>
      <c r="N1731" s="6" t="n">
        <v>47</v>
      </c>
      <c r="O1731" s="6" t="s">
        <v>58</v>
      </c>
      <c r="P1731" s="6" t="n">
        <v>4</v>
      </c>
      <c r="Q1731" s="6" t="n">
        <v>-5.96</v>
      </c>
      <c r="R1731" s="20" t="n">
        <f aca="false">(L1731-K1731)/K1731</f>
        <v>0.200112704276501</v>
      </c>
    </row>
    <row r="1732" customFormat="false" ht="15" hidden="false" customHeight="false" outlineLevel="0" collapsed="false">
      <c r="A1732" s="6" t="s">
        <v>1894</v>
      </c>
      <c r="B1732" s="6" t="n">
        <v>48</v>
      </c>
      <c r="C1732" s="6" t="s">
        <v>134</v>
      </c>
      <c r="D1732" s="6" t="s">
        <v>140</v>
      </c>
      <c r="E1732" s="6" t="s">
        <v>87</v>
      </c>
      <c r="F1732" s="6" t="s">
        <v>155</v>
      </c>
      <c r="G1732" s="6" t="n">
        <v>25</v>
      </c>
      <c r="H1732" s="6" t="s">
        <v>81</v>
      </c>
      <c r="I1732" s="6" t="s">
        <v>82</v>
      </c>
      <c r="J1732" s="6" t="s">
        <v>58</v>
      </c>
      <c r="K1732" s="6" t="n">
        <v>38983</v>
      </c>
      <c r="L1732" s="6" t="n">
        <v>40836</v>
      </c>
      <c r="M1732" s="6" t="s">
        <v>142</v>
      </c>
      <c r="N1732" s="6" t="n">
        <v>47</v>
      </c>
      <c r="O1732" s="6" t="s">
        <v>60</v>
      </c>
      <c r="P1732" s="6" t="n">
        <v>4</v>
      </c>
      <c r="Q1732" s="6" t="n">
        <v>13.93</v>
      </c>
      <c r="R1732" s="20" t="n">
        <f aca="false">(L1732-K1732)/K1732</f>
        <v>0.0475335402611395</v>
      </c>
    </row>
    <row r="1733" customFormat="false" ht="15" hidden="false" customHeight="false" outlineLevel="0" collapsed="false">
      <c r="A1733" s="6" t="s">
        <v>1895</v>
      </c>
      <c r="B1733" s="6" t="n">
        <v>23</v>
      </c>
      <c r="C1733" s="6" t="s">
        <v>139</v>
      </c>
      <c r="D1733" s="6" t="s">
        <v>144</v>
      </c>
      <c r="E1733" s="6" t="s">
        <v>87</v>
      </c>
      <c r="F1733" s="6" t="s">
        <v>160</v>
      </c>
      <c r="G1733" s="6" t="n">
        <v>0</v>
      </c>
      <c r="H1733" s="6" t="s">
        <v>82</v>
      </c>
      <c r="I1733" s="6" t="s">
        <v>80</v>
      </c>
      <c r="J1733" s="6" t="s">
        <v>60</v>
      </c>
      <c r="K1733" s="6" t="n">
        <v>32673</v>
      </c>
      <c r="L1733" s="6" t="n">
        <v>27444</v>
      </c>
      <c r="M1733" s="6" t="s">
        <v>142</v>
      </c>
      <c r="N1733" s="6" t="n">
        <v>36</v>
      </c>
      <c r="O1733" s="6" t="s">
        <v>58</v>
      </c>
      <c r="P1733" s="6" t="n">
        <v>9</v>
      </c>
      <c r="Q1733" s="6" t="n">
        <v>38.56</v>
      </c>
      <c r="R1733" s="20" t="n">
        <f aca="false">(L1733-K1733)/K1733</f>
        <v>-0.160040400330548</v>
      </c>
    </row>
    <row r="1734" customFormat="false" ht="15" hidden="false" customHeight="false" outlineLevel="0" collapsed="false">
      <c r="A1734" s="6" t="s">
        <v>1896</v>
      </c>
      <c r="B1734" s="6" t="n">
        <v>58</v>
      </c>
      <c r="C1734" s="6" t="s">
        <v>134</v>
      </c>
      <c r="D1734" s="6" t="s">
        <v>148</v>
      </c>
      <c r="E1734" s="6" t="s">
        <v>88</v>
      </c>
      <c r="F1734" s="6" t="s">
        <v>157</v>
      </c>
      <c r="G1734" s="6" t="n">
        <v>33</v>
      </c>
      <c r="H1734" s="6" t="s">
        <v>81</v>
      </c>
      <c r="I1734" s="6" t="s">
        <v>80</v>
      </c>
      <c r="J1734" s="6" t="s">
        <v>60</v>
      </c>
      <c r="K1734" s="6" t="n">
        <v>43665</v>
      </c>
      <c r="L1734" s="6" t="n">
        <v>45656</v>
      </c>
      <c r="M1734" s="6" t="s">
        <v>142</v>
      </c>
      <c r="N1734" s="6" t="n">
        <v>53</v>
      </c>
      <c r="O1734" s="6" t="s">
        <v>58</v>
      </c>
      <c r="P1734" s="6" t="n">
        <v>6</v>
      </c>
      <c r="Q1734" s="6" t="n">
        <v>29.81</v>
      </c>
      <c r="R1734" s="20" t="n">
        <f aca="false">(L1734-K1734)/K1734</f>
        <v>0.0455971601969541</v>
      </c>
    </row>
    <row r="1735" customFormat="false" ht="15" hidden="false" customHeight="false" outlineLevel="0" collapsed="false">
      <c r="A1735" s="6" t="s">
        <v>1897</v>
      </c>
      <c r="B1735" s="6" t="n">
        <v>45</v>
      </c>
      <c r="C1735" s="6" t="s">
        <v>139</v>
      </c>
      <c r="D1735" s="6" t="s">
        <v>140</v>
      </c>
      <c r="E1735" s="6" t="s">
        <v>90</v>
      </c>
      <c r="F1735" s="6" t="s">
        <v>236</v>
      </c>
      <c r="G1735" s="6" t="n">
        <v>20</v>
      </c>
      <c r="H1735" s="6" t="s">
        <v>81</v>
      </c>
      <c r="I1735" s="6" t="s">
        <v>82</v>
      </c>
      <c r="J1735" s="6" t="s">
        <v>60</v>
      </c>
      <c r="K1735" s="6" t="n">
        <v>39638</v>
      </c>
      <c r="L1735" s="6" t="n">
        <v>39384</v>
      </c>
      <c r="M1735" s="6" t="s">
        <v>142</v>
      </c>
      <c r="N1735" s="6" t="n">
        <v>53</v>
      </c>
      <c r="O1735" s="6" t="s">
        <v>60</v>
      </c>
      <c r="P1735" s="6" t="n">
        <v>8</v>
      </c>
      <c r="Q1735" s="6" t="n">
        <v>34.59</v>
      </c>
      <c r="R1735" s="20" t="n">
        <f aca="false">(L1735-K1735)/K1735</f>
        <v>-0.00640799233059186</v>
      </c>
    </row>
    <row r="1736" customFormat="false" ht="15" hidden="false" customHeight="false" outlineLevel="0" collapsed="false">
      <c r="A1736" s="6" t="s">
        <v>1898</v>
      </c>
      <c r="B1736" s="6" t="n">
        <v>56</v>
      </c>
      <c r="C1736" s="6" t="s">
        <v>139</v>
      </c>
      <c r="D1736" s="6" t="s">
        <v>144</v>
      </c>
      <c r="E1736" s="6" t="s">
        <v>92</v>
      </c>
      <c r="F1736" s="6" t="s">
        <v>222</v>
      </c>
      <c r="G1736" s="6" t="n">
        <v>34</v>
      </c>
      <c r="H1736" s="6" t="s">
        <v>80</v>
      </c>
      <c r="I1736" s="6" t="s">
        <v>80</v>
      </c>
      <c r="J1736" s="6" t="s">
        <v>58</v>
      </c>
      <c r="K1736" s="6" t="n">
        <v>32466</v>
      </c>
      <c r="L1736" s="6" t="n">
        <v>32426</v>
      </c>
      <c r="M1736" s="6" t="s">
        <v>142</v>
      </c>
      <c r="N1736" s="6" t="n">
        <v>40</v>
      </c>
      <c r="O1736" s="6" t="s">
        <v>60</v>
      </c>
      <c r="P1736" s="6" t="n">
        <v>6</v>
      </c>
      <c r="Q1736" s="6" t="n">
        <v>8.27</v>
      </c>
      <c r="R1736" s="20" t="n">
        <f aca="false">(L1736-K1736)/K1736</f>
        <v>-0.00123205815314483</v>
      </c>
    </row>
    <row r="1737" customFormat="false" ht="15" hidden="false" customHeight="false" outlineLevel="0" collapsed="false">
      <c r="A1737" s="6" t="s">
        <v>1899</v>
      </c>
      <c r="B1737" s="6" t="n">
        <v>38</v>
      </c>
      <c r="C1737" s="6" t="s">
        <v>134</v>
      </c>
      <c r="D1737" s="6" t="s">
        <v>140</v>
      </c>
      <c r="E1737" s="6" t="s">
        <v>89</v>
      </c>
      <c r="F1737" s="6" t="s">
        <v>162</v>
      </c>
      <c r="G1737" s="6" t="n">
        <v>16</v>
      </c>
      <c r="H1737" s="6" t="s">
        <v>80</v>
      </c>
      <c r="I1737" s="6" t="s">
        <v>82</v>
      </c>
      <c r="J1737" s="6" t="s">
        <v>60</v>
      </c>
      <c r="K1737" s="6" t="n">
        <v>85309</v>
      </c>
      <c r="L1737" s="6" t="n">
        <v>92528</v>
      </c>
      <c r="M1737" s="6" t="s">
        <v>142</v>
      </c>
      <c r="N1737" s="6" t="n">
        <v>39</v>
      </c>
      <c r="O1737" s="6" t="s">
        <v>58</v>
      </c>
      <c r="P1737" s="6" t="n">
        <v>7</v>
      </c>
      <c r="Q1737" s="6" t="n">
        <v>36.8</v>
      </c>
      <c r="R1737" s="20" t="n">
        <f aca="false">(L1737-K1737)/K1737</f>
        <v>0.0846217866813584</v>
      </c>
    </row>
    <row r="1738" customFormat="false" ht="15" hidden="false" customHeight="false" outlineLevel="0" collapsed="false">
      <c r="A1738" s="6" t="s">
        <v>1900</v>
      </c>
      <c r="B1738" s="6" t="n">
        <v>53</v>
      </c>
      <c r="C1738" s="6" t="s">
        <v>139</v>
      </c>
      <c r="D1738" s="6" t="s">
        <v>144</v>
      </c>
      <c r="E1738" s="6" t="s">
        <v>92</v>
      </c>
      <c r="F1738" s="6" t="s">
        <v>192</v>
      </c>
      <c r="G1738" s="6" t="n">
        <v>28</v>
      </c>
      <c r="H1738" s="6" t="s">
        <v>81</v>
      </c>
      <c r="I1738" s="6" t="s">
        <v>81</v>
      </c>
      <c r="J1738" s="6" t="s">
        <v>60</v>
      </c>
      <c r="K1738" s="6" t="n">
        <v>57684</v>
      </c>
      <c r="L1738" s="6" t="n">
        <v>67740</v>
      </c>
      <c r="M1738" s="6" t="s">
        <v>146</v>
      </c>
      <c r="N1738" s="6" t="n">
        <v>53</v>
      </c>
      <c r="O1738" s="6" t="s">
        <v>58</v>
      </c>
      <c r="P1738" s="6" t="n">
        <v>9</v>
      </c>
      <c r="Q1738" s="6" t="n">
        <v>25.07</v>
      </c>
      <c r="R1738" s="20" t="n">
        <f aca="false">(L1738-K1738)/K1738</f>
        <v>0.174329103390888</v>
      </c>
    </row>
    <row r="1739" customFormat="false" ht="15" hidden="false" customHeight="false" outlineLevel="0" collapsed="false">
      <c r="A1739" s="6" t="s">
        <v>1901</v>
      </c>
      <c r="B1739" s="6" t="n">
        <v>30</v>
      </c>
      <c r="C1739" s="6" t="s">
        <v>159</v>
      </c>
      <c r="D1739" s="6" t="s">
        <v>135</v>
      </c>
      <c r="E1739" s="6" t="s">
        <v>88</v>
      </c>
      <c r="F1739" s="6" t="s">
        <v>234</v>
      </c>
      <c r="G1739" s="6" t="n">
        <v>8</v>
      </c>
      <c r="H1739" s="6" t="s">
        <v>80</v>
      </c>
      <c r="I1739" s="6" t="s">
        <v>80</v>
      </c>
      <c r="J1739" s="6" t="s">
        <v>58</v>
      </c>
      <c r="K1739" s="6" t="n">
        <v>106882</v>
      </c>
      <c r="L1739" s="6" t="n">
        <v>113769</v>
      </c>
      <c r="M1739" s="6" t="s">
        <v>142</v>
      </c>
      <c r="N1739" s="6" t="n">
        <v>45</v>
      </c>
      <c r="O1739" s="6" t="s">
        <v>58</v>
      </c>
      <c r="P1739" s="6" t="n">
        <v>8</v>
      </c>
      <c r="Q1739" s="6" t="n">
        <v>25.57</v>
      </c>
      <c r="R1739" s="20" t="n">
        <f aca="false">(L1739-K1739)/K1739</f>
        <v>0.0644355457420333</v>
      </c>
    </row>
    <row r="1740" customFormat="false" ht="15" hidden="false" customHeight="false" outlineLevel="0" collapsed="false">
      <c r="A1740" s="6" t="s">
        <v>1902</v>
      </c>
      <c r="B1740" s="6" t="n">
        <v>25</v>
      </c>
      <c r="C1740" s="6" t="s">
        <v>134</v>
      </c>
      <c r="D1740" s="6" t="s">
        <v>148</v>
      </c>
      <c r="E1740" s="6" t="s">
        <v>90</v>
      </c>
      <c r="F1740" s="6" t="s">
        <v>145</v>
      </c>
      <c r="G1740" s="6" t="n">
        <v>3</v>
      </c>
      <c r="H1740" s="6" t="s">
        <v>80</v>
      </c>
      <c r="I1740" s="6" t="s">
        <v>80</v>
      </c>
      <c r="J1740" s="6" t="s">
        <v>58</v>
      </c>
      <c r="K1740" s="6" t="n">
        <v>92919</v>
      </c>
      <c r="L1740" s="6" t="n">
        <v>95101</v>
      </c>
      <c r="M1740" s="6" t="s">
        <v>142</v>
      </c>
      <c r="N1740" s="6" t="n">
        <v>45</v>
      </c>
      <c r="O1740" s="6" t="s">
        <v>60</v>
      </c>
      <c r="P1740" s="6" t="n">
        <v>8</v>
      </c>
      <c r="Q1740" s="6" t="n">
        <v>-18.07</v>
      </c>
      <c r="R1740" s="20" t="n">
        <f aca="false">(L1740-K1740)/K1740</f>
        <v>0.0234828183686867</v>
      </c>
    </row>
    <row r="1741" customFormat="false" ht="15" hidden="false" customHeight="false" outlineLevel="0" collapsed="false">
      <c r="A1741" s="6" t="s">
        <v>1903</v>
      </c>
      <c r="B1741" s="6" t="n">
        <v>59</v>
      </c>
      <c r="C1741" s="6" t="s">
        <v>139</v>
      </c>
      <c r="D1741" s="6" t="s">
        <v>140</v>
      </c>
      <c r="E1741" s="6" t="s">
        <v>87</v>
      </c>
      <c r="F1741" s="6" t="s">
        <v>155</v>
      </c>
      <c r="G1741" s="6" t="n">
        <v>33</v>
      </c>
      <c r="H1741" s="6" t="s">
        <v>80</v>
      </c>
      <c r="I1741" s="6" t="s">
        <v>82</v>
      </c>
      <c r="J1741" s="6" t="s">
        <v>58</v>
      </c>
      <c r="K1741" s="6" t="n">
        <v>62788</v>
      </c>
      <c r="L1741" s="6" t="n">
        <v>68747</v>
      </c>
      <c r="M1741" s="6" t="s">
        <v>142</v>
      </c>
      <c r="N1741" s="6" t="n">
        <v>42</v>
      </c>
      <c r="O1741" s="6" t="s">
        <v>58</v>
      </c>
      <c r="P1741" s="6" t="n">
        <v>9</v>
      </c>
      <c r="Q1741" s="6" t="n">
        <v>16.25</v>
      </c>
      <c r="R1741" s="20" t="n">
        <f aca="false">(L1741-K1741)/K1741</f>
        <v>0.0949066700643435</v>
      </c>
    </row>
    <row r="1742" customFormat="false" ht="15" hidden="false" customHeight="false" outlineLevel="0" collapsed="false">
      <c r="A1742" s="6" t="s">
        <v>1904</v>
      </c>
      <c r="B1742" s="6" t="n">
        <v>29</v>
      </c>
      <c r="C1742" s="6" t="s">
        <v>159</v>
      </c>
      <c r="D1742" s="6" t="s">
        <v>148</v>
      </c>
      <c r="E1742" s="6" t="s">
        <v>88</v>
      </c>
      <c r="F1742" s="6" t="s">
        <v>234</v>
      </c>
      <c r="G1742" s="6" t="n">
        <v>4</v>
      </c>
      <c r="H1742" s="6" t="s">
        <v>80</v>
      </c>
      <c r="I1742" s="6" t="s">
        <v>82</v>
      </c>
      <c r="J1742" s="6" t="s">
        <v>58</v>
      </c>
      <c r="K1742" s="6" t="n">
        <v>89719</v>
      </c>
      <c r="L1742" s="6" t="n">
        <v>85395</v>
      </c>
      <c r="M1742" s="6" t="s">
        <v>142</v>
      </c>
      <c r="N1742" s="6" t="n">
        <v>50</v>
      </c>
      <c r="O1742" s="6" t="s">
        <v>60</v>
      </c>
      <c r="P1742" s="6" t="n">
        <v>3</v>
      </c>
      <c r="Q1742" s="6" t="n">
        <v>-17.94</v>
      </c>
      <c r="R1742" s="20" t="n">
        <f aca="false">(L1742-K1742)/K1742</f>
        <v>-0.0481949196937104</v>
      </c>
    </row>
    <row r="1743" customFormat="false" ht="15" hidden="false" customHeight="false" outlineLevel="0" collapsed="false">
      <c r="A1743" s="6" t="s">
        <v>1905</v>
      </c>
      <c r="B1743" s="6" t="n">
        <v>34</v>
      </c>
      <c r="C1743" s="6" t="s">
        <v>159</v>
      </c>
      <c r="D1743" s="6" t="s">
        <v>135</v>
      </c>
      <c r="E1743" s="6" t="s">
        <v>88</v>
      </c>
      <c r="F1743" s="6" t="s">
        <v>179</v>
      </c>
      <c r="G1743" s="6" t="n">
        <v>9</v>
      </c>
      <c r="H1743" s="6" t="s">
        <v>81</v>
      </c>
      <c r="I1743" s="6" t="s">
        <v>82</v>
      </c>
      <c r="J1743" s="6" t="s">
        <v>58</v>
      </c>
      <c r="K1743" s="6" t="n">
        <v>34314</v>
      </c>
      <c r="L1743" s="6" t="n">
        <v>32964</v>
      </c>
      <c r="M1743" s="6" t="s">
        <v>142</v>
      </c>
      <c r="N1743" s="6" t="n">
        <v>51</v>
      </c>
      <c r="O1743" s="6" t="s">
        <v>60</v>
      </c>
      <c r="P1743" s="6" t="n">
        <v>5</v>
      </c>
      <c r="Q1743" s="6" t="n">
        <v>-3.79</v>
      </c>
      <c r="R1743" s="20" t="n">
        <f aca="false">(L1743-K1743)/K1743</f>
        <v>-0.0393425424025179</v>
      </c>
    </row>
    <row r="1744" customFormat="false" ht="15" hidden="false" customHeight="false" outlineLevel="0" collapsed="false">
      <c r="A1744" s="6" t="s">
        <v>1906</v>
      </c>
      <c r="B1744" s="6" t="n">
        <v>23</v>
      </c>
      <c r="C1744" s="6" t="s">
        <v>159</v>
      </c>
      <c r="D1744" s="6" t="s">
        <v>148</v>
      </c>
      <c r="E1744" s="6" t="s">
        <v>87</v>
      </c>
      <c r="F1744" s="6" t="s">
        <v>149</v>
      </c>
      <c r="G1744" s="6" t="n">
        <v>0</v>
      </c>
      <c r="H1744" s="6" t="s">
        <v>81</v>
      </c>
      <c r="I1744" s="6" t="s">
        <v>82</v>
      </c>
      <c r="J1744" s="6" t="s">
        <v>60</v>
      </c>
      <c r="K1744" s="6" t="n">
        <v>46352</v>
      </c>
      <c r="L1744" s="6" t="n">
        <v>55057</v>
      </c>
      <c r="M1744" s="6" t="s">
        <v>142</v>
      </c>
      <c r="N1744" s="6" t="n">
        <v>39</v>
      </c>
      <c r="O1744" s="6" t="s">
        <v>58</v>
      </c>
      <c r="P1744" s="6" t="n">
        <v>3</v>
      </c>
      <c r="Q1744" s="6" t="n">
        <v>-7.51</v>
      </c>
      <c r="R1744" s="20" t="n">
        <f aca="false">(L1744-K1744)/K1744</f>
        <v>0.187802036589575</v>
      </c>
    </row>
    <row r="1745" customFormat="false" ht="15" hidden="false" customHeight="false" outlineLevel="0" collapsed="false">
      <c r="A1745" s="6" t="s">
        <v>1907</v>
      </c>
      <c r="B1745" s="6" t="n">
        <v>41</v>
      </c>
      <c r="C1745" s="6" t="s">
        <v>139</v>
      </c>
      <c r="D1745" s="6" t="s">
        <v>140</v>
      </c>
      <c r="E1745" s="6" t="s">
        <v>91</v>
      </c>
      <c r="F1745" s="6" t="s">
        <v>208</v>
      </c>
      <c r="G1745" s="6" t="n">
        <v>15</v>
      </c>
      <c r="H1745" s="6" t="s">
        <v>82</v>
      </c>
      <c r="I1745" s="6" t="s">
        <v>81</v>
      </c>
      <c r="J1745" s="6" t="s">
        <v>60</v>
      </c>
      <c r="K1745" s="6" t="n">
        <v>32853</v>
      </c>
      <c r="L1745" s="6" t="n">
        <v>44455</v>
      </c>
      <c r="M1745" s="6" t="s">
        <v>146</v>
      </c>
      <c r="N1745" s="6" t="n">
        <v>37</v>
      </c>
      <c r="O1745" s="6" t="s">
        <v>58</v>
      </c>
      <c r="P1745" s="6" t="n">
        <v>8</v>
      </c>
      <c r="Q1745" s="6" t="n">
        <v>-11.55</v>
      </c>
      <c r="R1745" s="20" t="n">
        <f aca="false">(L1745-K1745)/K1745</f>
        <v>0.353148875292972</v>
      </c>
    </row>
    <row r="1746" customFormat="false" ht="15" hidden="false" customHeight="false" outlineLevel="0" collapsed="false">
      <c r="A1746" s="6" t="s">
        <v>1908</v>
      </c>
      <c r="B1746" s="6" t="n">
        <v>47</v>
      </c>
      <c r="C1746" s="6" t="s">
        <v>159</v>
      </c>
      <c r="D1746" s="6" t="s">
        <v>148</v>
      </c>
      <c r="E1746" s="6" t="s">
        <v>88</v>
      </c>
      <c r="F1746" s="6" t="s">
        <v>179</v>
      </c>
      <c r="G1746" s="6" t="n">
        <v>23</v>
      </c>
      <c r="H1746" s="6" t="s">
        <v>82</v>
      </c>
      <c r="I1746" s="6" t="s">
        <v>81</v>
      </c>
      <c r="J1746" s="6" t="s">
        <v>58</v>
      </c>
      <c r="K1746" s="6" t="n">
        <v>103927</v>
      </c>
      <c r="L1746" s="6" t="n">
        <v>106075</v>
      </c>
      <c r="M1746" s="6" t="s">
        <v>146</v>
      </c>
      <c r="N1746" s="6" t="n">
        <v>53</v>
      </c>
      <c r="O1746" s="6" t="s">
        <v>58</v>
      </c>
      <c r="P1746" s="6" t="n">
        <v>6</v>
      </c>
      <c r="Q1746" s="6" t="n">
        <v>-18.47</v>
      </c>
      <c r="R1746" s="20" t="n">
        <f aca="false">(L1746-K1746)/K1746</f>
        <v>0.0206683537483041</v>
      </c>
    </row>
    <row r="1747" customFormat="false" ht="15" hidden="false" customHeight="false" outlineLevel="0" collapsed="false">
      <c r="A1747" s="6" t="s">
        <v>1909</v>
      </c>
      <c r="B1747" s="6" t="n">
        <v>37</v>
      </c>
      <c r="C1747" s="6" t="s">
        <v>134</v>
      </c>
      <c r="D1747" s="6" t="s">
        <v>135</v>
      </c>
      <c r="E1747" s="6" t="s">
        <v>90</v>
      </c>
      <c r="F1747" s="6" t="s">
        <v>202</v>
      </c>
      <c r="G1747" s="6" t="n">
        <v>11</v>
      </c>
      <c r="H1747" s="6" t="s">
        <v>81</v>
      </c>
      <c r="I1747" s="6" t="s">
        <v>80</v>
      </c>
      <c r="J1747" s="6" t="s">
        <v>60</v>
      </c>
      <c r="K1747" s="6" t="n">
        <v>36611</v>
      </c>
      <c r="L1747" s="6" t="n">
        <v>40633</v>
      </c>
      <c r="M1747" s="6" t="s">
        <v>142</v>
      </c>
      <c r="N1747" s="6" t="n">
        <v>54</v>
      </c>
      <c r="O1747" s="6" t="s">
        <v>58</v>
      </c>
      <c r="P1747" s="6" t="n">
        <v>6</v>
      </c>
      <c r="Q1747" s="6" t="n">
        <v>7.95</v>
      </c>
      <c r="R1747" s="20" t="n">
        <f aca="false">(L1747-K1747)/K1747</f>
        <v>0.109857693043074</v>
      </c>
    </row>
    <row r="1748" customFormat="false" ht="15" hidden="false" customHeight="false" outlineLevel="0" collapsed="false">
      <c r="A1748" s="6" t="s">
        <v>1910</v>
      </c>
      <c r="B1748" s="6" t="n">
        <v>55</v>
      </c>
      <c r="C1748" s="6" t="s">
        <v>139</v>
      </c>
      <c r="D1748" s="6" t="s">
        <v>135</v>
      </c>
      <c r="E1748" s="6" t="s">
        <v>92</v>
      </c>
      <c r="F1748" s="6" t="s">
        <v>136</v>
      </c>
      <c r="G1748" s="6" t="n">
        <v>32</v>
      </c>
      <c r="H1748" s="6" t="s">
        <v>82</v>
      </c>
      <c r="I1748" s="6" t="s">
        <v>81</v>
      </c>
      <c r="J1748" s="6" t="s">
        <v>58</v>
      </c>
      <c r="K1748" s="6" t="n">
        <v>92077</v>
      </c>
      <c r="L1748" s="6" t="n">
        <v>116487</v>
      </c>
      <c r="M1748" s="6" t="s">
        <v>146</v>
      </c>
      <c r="N1748" s="6" t="n">
        <v>51</v>
      </c>
      <c r="O1748" s="6" t="s">
        <v>60</v>
      </c>
      <c r="P1748" s="6" t="n">
        <v>7</v>
      </c>
      <c r="Q1748" s="6" t="n">
        <v>11.61</v>
      </c>
      <c r="R1748" s="20" t="n">
        <f aca="false">(L1748-K1748)/K1748</f>
        <v>0.26510420626215</v>
      </c>
    </row>
    <row r="1749" customFormat="false" ht="15" hidden="false" customHeight="false" outlineLevel="0" collapsed="false">
      <c r="A1749" s="6" t="s">
        <v>1911</v>
      </c>
      <c r="B1749" s="6" t="n">
        <v>46</v>
      </c>
      <c r="C1749" s="6" t="s">
        <v>134</v>
      </c>
      <c r="D1749" s="6" t="s">
        <v>140</v>
      </c>
      <c r="E1749" s="6" t="s">
        <v>89</v>
      </c>
      <c r="F1749" s="6" t="s">
        <v>151</v>
      </c>
      <c r="G1749" s="6" t="n">
        <v>23</v>
      </c>
      <c r="H1749" s="6" t="s">
        <v>80</v>
      </c>
      <c r="I1749" s="6" t="s">
        <v>82</v>
      </c>
      <c r="J1749" s="6" t="s">
        <v>58</v>
      </c>
      <c r="K1749" s="6" t="n">
        <v>50662</v>
      </c>
      <c r="L1749" s="6" t="n">
        <v>52560</v>
      </c>
      <c r="M1749" s="6" t="s">
        <v>142</v>
      </c>
      <c r="N1749" s="6" t="n">
        <v>49</v>
      </c>
      <c r="O1749" s="6" t="s">
        <v>58</v>
      </c>
      <c r="P1749" s="6" t="n">
        <v>7</v>
      </c>
      <c r="Q1749" s="6" t="n">
        <v>-6.2</v>
      </c>
      <c r="R1749" s="20" t="n">
        <f aca="false">(L1749-K1749)/K1749</f>
        <v>0.037463976945245</v>
      </c>
    </row>
    <row r="1750" customFormat="false" ht="15" hidden="false" customHeight="false" outlineLevel="0" collapsed="false">
      <c r="A1750" s="6" t="s">
        <v>1912</v>
      </c>
      <c r="B1750" s="6" t="n">
        <v>34</v>
      </c>
      <c r="C1750" s="6" t="s">
        <v>159</v>
      </c>
      <c r="D1750" s="6" t="s">
        <v>140</v>
      </c>
      <c r="E1750" s="6" t="s">
        <v>93</v>
      </c>
      <c r="F1750" s="6" t="s">
        <v>181</v>
      </c>
      <c r="G1750" s="6" t="n">
        <v>9</v>
      </c>
      <c r="H1750" s="6" t="s">
        <v>82</v>
      </c>
      <c r="I1750" s="6" t="s">
        <v>81</v>
      </c>
      <c r="J1750" s="6" t="s">
        <v>58</v>
      </c>
      <c r="K1750" s="6" t="n">
        <v>110140</v>
      </c>
      <c r="L1750" s="6" t="n">
        <v>137206</v>
      </c>
      <c r="M1750" s="6" t="s">
        <v>146</v>
      </c>
      <c r="N1750" s="6" t="n">
        <v>53</v>
      </c>
      <c r="O1750" s="6" t="s">
        <v>58</v>
      </c>
      <c r="P1750" s="6" t="n">
        <v>7</v>
      </c>
      <c r="Q1750" s="6" t="n">
        <v>33.99</v>
      </c>
      <c r="R1750" s="20" t="n">
        <f aca="false">(L1750-K1750)/K1750</f>
        <v>0.245741783185037</v>
      </c>
    </row>
    <row r="1751" customFormat="false" ht="15" hidden="false" customHeight="false" outlineLevel="0" collapsed="false">
      <c r="A1751" s="6" t="s">
        <v>1913</v>
      </c>
      <c r="B1751" s="6" t="n">
        <v>58</v>
      </c>
      <c r="C1751" s="6" t="s">
        <v>139</v>
      </c>
      <c r="D1751" s="6" t="s">
        <v>144</v>
      </c>
      <c r="E1751" s="6" t="s">
        <v>87</v>
      </c>
      <c r="F1751" s="6" t="s">
        <v>160</v>
      </c>
      <c r="G1751" s="6" t="n">
        <v>35</v>
      </c>
      <c r="H1751" s="6" t="s">
        <v>82</v>
      </c>
      <c r="I1751" s="6" t="s">
        <v>82</v>
      </c>
      <c r="J1751" s="6" t="s">
        <v>58</v>
      </c>
      <c r="K1751" s="6" t="n">
        <v>46693</v>
      </c>
      <c r="L1751" s="6" t="n">
        <v>39784</v>
      </c>
      <c r="M1751" s="6" t="s">
        <v>146</v>
      </c>
      <c r="N1751" s="6" t="n">
        <v>53</v>
      </c>
      <c r="O1751" s="6" t="s">
        <v>58</v>
      </c>
      <c r="P1751" s="6" t="n">
        <v>9</v>
      </c>
      <c r="Q1751" s="6" t="n">
        <v>0.22</v>
      </c>
      <c r="R1751" s="20" t="n">
        <f aca="false">(L1751-K1751)/K1751</f>
        <v>-0.147966504615253</v>
      </c>
    </row>
    <row r="1752" customFormat="false" ht="15" hidden="false" customHeight="false" outlineLevel="0" collapsed="false">
      <c r="A1752" s="6" t="s">
        <v>1914</v>
      </c>
      <c r="B1752" s="6" t="n">
        <v>57</v>
      </c>
      <c r="C1752" s="6" t="s">
        <v>159</v>
      </c>
      <c r="D1752" s="6" t="s">
        <v>135</v>
      </c>
      <c r="E1752" s="6" t="s">
        <v>87</v>
      </c>
      <c r="F1752" s="6" t="s">
        <v>149</v>
      </c>
      <c r="G1752" s="6" t="n">
        <v>34</v>
      </c>
      <c r="H1752" s="6" t="s">
        <v>80</v>
      </c>
      <c r="I1752" s="6" t="s">
        <v>81</v>
      </c>
      <c r="J1752" s="6" t="s">
        <v>58</v>
      </c>
      <c r="K1752" s="6" t="n">
        <v>96330</v>
      </c>
      <c r="L1752" s="6" t="n">
        <v>99869</v>
      </c>
      <c r="M1752" s="6" t="s">
        <v>146</v>
      </c>
      <c r="N1752" s="6" t="n">
        <v>36</v>
      </c>
      <c r="O1752" s="6" t="s">
        <v>60</v>
      </c>
      <c r="P1752" s="6" t="n">
        <v>4</v>
      </c>
      <c r="Q1752" s="6" t="n">
        <v>-4.45</v>
      </c>
      <c r="R1752" s="20" t="n">
        <f aca="false">(L1752-K1752)/K1752</f>
        <v>0.0367382954427489</v>
      </c>
    </row>
    <row r="1753" customFormat="false" ht="15" hidden="false" customHeight="false" outlineLevel="0" collapsed="false">
      <c r="A1753" s="6" t="s">
        <v>1915</v>
      </c>
      <c r="B1753" s="6" t="n">
        <v>37</v>
      </c>
      <c r="C1753" s="6" t="s">
        <v>139</v>
      </c>
      <c r="D1753" s="6" t="s">
        <v>135</v>
      </c>
      <c r="E1753" s="6" t="s">
        <v>92</v>
      </c>
      <c r="F1753" s="6" t="s">
        <v>136</v>
      </c>
      <c r="G1753" s="6" t="n">
        <v>15</v>
      </c>
      <c r="H1753" s="6" t="s">
        <v>80</v>
      </c>
      <c r="I1753" s="6" t="s">
        <v>81</v>
      </c>
      <c r="J1753" s="6" t="s">
        <v>60</v>
      </c>
      <c r="K1753" s="6" t="n">
        <v>47358</v>
      </c>
      <c r="L1753" s="6" t="n">
        <v>50097</v>
      </c>
      <c r="M1753" s="6" t="s">
        <v>146</v>
      </c>
      <c r="N1753" s="6" t="n">
        <v>48</v>
      </c>
      <c r="O1753" s="6" t="s">
        <v>58</v>
      </c>
      <c r="P1753" s="6" t="n">
        <v>8</v>
      </c>
      <c r="Q1753" s="6" t="n">
        <v>26.02</v>
      </c>
      <c r="R1753" s="20" t="n">
        <f aca="false">(L1753-K1753)/K1753</f>
        <v>0.0578360572659318</v>
      </c>
    </row>
    <row r="1754" customFormat="false" ht="15" hidden="false" customHeight="false" outlineLevel="0" collapsed="false">
      <c r="A1754" s="6" t="s">
        <v>1916</v>
      </c>
      <c r="B1754" s="6" t="n">
        <v>35</v>
      </c>
      <c r="C1754" s="6" t="s">
        <v>139</v>
      </c>
      <c r="D1754" s="6" t="s">
        <v>140</v>
      </c>
      <c r="E1754" s="6" t="s">
        <v>91</v>
      </c>
      <c r="F1754" s="6" t="s">
        <v>141</v>
      </c>
      <c r="G1754" s="6" t="n">
        <v>13</v>
      </c>
      <c r="H1754" s="6" t="s">
        <v>80</v>
      </c>
      <c r="I1754" s="6" t="s">
        <v>80</v>
      </c>
      <c r="J1754" s="6" t="s">
        <v>60</v>
      </c>
      <c r="K1754" s="6" t="n">
        <v>34369</v>
      </c>
      <c r="L1754" s="6" t="n">
        <v>32975</v>
      </c>
      <c r="M1754" s="6" t="s">
        <v>142</v>
      </c>
      <c r="N1754" s="6" t="n">
        <v>50</v>
      </c>
      <c r="O1754" s="6" t="s">
        <v>60</v>
      </c>
      <c r="P1754" s="6" t="n">
        <v>9</v>
      </c>
      <c r="Q1754" s="6" t="n">
        <v>-13.53</v>
      </c>
      <c r="R1754" s="20" t="n">
        <f aca="false">(L1754-K1754)/K1754</f>
        <v>-0.0405598068026419</v>
      </c>
    </row>
    <row r="1755" customFormat="false" ht="15" hidden="false" customHeight="false" outlineLevel="0" collapsed="false">
      <c r="A1755" s="6" t="s">
        <v>1917</v>
      </c>
      <c r="B1755" s="6" t="n">
        <v>53</v>
      </c>
      <c r="C1755" s="6" t="s">
        <v>134</v>
      </c>
      <c r="D1755" s="6" t="s">
        <v>144</v>
      </c>
      <c r="E1755" s="6" t="s">
        <v>88</v>
      </c>
      <c r="F1755" s="6" t="s">
        <v>157</v>
      </c>
      <c r="G1755" s="6" t="n">
        <v>28</v>
      </c>
      <c r="H1755" s="6" t="s">
        <v>82</v>
      </c>
      <c r="I1755" s="6" t="s">
        <v>80</v>
      </c>
      <c r="J1755" s="6" t="s">
        <v>58</v>
      </c>
      <c r="K1755" s="6" t="n">
        <v>37450</v>
      </c>
      <c r="L1755" s="6" t="n">
        <v>48563</v>
      </c>
      <c r="M1755" s="6" t="s">
        <v>142</v>
      </c>
      <c r="N1755" s="6" t="n">
        <v>44</v>
      </c>
      <c r="O1755" s="6" t="s">
        <v>58</v>
      </c>
      <c r="P1755" s="6" t="n">
        <v>9</v>
      </c>
      <c r="Q1755" s="6" t="n">
        <v>2.97</v>
      </c>
      <c r="R1755" s="20" t="n">
        <f aca="false">(L1755-K1755)/K1755</f>
        <v>0.296742323097463</v>
      </c>
    </row>
    <row r="1756" customFormat="false" ht="15" hidden="false" customHeight="false" outlineLevel="0" collapsed="false">
      <c r="A1756" s="6" t="s">
        <v>1918</v>
      </c>
      <c r="B1756" s="6" t="n">
        <v>38</v>
      </c>
      <c r="C1756" s="6" t="s">
        <v>159</v>
      </c>
      <c r="D1756" s="6" t="s">
        <v>140</v>
      </c>
      <c r="E1756" s="6" t="s">
        <v>92</v>
      </c>
      <c r="F1756" s="6" t="s">
        <v>192</v>
      </c>
      <c r="G1756" s="6" t="n">
        <v>16</v>
      </c>
      <c r="H1756" s="6" t="s">
        <v>82</v>
      </c>
      <c r="I1756" s="6" t="s">
        <v>82</v>
      </c>
      <c r="J1756" s="6" t="s">
        <v>60</v>
      </c>
      <c r="K1756" s="6" t="n">
        <v>85779</v>
      </c>
      <c r="L1756" s="6" t="n">
        <v>77276</v>
      </c>
      <c r="M1756" s="6" t="s">
        <v>146</v>
      </c>
      <c r="N1756" s="6" t="n">
        <v>36</v>
      </c>
      <c r="O1756" s="6" t="s">
        <v>58</v>
      </c>
      <c r="P1756" s="6" t="n">
        <v>7</v>
      </c>
      <c r="Q1756" s="6" t="n">
        <v>38.33</v>
      </c>
      <c r="R1756" s="20" t="n">
        <f aca="false">(L1756-K1756)/K1756</f>
        <v>-0.0991268259131023</v>
      </c>
    </row>
    <row r="1757" customFormat="false" ht="15" hidden="false" customHeight="false" outlineLevel="0" collapsed="false">
      <c r="A1757" s="6" t="s">
        <v>1919</v>
      </c>
      <c r="B1757" s="6" t="n">
        <v>44</v>
      </c>
      <c r="C1757" s="6" t="s">
        <v>139</v>
      </c>
      <c r="D1757" s="6" t="s">
        <v>148</v>
      </c>
      <c r="E1757" s="6" t="s">
        <v>92</v>
      </c>
      <c r="F1757" s="6" t="s">
        <v>222</v>
      </c>
      <c r="G1757" s="6" t="n">
        <v>22</v>
      </c>
      <c r="H1757" s="6" t="s">
        <v>82</v>
      </c>
      <c r="I1757" s="6" t="s">
        <v>82</v>
      </c>
      <c r="J1757" s="6" t="s">
        <v>60</v>
      </c>
      <c r="K1757" s="6" t="n">
        <v>80877</v>
      </c>
      <c r="L1757" s="6" t="n">
        <v>98817</v>
      </c>
      <c r="M1757" s="6" t="s">
        <v>137</v>
      </c>
      <c r="N1757" s="6" t="n">
        <v>54</v>
      </c>
      <c r="O1757" s="6" t="s">
        <v>58</v>
      </c>
      <c r="P1757" s="6" t="n">
        <v>9</v>
      </c>
      <c r="Q1757" s="6" t="n">
        <v>-6.64</v>
      </c>
      <c r="R1757" s="20" t="n">
        <f aca="false">(L1757-K1757)/K1757</f>
        <v>0.221818316703142</v>
      </c>
    </row>
    <row r="1758" customFormat="false" ht="15" hidden="false" customHeight="false" outlineLevel="0" collapsed="false">
      <c r="A1758" s="6" t="s">
        <v>1920</v>
      </c>
      <c r="B1758" s="6" t="n">
        <v>56</v>
      </c>
      <c r="C1758" s="6" t="s">
        <v>139</v>
      </c>
      <c r="D1758" s="6" t="s">
        <v>148</v>
      </c>
      <c r="E1758" s="6" t="s">
        <v>90</v>
      </c>
      <c r="F1758" s="6" t="s">
        <v>145</v>
      </c>
      <c r="G1758" s="6" t="n">
        <v>32</v>
      </c>
      <c r="H1758" s="6" t="s">
        <v>81</v>
      </c>
      <c r="I1758" s="6" t="s">
        <v>80</v>
      </c>
      <c r="J1758" s="6" t="s">
        <v>58</v>
      </c>
      <c r="K1758" s="6" t="n">
        <v>78929</v>
      </c>
      <c r="L1758" s="6" t="n">
        <v>75005</v>
      </c>
      <c r="M1758" s="6" t="s">
        <v>142</v>
      </c>
      <c r="N1758" s="6" t="n">
        <v>53</v>
      </c>
      <c r="O1758" s="6" t="s">
        <v>58</v>
      </c>
      <c r="P1758" s="6" t="n">
        <v>8</v>
      </c>
      <c r="Q1758" s="6" t="n">
        <v>-4.23</v>
      </c>
      <c r="R1758" s="20" t="n">
        <f aca="false">(L1758-K1758)/K1758</f>
        <v>-0.0497155671552915</v>
      </c>
    </row>
    <row r="1759" customFormat="false" ht="15" hidden="false" customHeight="false" outlineLevel="0" collapsed="false">
      <c r="A1759" s="6" t="s">
        <v>1921</v>
      </c>
      <c r="B1759" s="6" t="n">
        <v>44</v>
      </c>
      <c r="C1759" s="6" t="s">
        <v>139</v>
      </c>
      <c r="D1759" s="6" t="s">
        <v>144</v>
      </c>
      <c r="E1759" s="6" t="s">
        <v>88</v>
      </c>
      <c r="F1759" s="6" t="s">
        <v>179</v>
      </c>
      <c r="G1759" s="6" t="n">
        <v>20</v>
      </c>
      <c r="H1759" s="6" t="s">
        <v>80</v>
      </c>
      <c r="I1759" s="6" t="s">
        <v>80</v>
      </c>
      <c r="J1759" s="6" t="s">
        <v>58</v>
      </c>
      <c r="K1759" s="6" t="n">
        <v>113576</v>
      </c>
      <c r="L1759" s="6" t="n">
        <v>109502</v>
      </c>
      <c r="M1759" s="6" t="s">
        <v>142</v>
      </c>
      <c r="N1759" s="6" t="n">
        <v>52</v>
      </c>
      <c r="O1759" s="6" t="s">
        <v>58</v>
      </c>
      <c r="P1759" s="6" t="n">
        <v>8</v>
      </c>
      <c r="Q1759" s="6" t="n">
        <v>-9.7</v>
      </c>
      <c r="R1759" s="20" t="n">
        <f aca="false">(L1759-K1759)/K1759</f>
        <v>-0.0358702542790731</v>
      </c>
    </row>
    <row r="1760" customFormat="false" ht="15" hidden="false" customHeight="false" outlineLevel="0" collapsed="false">
      <c r="A1760" s="6" t="s">
        <v>1922</v>
      </c>
      <c r="B1760" s="6" t="n">
        <v>53</v>
      </c>
      <c r="C1760" s="6" t="s">
        <v>139</v>
      </c>
      <c r="D1760" s="6" t="s">
        <v>140</v>
      </c>
      <c r="E1760" s="6" t="s">
        <v>90</v>
      </c>
      <c r="F1760" s="6" t="s">
        <v>236</v>
      </c>
      <c r="G1760" s="6" t="n">
        <v>27</v>
      </c>
      <c r="H1760" s="6" t="s">
        <v>82</v>
      </c>
      <c r="I1760" s="6" t="s">
        <v>80</v>
      </c>
      <c r="J1760" s="6" t="s">
        <v>60</v>
      </c>
      <c r="K1760" s="6" t="n">
        <v>72407</v>
      </c>
      <c r="L1760" s="6" t="n">
        <v>58382</v>
      </c>
      <c r="M1760" s="6" t="s">
        <v>142</v>
      </c>
      <c r="N1760" s="6" t="n">
        <v>50</v>
      </c>
      <c r="O1760" s="6" t="s">
        <v>60</v>
      </c>
      <c r="P1760" s="6" t="n">
        <v>9</v>
      </c>
      <c r="Q1760" s="6" t="n">
        <v>39.42</v>
      </c>
      <c r="R1760" s="20" t="n">
        <f aca="false">(L1760-K1760)/K1760</f>
        <v>-0.193696742027705</v>
      </c>
    </row>
    <row r="1761" customFormat="false" ht="15" hidden="false" customHeight="false" outlineLevel="0" collapsed="false">
      <c r="A1761" s="6" t="s">
        <v>1923</v>
      </c>
      <c r="B1761" s="6" t="n">
        <v>43</v>
      </c>
      <c r="C1761" s="6" t="s">
        <v>134</v>
      </c>
      <c r="D1761" s="6" t="s">
        <v>144</v>
      </c>
      <c r="E1761" s="6" t="s">
        <v>88</v>
      </c>
      <c r="F1761" s="6" t="s">
        <v>179</v>
      </c>
      <c r="G1761" s="6" t="n">
        <v>19</v>
      </c>
      <c r="H1761" s="6" t="s">
        <v>81</v>
      </c>
      <c r="I1761" s="6" t="s">
        <v>81</v>
      </c>
      <c r="J1761" s="6" t="s">
        <v>58</v>
      </c>
      <c r="K1761" s="6" t="n">
        <v>33454</v>
      </c>
      <c r="L1761" s="6" t="n">
        <v>38752</v>
      </c>
      <c r="M1761" s="6" t="s">
        <v>146</v>
      </c>
      <c r="N1761" s="6" t="n">
        <v>36</v>
      </c>
      <c r="O1761" s="6" t="s">
        <v>60</v>
      </c>
      <c r="P1761" s="6" t="n">
        <v>8</v>
      </c>
      <c r="Q1761" s="6" t="n">
        <v>-11.27</v>
      </c>
      <c r="R1761" s="20" t="n">
        <f aca="false">(L1761-K1761)/K1761</f>
        <v>0.158366712500747</v>
      </c>
    </row>
    <row r="1762" customFormat="false" ht="15" hidden="false" customHeight="false" outlineLevel="0" collapsed="false">
      <c r="A1762" s="6" t="s">
        <v>1924</v>
      </c>
      <c r="B1762" s="6" t="n">
        <v>59</v>
      </c>
      <c r="C1762" s="6" t="s">
        <v>139</v>
      </c>
      <c r="D1762" s="6" t="s">
        <v>135</v>
      </c>
      <c r="E1762" s="6" t="s">
        <v>90</v>
      </c>
      <c r="F1762" s="6" t="s">
        <v>202</v>
      </c>
      <c r="G1762" s="6" t="n">
        <v>37</v>
      </c>
      <c r="H1762" s="6" t="s">
        <v>81</v>
      </c>
      <c r="I1762" s="6" t="s">
        <v>82</v>
      </c>
      <c r="J1762" s="6" t="s">
        <v>60</v>
      </c>
      <c r="K1762" s="6" t="n">
        <v>69963</v>
      </c>
      <c r="L1762" s="6" t="n">
        <v>72092</v>
      </c>
      <c r="M1762" s="6" t="s">
        <v>142</v>
      </c>
      <c r="N1762" s="6" t="n">
        <v>43</v>
      </c>
      <c r="O1762" s="6" t="s">
        <v>58</v>
      </c>
      <c r="P1762" s="6" t="n">
        <v>9</v>
      </c>
      <c r="Q1762" s="6" t="n">
        <v>-7.95</v>
      </c>
      <c r="R1762" s="20" t="n">
        <f aca="false">(L1762-K1762)/K1762</f>
        <v>0.0304303703386076</v>
      </c>
    </row>
    <row r="1763" customFormat="false" ht="15" hidden="false" customHeight="false" outlineLevel="0" collapsed="false">
      <c r="A1763" s="6" t="s">
        <v>1925</v>
      </c>
      <c r="B1763" s="6" t="n">
        <v>57</v>
      </c>
      <c r="C1763" s="6" t="s">
        <v>159</v>
      </c>
      <c r="D1763" s="6" t="s">
        <v>144</v>
      </c>
      <c r="E1763" s="6" t="s">
        <v>87</v>
      </c>
      <c r="F1763" s="6" t="s">
        <v>149</v>
      </c>
      <c r="G1763" s="6" t="n">
        <v>35</v>
      </c>
      <c r="H1763" s="6" t="s">
        <v>82</v>
      </c>
      <c r="I1763" s="6" t="s">
        <v>82</v>
      </c>
      <c r="J1763" s="6" t="s">
        <v>60</v>
      </c>
      <c r="K1763" s="6" t="n">
        <v>52787</v>
      </c>
      <c r="L1763" s="6" t="n">
        <v>62031</v>
      </c>
      <c r="M1763" s="6" t="s">
        <v>137</v>
      </c>
      <c r="N1763" s="6" t="n">
        <v>48</v>
      </c>
      <c r="O1763" s="6" t="s">
        <v>58</v>
      </c>
      <c r="P1763" s="6" t="n">
        <v>9</v>
      </c>
      <c r="Q1763" s="6" t="n">
        <v>29.64</v>
      </c>
      <c r="R1763" s="20" t="n">
        <f aca="false">(L1763-K1763)/K1763</f>
        <v>0.175118873965181</v>
      </c>
    </row>
    <row r="1764" customFormat="false" ht="15" hidden="false" customHeight="false" outlineLevel="0" collapsed="false">
      <c r="A1764" s="6" t="s">
        <v>1926</v>
      </c>
      <c r="B1764" s="6" t="n">
        <v>45</v>
      </c>
      <c r="C1764" s="6" t="s">
        <v>139</v>
      </c>
      <c r="D1764" s="6" t="s">
        <v>148</v>
      </c>
      <c r="E1764" s="6" t="s">
        <v>91</v>
      </c>
      <c r="F1764" s="6" t="s">
        <v>208</v>
      </c>
      <c r="G1764" s="6" t="n">
        <v>22</v>
      </c>
      <c r="H1764" s="6" t="s">
        <v>80</v>
      </c>
      <c r="I1764" s="6" t="s">
        <v>82</v>
      </c>
      <c r="J1764" s="6" t="s">
        <v>60</v>
      </c>
      <c r="K1764" s="6" t="n">
        <v>93308</v>
      </c>
      <c r="L1764" s="6" t="n">
        <v>95211</v>
      </c>
      <c r="M1764" s="6" t="s">
        <v>142</v>
      </c>
      <c r="N1764" s="6" t="n">
        <v>46</v>
      </c>
      <c r="O1764" s="6" t="s">
        <v>58</v>
      </c>
      <c r="P1764" s="6" t="n">
        <v>7</v>
      </c>
      <c r="Q1764" s="6" t="n">
        <v>35.48</v>
      </c>
      <c r="R1764" s="20" t="n">
        <f aca="false">(L1764-K1764)/K1764</f>
        <v>0.0203948214515368</v>
      </c>
    </row>
    <row r="1765" customFormat="false" ht="15" hidden="false" customHeight="false" outlineLevel="0" collapsed="false">
      <c r="A1765" s="6" t="s">
        <v>1927</v>
      </c>
      <c r="B1765" s="6" t="n">
        <v>50</v>
      </c>
      <c r="C1765" s="6" t="s">
        <v>134</v>
      </c>
      <c r="D1765" s="6" t="s">
        <v>140</v>
      </c>
      <c r="E1765" s="6" t="s">
        <v>87</v>
      </c>
      <c r="F1765" s="6" t="s">
        <v>155</v>
      </c>
      <c r="G1765" s="6" t="n">
        <v>25</v>
      </c>
      <c r="H1765" s="6" t="s">
        <v>81</v>
      </c>
      <c r="I1765" s="6" t="s">
        <v>81</v>
      </c>
      <c r="J1765" s="6" t="s">
        <v>58</v>
      </c>
      <c r="K1765" s="6" t="n">
        <v>42877</v>
      </c>
      <c r="L1765" s="6" t="n">
        <v>50090</v>
      </c>
      <c r="M1765" s="6" t="s">
        <v>146</v>
      </c>
      <c r="N1765" s="6" t="n">
        <v>54</v>
      </c>
      <c r="O1765" s="6" t="s">
        <v>58</v>
      </c>
      <c r="P1765" s="6" t="n">
        <v>6</v>
      </c>
      <c r="Q1765" s="6" t="n">
        <v>33.29</v>
      </c>
      <c r="R1765" s="20" t="n">
        <f aca="false">(L1765-K1765)/K1765</f>
        <v>0.168225388903142</v>
      </c>
    </row>
    <row r="1766" customFormat="false" ht="15" hidden="false" customHeight="false" outlineLevel="0" collapsed="false">
      <c r="A1766" s="6" t="s">
        <v>1928</v>
      </c>
      <c r="B1766" s="6" t="n">
        <v>42</v>
      </c>
      <c r="C1766" s="6" t="s">
        <v>159</v>
      </c>
      <c r="D1766" s="6" t="s">
        <v>135</v>
      </c>
      <c r="E1766" s="6" t="s">
        <v>88</v>
      </c>
      <c r="F1766" s="6" t="s">
        <v>179</v>
      </c>
      <c r="G1766" s="6" t="n">
        <v>19</v>
      </c>
      <c r="H1766" s="6" t="s">
        <v>81</v>
      </c>
      <c r="I1766" s="6" t="s">
        <v>80</v>
      </c>
      <c r="J1766" s="6" t="s">
        <v>58</v>
      </c>
      <c r="K1766" s="6" t="n">
        <v>40534</v>
      </c>
      <c r="L1766" s="6" t="n">
        <v>39401</v>
      </c>
      <c r="M1766" s="6" t="s">
        <v>142</v>
      </c>
      <c r="N1766" s="6" t="n">
        <v>54</v>
      </c>
      <c r="O1766" s="6" t="s">
        <v>58</v>
      </c>
      <c r="P1766" s="6" t="n">
        <v>6</v>
      </c>
      <c r="Q1766" s="6" t="n">
        <v>-3.19</v>
      </c>
      <c r="R1766" s="20" t="n">
        <f aca="false">(L1766-K1766)/K1766</f>
        <v>-0.0279518428973208</v>
      </c>
    </row>
    <row r="1767" customFormat="false" ht="15" hidden="false" customHeight="false" outlineLevel="0" collapsed="false">
      <c r="A1767" s="6" t="s">
        <v>1929</v>
      </c>
      <c r="B1767" s="6" t="n">
        <v>42</v>
      </c>
      <c r="C1767" s="6" t="s">
        <v>139</v>
      </c>
      <c r="D1767" s="6" t="s">
        <v>140</v>
      </c>
      <c r="E1767" s="6" t="s">
        <v>88</v>
      </c>
      <c r="F1767" s="6" t="s">
        <v>157</v>
      </c>
      <c r="G1767" s="6" t="n">
        <v>17</v>
      </c>
      <c r="H1767" s="6" t="s">
        <v>81</v>
      </c>
      <c r="I1767" s="6" t="s">
        <v>80</v>
      </c>
      <c r="J1767" s="6" t="s">
        <v>58</v>
      </c>
      <c r="K1767" s="6" t="n">
        <v>69823</v>
      </c>
      <c r="L1767" s="6" t="n">
        <v>71935</v>
      </c>
      <c r="M1767" s="6" t="s">
        <v>142</v>
      </c>
      <c r="N1767" s="6" t="n">
        <v>37</v>
      </c>
      <c r="O1767" s="6" t="s">
        <v>58</v>
      </c>
      <c r="P1767" s="6" t="n">
        <v>6</v>
      </c>
      <c r="Q1767" s="6" t="n">
        <v>-12.13</v>
      </c>
      <c r="R1767" s="20" t="n">
        <f aca="false">(L1767-K1767)/K1767</f>
        <v>0.0302479125789496</v>
      </c>
    </row>
    <row r="1768" customFormat="false" ht="15" hidden="false" customHeight="false" outlineLevel="0" collapsed="false">
      <c r="A1768" s="6" t="s">
        <v>1930</v>
      </c>
      <c r="B1768" s="6" t="n">
        <v>50</v>
      </c>
      <c r="C1768" s="6" t="s">
        <v>139</v>
      </c>
      <c r="D1768" s="6" t="s">
        <v>144</v>
      </c>
      <c r="E1768" s="6" t="s">
        <v>93</v>
      </c>
      <c r="F1768" s="6" t="s">
        <v>197</v>
      </c>
      <c r="G1768" s="6" t="n">
        <v>27</v>
      </c>
      <c r="H1768" s="6" t="s">
        <v>80</v>
      </c>
      <c r="I1768" s="6" t="s">
        <v>81</v>
      </c>
      <c r="J1768" s="6" t="s">
        <v>58</v>
      </c>
      <c r="K1768" s="6" t="n">
        <v>45954</v>
      </c>
      <c r="L1768" s="6" t="n">
        <v>46356</v>
      </c>
      <c r="M1768" s="6" t="s">
        <v>146</v>
      </c>
      <c r="N1768" s="6" t="n">
        <v>51</v>
      </c>
      <c r="O1768" s="6" t="s">
        <v>60</v>
      </c>
      <c r="P1768" s="6" t="n">
        <v>6</v>
      </c>
      <c r="Q1768" s="6" t="n">
        <v>34.93</v>
      </c>
      <c r="R1768" s="20" t="n">
        <f aca="false">(L1768-K1768)/K1768</f>
        <v>0.0087478783130957</v>
      </c>
    </row>
    <row r="1769" customFormat="false" ht="15" hidden="false" customHeight="false" outlineLevel="0" collapsed="false">
      <c r="A1769" s="6" t="s">
        <v>1931</v>
      </c>
      <c r="B1769" s="6" t="n">
        <v>36</v>
      </c>
      <c r="C1769" s="6" t="s">
        <v>159</v>
      </c>
      <c r="D1769" s="6" t="s">
        <v>148</v>
      </c>
      <c r="E1769" s="6" t="s">
        <v>88</v>
      </c>
      <c r="F1769" s="6" t="s">
        <v>179</v>
      </c>
      <c r="G1769" s="6" t="n">
        <v>14</v>
      </c>
      <c r="H1769" s="6" t="s">
        <v>81</v>
      </c>
      <c r="I1769" s="6" t="s">
        <v>80</v>
      </c>
      <c r="J1769" s="6" t="s">
        <v>58</v>
      </c>
      <c r="K1769" s="6" t="n">
        <v>84081</v>
      </c>
      <c r="L1769" s="6" t="n">
        <v>88238</v>
      </c>
      <c r="M1769" s="6" t="s">
        <v>142</v>
      </c>
      <c r="N1769" s="6" t="n">
        <v>36</v>
      </c>
      <c r="O1769" s="6" t="s">
        <v>60</v>
      </c>
      <c r="P1769" s="6" t="n">
        <v>5</v>
      </c>
      <c r="Q1769" s="6" t="n">
        <v>7.46</v>
      </c>
      <c r="R1769" s="20" t="n">
        <f aca="false">(L1769-K1769)/K1769</f>
        <v>0.0494404205468536</v>
      </c>
    </row>
    <row r="1770" customFormat="false" ht="15" hidden="false" customHeight="false" outlineLevel="0" collapsed="false">
      <c r="A1770" s="6" t="s">
        <v>1932</v>
      </c>
      <c r="B1770" s="6" t="n">
        <v>30</v>
      </c>
      <c r="C1770" s="6" t="s">
        <v>134</v>
      </c>
      <c r="D1770" s="6" t="s">
        <v>135</v>
      </c>
      <c r="E1770" s="6" t="s">
        <v>93</v>
      </c>
      <c r="F1770" s="6" t="s">
        <v>181</v>
      </c>
      <c r="G1770" s="6" t="n">
        <v>8</v>
      </c>
      <c r="H1770" s="6" t="s">
        <v>82</v>
      </c>
      <c r="I1770" s="6" t="s">
        <v>82</v>
      </c>
      <c r="J1770" s="6" t="s">
        <v>58</v>
      </c>
      <c r="K1770" s="6" t="n">
        <v>47868</v>
      </c>
      <c r="L1770" s="6" t="n">
        <v>45256</v>
      </c>
      <c r="M1770" s="6" t="s">
        <v>146</v>
      </c>
      <c r="N1770" s="6" t="n">
        <v>49</v>
      </c>
      <c r="O1770" s="6" t="s">
        <v>58</v>
      </c>
      <c r="P1770" s="6" t="n">
        <v>4</v>
      </c>
      <c r="Q1770" s="6" t="n">
        <v>-8.94</v>
      </c>
      <c r="R1770" s="20" t="n">
        <f aca="false">(L1770-K1770)/K1770</f>
        <v>-0.054566725160859</v>
      </c>
    </row>
    <row r="1771" customFormat="false" ht="15" hidden="false" customHeight="false" outlineLevel="0" collapsed="false">
      <c r="A1771" s="6" t="s">
        <v>1933</v>
      </c>
      <c r="B1771" s="6" t="n">
        <v>28</v>
      </c>
      <c r="C1771" s="6" t="s">
        <v>139</v>
      </c>
      <c r="D1771" s="6" t="s">
        <v>144</v>
      </c>
      <c r="E1771" s="6" t="s">
        <v>93</v>
      </c>
      <c r="F1771" s="6" t="s">
        <v>181</v>
      </c>
      <c r="G1771" s="6" t="n">
        <v>5</v>
      </c>
      <c r="H1771" s="6" t="s">
        <v>80</v>
      </c>
      <c r="I1771" s="6" t="s">
        <v>80</v>
      </c>
      <c r="J1771" s="6" t="s">
        <v>60</v>
      </c>
      <c r="K1771" s="6" t="n">
        <v>113749</v>
      </c>
      <c r="L1771" s="6" t="n">
        <v>120476</v>
      </c>
      <c r="M1771" s="6" t="s">
        <v>142</v>
      </c>
      <c r="N1771" s="6" t="n">
        <v>41</v>
      </c>
      <c r="O1771" s="6" t="s">
        <v>60</v>
      </c>
      <c r="P1771" s="6" t="n">
        <v>4</v>
      </c>
      <c r="Q1771" s="6" t="n">
        <v>20.76</v>
      </c>
      <c r="R1771" s="20" t="n">
        <f aca="false">(L1771-K1771)/K1771</f>
        <v>0.0591389814415951</v>
      </c>
    </row>
    <row r="1772" customFormat="false" ht="15" hidden="false" customHeight="false" outlineLevel="0" collapsed="false">
      <c r="A1772" s="6" t="s">
        <v>1934</v>
      </c>
      <c r="B1772" s="6" t="n">
        <v>38</v>
      </c>
      <c r="C1772" s="6" t="s">
        <v>139</v>
      </c>
      <c r="D1772" s="6" t="s">
        <v>135</v>
      </c>
      <c r="E1772" s="6" t="s">
        <v>88</v>
      </c>
      <c r="F1772" s="6" t="s">
        <v>179</v>
      </c>
      <c r="G1772" s="6" t="n">
        <v>13</v>
      </c>
      <c r="H1772" s="6" t="s">
        <v>82</v>
      </c>
      <c r="I1772" s="6" t="s">
        <v>81</v>
      </c>
      <c r="J1772" s="6" t="s">
        <v>58</v>
      </c>
      <c r="K1772" s="6" t="n">
        <v>37970</v>
      </c>
      <c r="L1772" s="6" t="n">
        <v>49720</v>
      </c>
      <c r="M1772" s="6" t="s">
        <v>146</v>
      </c>
      <c r="N1772" s="6" t="n">
        <v>43</v>
      </c>
      <c r="O1772" s="6" t="s">
        <v>60</v>
      </c>
      <c r="P1772" s="6" t="n">
        <v>7</v>
      </c>
      <c r="Q1772" s="6" t="n">
        <v>32.48</v>
      </c>
      <c r="R1772" s="20" t="n">
        <f aca="false">(L1772-K1772)/K1772</f>
        <v>0.309454832762707</v>
      </c>
    </row>
    <row r="1773" customFormat="false" ht="15" hidden="false" customHeight="false" outlineLevel="0" collapsed="false">
      <c r="A1773" s="6" t="s">
        <v>1935</v>
      </c>
      <c r="B1773" s="6" t="n">
        <v>39</v>
      </c>
      <c r="C1773" s="6" t="s">
        <v>159</v>
      </c>
      <c r="D1773" s="6" t="s">
        <v>135</v>
      </c>
      <c r="E1773" s="6" t="s">
        <v>87</v>
      </c>
      <c r="F1773" s="6" t="s">
        <v>160</v>
      </c>
      <c r="G1773" s="6" t="n">
        <v>13</v>
      </c>
      <c r="H1773" s="6" t="s">
        <v>81</v>
      </c>
      <c r="I1773" s="6" t="s">
        <v>82</v>
      </c>
      <c r="J1773" s="6" t="s">
        <v>60</v>
      </c>
      <c r="K1773" s="6" t="n">
        <v>104095</v>
      </c>
      <c r="L1773" s="6" t="n">
        <v>109924</v>
      </c>
      <c r="M1773" s="6" t="s">
        <v>142</v>
      </c>
      <c r="N1773" s="6" t="n">
        <v>54</v>
      </c>
      <c r="O1773" s="6" t="s">
        <v>60</v>
      </c>
      <c r="P1773" s="6" t="n">
        <v>7</v>
      </c>
      <c r="Q1773" s="6" t="n">
        <v>20.8</v>
      </c>
      <c r="R1773" s="20" t="n">
        <f aca="false">(L1773-K1773)/K1773</f>
        <v>0.0559969258850089</v>
      </c>
    </row>
    <row r="1774" customFormat="false" ht="15" hidden="false" customHeight="false" outlineLevel="0" collapsed="false">
      <c r="A1774" s="6" t="s">
        <v>1936</v>
      </c>
      <c r="B1774" s="6" t="n">
        <v>42</v>
      </c>
      <c r="C1774" s="6" t="s">
        <v>139</v>
      </c>
      <c r="D1774" s="6" t="s">
        <v>135</v>
      </c>
      <c r="E1774" s="6" t="s">
        <v>91</v>
      </c>
      <c r="F1774" s="6" t="s">
        <v>206</v>
      </c>
      <c r="G1774" s="6" t="n">
        <v>18</v>
      </c>
      <c r="H1774" s="6" t="s">
        <v>82</v>
      </c>
      <c r="I1774" s="6" t="s">
        <v>81</v>
      </c>
      <c r="J1774" s="6" t="s">
        <v>60</v>
      </c>
      <c r="K1774" s="6" t="n">
        <v>94274</v>
      </c>
      <c r="L1774" s="6" t="n">
        <v>89268</v>
      </c>
      <c r="M1774" s="6" t="s">
        <v>146</v>
      </c>
      <c r="N1774" s="6" t="n">
        <v>45</v>
      </c>
      <c r="O1774" s="6" t="s">
        <v>58</v>
      </c>
      <c r="P1774" s="6" t="n">
        <v>5</v>
      </c>
      <c r="Q1774" s="6" t="n">
        <v>22.99</v>
      </c>
      <c r="R1774" s="20" t="n">
        <f aca="false">(L1774-K1774)/K1774</f>
        <v>-0.0531005367333517</v>
      </c>
    </row>
    <row r="1775" customFormat="false" ht="15" hidden="false" customHeight="false" outlineLevel="0" collapsed="false">
      <c r="A1775" s="6" t="s">
        <v>1937</v>
      </c>
      <c r="B1775" s="6" t="n">
        <v>26</v>
      </c>
      <c r="C1775" s="6" t="s">
        <v>159</v>
      </c>
      <c r="D1775" s="6" t="s">
        <v>148</v>
      </c>
      <c r="E1775" s="6" t="s">
        <v>92</v>
      </c>
      <c r="F1775" s="6" t="s">
        <v>222</v>
      </c>
      <c r="G1775" s="6" t="n">
        <v>1</v>
      </c>
      <c r="H1775" s="6" t="s">
        <v>82</v>
      </c>
      <c r="I1775" s="6" t="s">
        <v>81</v>
      </c>
      <c r="J1775" s="6" t="s">
        <v>58</v>
      </c>
      <c r="K1775" s="6" t="n">
        <v>86488</v>
      </c>
      <c r="L1775" s="6" t="n">
        <v>106703</v>
      </c>
      <c r="M1775" s="6" t="s">
        <v>146</v>
      </c>
      <c r="N1775" s="6" t="n">
        <v>49</v>
      </c>
      <c r="O1775" s="6" t="s">
        <v>60</v>
      </c>
      <c r="P1775" s="6" t="n">
        <v>7</v>
      </c>
      <c r="Q1775" s="6" t="n">
        <v>18.67</v>
      </c>
      <c r="R1775" s="20" t="n">
        <f aca="false">(L1775-K1775)/K1775</f>
        <v>0.233731847192674</v>
      </c>
    </row>
    <row r="1776" customFormat="false" ht="15" hidden="false" customHeight="false" outlineLevel="0" collapsed="false">
      <c r="A1776" s="6" t="s">
        <v>1938</v>
      </c>
      <c r="B1776" s="6" t="n">
        <v>42</v>
      </c>
      <c r="C1776" s="6" t="s">
        <v>159</v>
      </c>
      <c r="D1776" s="6" t="s">
        <v>140</v>
      </c>
      <c r="E1776" s="6" t="s">
        <v>91</v>
      </c>
      <c r="F1776" s="6" t="s">
        <v>141</v>
      </c>
      <c r="G1776" s="6" t="n">
        <v>17</v>
      </c>
      <c r="H1776" s="6" t="s">
        <v>81</v>
      </c>
      <c r="I1776" s="6" t="s">
        <v>80</v>
      </c>
      <c r="J1776" s="6" t="s">
        <v>60</v>
      </c>
      <c r="K1776" s="6" t="n">
        <v>31942</v>
      </c>
      <c r="L1776" s="6" t="n">
        <v>36904</v>
      </c>
      <c r="M1776" s="6" t="s">
        <v>142</v>
      </c>
      <c r="N1776" s="6" t="n">
        <v>41</v>
      </c>
      <c r="O1776" s="6" t="s">
        <v>58</v>
      </c>
      <c r="P1776" s="6" t="n">
        <v>4</v>
      </c>
      <c r="Q1776" s="6" t="n">
        <v>20.86</v>
      </c>
      <c r="R1776" s="20" t="n">
        <f aca="false">(L1776-K1776)/K1776</f>
        <v>0.155344061110763</v>
      </c>
    </row>
    <row r="1777" customFormat="false" ht="15" hidden="false" customHeight="false" outlineLevel="0" collapsed="false">
      <c r="A1777" s="6" t="s">
        <v>1939</v>
      </c>
      <c r="B1777" s="6" t="n">
        <v>51</v>
      </c>
      <c r="C1777" s="6" t="s">
        <v>134</v>
      </c>
      <c r="D1777" s="6" t="s">
        <v>148</v>
      </c>
      <c r="E1777" s="6" t="s">
        <v>91</v>
      </c>
      <c r="F1777" s="6" t="s">
        <v>141</v>
      </c>
      <c r="G1777" s="6" t="n">
        <v>25</v>
      </c>
      <c r="H1777" s="6" t="s">
        <v>80</v>
      </c>
      <c r="I1777" s="6" t="s">
        <v>80</v>
      </c>
      <c r="J1777" s="6" t="s">
        <v>60</v>
      </c>
      <c r="K1777" s="6" t="n">
        <v>111981</v>
      </c>
      <c r="L1777" s="6" t="n">
        <v>119551</v>
      </c>
      <c r="M1777" s="6" t="s">
        <v>142</v>
      </c>
      <c r="N1777" s="6" t="n">
        <v>39</v>
      </c>
      <c r="O1777" s="6" t="s">
        <v>60</v>
      </c>
      <c r="P1777" s="6" t="n">
        <v>6</v>
      </c>
      <c r="Q1777" s="6" t="n">
        <v>17.35</v>
      </c>
      <c r="R1777" s="20" t="n">
        <f aca="false">(L1777-K1777)/K1777</f>
        <v>0.0676007536992883</v>
      </c>
    </row>
    <row r="1778" customFormat="false" ht="15" hidden="false" customHeight="false" outlineLevel="0" collapsed="false">
      <c r="A1778" s="6" t="s">
        <v>1940</v>
      </c>
      <c r="B1778" s="6" t="n">
        <v>54</v>
      </c>
      <c r="C1778" s="6" t="s">
        <v>159</v>
      </c>
      <c r="D1778" s="6" t="s">
        <v>144</v>
      </c>
      <c r="E1778" s="6" t="s">
        <v>89</v>
      </c>
      <c r="F1778" s="6" t="s">
        <v>151</v>
      </c>
      <c r="G1778" s="6" t="n">
        <v>28</v>
      </c>
      <c r="H1778" s="6" t="s">
        <v>80</v>
      </c>
      <c r="I1778" s="6" t="s">
        <v>82</v>
      </c>
      <c r="J1778" s="6" t="s">
        <v>60</v>
      </c>
      <c r="K1778" s="6" t="n">
        <v>84862</v>
      </c>
      <c r="L1778" s="6" t="n">
        <v>89261</v>
      </c>
      <c r="M1778" s="6" t="s">
        <v>142</v>
      </c>
      <c r="N1778" s="6" t="n">
        <v>47</v>
      </c>
      <c r="O1778" s="6" t="s">
        <v>60</v>
      </c>
      <c r="P1778" s="6" t="n">
        <v>8</v>
      </c>
      <c r="Q1778" s="6" t="n">
        <v>23.51</v>
      </c>
      <c r="R1778" s="20" t="n">
        <f aca="false">(L1778-K1778)/K1778</f>
        <v>0.05183710023332</v>
      </c>
    </row>
    <row r="1779" customFormat="false" ht="15" hidden="false" customHeight="false" outlineLevel="0" collapsed="false">
      <c r="A1779" s="6" t="s">
        <v>1941</v>
      </c>
      <c r="B1779" s="6" t="n">
        <v>50</v>
      </c>
      <c r="C1779" s="6" t="s">
        <v>159</v>
      </c>
      <c r="D1779" s="6" t="s">
        <v>144</v>
      </c>
      <c r="E1779" s="6" t="s">
        <v>93</v>
      </c>
      <c r="F1779" s="6" t="s">
        <v>164</v>
      </c>
      <c r="G1779" s="6" t="n">
        <v>27</v>
      </c>
      <c r="H1779" s="6" t="s">
        <v>80</v>
      </c>
      <c r="I1779" s="6" t="s">
        <v>80</v>
      </c>
      <c r="J1779" s="6" t="s">
        <v>60</v>
      </c>
      <c r="K1779" s="6" t="n">
        <v>44568</v>
      </c>
      <c r="L1779" s="6" t="n">
        <v>46832</v>
      </c>
      <c r="M1779" s="6" t="s">
        <v>142</v>
      </c>
      <c r="N1779" s="6" t="n">
        <v>35</v>
      </c>
      <c r="O1779" s="6" t="s">
        <v>60</v>
      </c>
      <c r="P1779" s="6" t="n">
        <v>6</v>
      </c>
      <c r="Q1779" s="6" t="n">
        <v>16.43</v>
      </c>
      <c r="R1779" s="20" t="n">
        <f aca="false">(L1779-K1779)/K1779</f>
        <v>0.0507987793932867</v>
      </c>
    </row>
    <row r="1780" customFormat="false" ht="15" hidden="false" customHeight="false" outlineLevel="0" collapsed="false">
      <c r="A1780" s="6" t="s">
        <v>1942</v>
      </c>
      <c r="B1780" s="6" t="n">
        <v>41</v>
      </c>
      <c r="C1780" s="6" t="s">
        <v>159</v>
      </c>
      <c r="D1780" s="6" t="s">
        <v>140</v>
      </c>
      <c r="E1780" s="6" t="s">
        <v>91</v>
      </c>
      <c r="F1780" s="6" t="s">
        <v>141</v>
      </c>
      <c r="G1780" s="6" t="n">
        <v>16</v>
      </c>
      <c r="H1780" s="6" t="s">
        <v>80</v>
      </c>
      <c r="I1780" s="6" t="s">
        <v>80</v>
      </c>
      <c r="J1780" s="6" t="s">
        <v>58</v>
      </c>
      <c r="K1780" s="6" t="n">
        <v>82948</v>
      </c>
      <c r="L1780" s="6" t="n">
        <v>82914</v>
      </c>
      <c r="M1780" s="6" t="s">
        <v>142</v>
      </c>
      <c r="N1780" s="6" t="n">
        <v>37</v>
      </c>
      <c r="O1780" s="6" t="s">
        <v>60</v>
      </c>
      <c r="P1780" s="6" t="n">
        <v>8</v>
      </c>
      <c r="Q1780" s="6" t="n">
        <v>31.63</v>
      </c>
      <c r="R1780" s="20" t="n">
        <f aca="false">(L1780-K1780)/K1780</f>
        <v>-0.00040989535612673</v>
      </c>
    </row>
    <row r="1781" customFormat="false" ht="15" hidden="false" customHeight="false" outlineLevel="0" collapsed="false">
      <c r="A1781" s="6" t="s">
        <v>1943</v>
      </c>
      <c r="B1781" s="6" t="n">
        <v>40</v>
      </c>
      <c r="C1781" s="6" t="s">
        <v>139</v>
      </c>
      <c r="D1781" s="6" t="s">
        <v>135</v>
      </c>
      <c r="E1781" s="6" t="s">
        <v>91</v>
      </c>
      <c r="F1781" s="6" t="s">
        <v>141</v>
      </c>
      <c r="G1781" s="6" t="n">
        <v>14</v>
      </c>
      <c r="H1781" s="6" t="s">
        <v>81</v>
      </c>
      <c r="I1781" s="6" t="s">
        <v>80</v>
      </c>
      <c r="J1781" s="6" t="s">
        <v>60</v>
      </c>
      <c r="K1781" s="6" t="n">
        <v>33729</v>
      </c>
      <c r="L1781" s="6" t="n">
        <v>34596</v>
      </c>
      <c r="M1781" s="6" t="s">
        <v>142</v>
      </c>
      <c r="N1781" s="6" t="n">
        <v>41</v>
      </c>
      <c r="O1781" s="6" t="s">
        <v>60</v>
      </c>
      <c r="P1781" s="6" t="n">
        <v>6</v>
      </c>
      <c r="Q1781" s="6" t="n">
        <v>-18.98</v>
      </c>
      <c r="R1781" s="20" t="n">
        <f aca="false">(L1781-K1781)/K1781</f>
        <v>0.025704883038335</v>
      </c>
    </row>
    <row r="1782" customFormat="false" ht="15" hidden="false" customHeight="false" outlineLevel="0" collapsed="false">
      <c r="A1782" s="6" t="s">
        <v>1944</v>
      </c>
      <c r="B1782" s="6" t="n">
        <v>50</v>
      </c>
      <c r="C1782" s="6" t="s">
        <v>159</v>
      </c>
      <c r="D1782" s="6" t="s">
        <v>148</v>
      </c>
      <c r="E1782" s="6" t="s">
        <v>93</v>
      </c>
      <c r="F1782" s="6" t="s">
        <v>164</v>
      </c>
      <c r="G1782" s="6" t="n">
        <v>25</v>
      </c>
      <c r="H1782" s="6" t="s">
        <v>82</v>
      </c>
      <c r="I1782" s="6" t="s">
        <v>82</v>
      </c>
      <c r="J1782" s="6" t="s">
        <v>60</v>
      </c>
      <c r="K1782" s="6" t="n">
        <v>95642</v>
      </c>
      <c r="L1782" s="6" t="n">
        <v>94772</v>
      </c>
      <c r="M1782" s="6" t="s">
        <v>146</v>
      </c>
      <c r="N1782" s="6" t="n">
        <v>43</v>
      </c>
      <c r="O1782" s="6" t="s">
        <v>60</v>
      </c>
      <c r="P1782" s="6" t="n">
        <v>6</v>
      </c>
      <c r="Q1782" s="6" t="n">
        <v>-4</v>
      </c>
      <c r="R1782" s="20" t="n">
        <f aca="false">(L1782-K1782)/K1782</f>
        <v>-0.00909642207398423</v>
      </c>
    </row>
    <row r="1783" customFormat="false" ht="15" hidden="false" customHeight="false" outlineLevel="0" collapsed="false">
      <c r="A1783" s="6" t="s">
        <v>1945</v>
      </c>
      <c r="B1783" s="6" t="n">
        <v>31</v>
      </c>
      <c r="C1783" s="6" t="s">
        <v>159</v>
      </c>
      <c r="D1783" s="6" t="s">
        <v>144</v>
      </c>
      <c r="E1783" s="6" t="s">
        <v>90</v>
      </c>
      <c r="F1783" s="6" t="s">
        <v>202</v>
      </c>
      <c r="G1783" s="6" t="n">
        <v>5</v>
      </c>
      <c r="H1783" s="6" t="s">
        <v>80</v>
      </c>
      <c r="I1783" s="6" t="s">
        <v>80</v>
      </c>
      <c r="J1783" s="6" t="s">
        <v>60</v>
      </c>
      <c r="K1783" s="6" t="n">
        <v>99786</v>
      </c>
      <c r="L1783" s="6" t="n">
        <v>109527</v>
      </c>
      <c r="M1783" s="6" t="s">
        <v>142</v>
      </c>
      <c r="N1783" s="6" t="n">
        <v>52</v>
      </c>
      <c r="O1783" s="6" t="s">
        <v>58</v>
      </c>
      <c r="P1783" s="6" t="n">
        <v>7</v>
      </c>
      <c r="Q1783" s="6" t="n">
        <v>-18.81</v>
      </c>
      <c r="R1783" s="20" t="n">
        <f aca="false">(L1783-K1783)/K1783</f>
        <v>0.0976189044555348</v>
      </c>
    </row>
    <row r="1784" customFormat="false" ht="15" hidden="false" customHeight="false" outlineLevel="0" collapsed="false">
      <c r="A1784" s="6" t="s">
        <v>1946</v>
      </c>
      <c r="B1784" s="6" t="n">
        <v>54</v>
      </c>
      <c r="C1784" s="6" t="s">
        <v>159</v>
      </c>
      <c r="D1784" s="6" t="s">
        <v>148</v>
      </c>
      <c r="E1784" s="6" t="s">
        <v>93</v>
      </c>
      <c r="F1784" s="6" t="s">
        <v>197</v>
      </c>
      <c r="G1784" s="6" t="n">
        <v>28</v>
      </c>
      <c r="H1784" s="6" t="s">
        <v>80</v>
      </c>
      <c r="I1784" s="6" t="s">
        <v>81</v>
      </c>
      <c r="J1784" s="6" t="s">
        <v>60</v>
      </c>
      <c r="K1784" s="6" t="n">
        <v>68187</v>
      </c>
      <c r="L1784" s="6" t="n">
        <v>68898</v>
      </c>
      <c r="M1784" s="6" t="s">
        <v>146</v>
      </c>
      <c r="N1784" s="6" t="n">
        <v>36</v>
      </c>
      <c r="O1784" s="6" t="s">
        <v>60</v>
      </c>
      <c r="P1784" s="6" t="n">
        <v>9</v>
      </c>
      <c r="Q1784" s="6" t="n">
        <v>36.11</v>
      </c>
      <c r="R1784" s="20" t="n">
        <f aca="false">(L1784-K1784)/K1784</f>
        <v>0.0104272075322276</v>
      </c>
    </row>
    <row r="1785" customFormat="false" ht="15" hidden="false" customHeight="false" outlineLevel="0" collapsed="false">
      <c r="A1785" s="6" t="s">
        <v>1947</v>
      </c>
      <c r="B1785" s="6" t="n">
        <v>51</v>
      </c>
      <c r="C1785" s="6" t="s">
        <v>159</v>
      </c>
      <c r="D1785" s="6" t="s">
        <v>144</v>
      </c>
      <c r="E1785" s="6" t="s">
        <v>88</v>
      </c>
      <c r="F1785" s="6" t="s">
        <v>179</v>
      </c>
      <c r="G1785" s="6" t="n">
        <v>27</v>
      </c>
      <c r="H1785" s="6" t="s">
        <v>82</v>
      </c>
      <c r="I1785" s="6" t="s">
        <v>81</v>
      </c>
      <c r="J1785" s="6" t="s">
        <v>60</v>
      </c>
      <c r="K1785" s="6" t="n">
        <v>104486</v>
      </c>
      <c r="L1785" s="6" t="n">
        <v>88855</v>
      </c>
      <c r="M1785" s="6" t="s">
        <v>146</v>
      </c>
      <c r="N1785" s="6" t="n">
        <v>41</v>
      </c>
      <c r="O1785" s="6" t="s">
        <v>60</v>
      </c>
      <c r="P1785" s="6" t="n">
        <v>3</v>
      </c>
      <c r="Q1785" s="6" t="n">
        <v>20.89</v>
      </c>
      <c r="R1785" s="20" t="n">
        <f aca="false">(L1785-K1785)/K1785</f>
        <v>-0.149598989338285</v>
      </c>
    </row>
    <row r="1786" customFormat="false" ht="15" hidden="false" customHeight="false" outlineLevel="0" collapsed="false">
      <c r="A1786" s="6" t="s">
        <v>1948</v>
      </c>
      <c r="B1786" s="6" t="n">
        <v>22</v>
      </c>
      <c r="C1786" s="6" t="s">
        <v>134</v>
      </c>
      <c r="D1786" s="6" t="s">
        <v>144</v>
      </c>
      <c r="E1786" s="6" t="s">
        <v>89</v>
      </c>
      <c r="F1786" s="6" t="s">
        <v>151</v>
      </c>
      <c r="G1786" s="6" t="n">
        <v>0</v>
      </c>
      <c r="H1786" s="6" t="s">
        <v>81</v>
      </c>
      <c r="I1786" s="6" t="s">
        <v>82</v>
      </c>
      <c r="J1786" s="6" t="s">
        <v>58</v>
      </c>
      <c r="K1786" s="6" t="n">
        <v>77458</v>
      </c>
      <c r="L1786" s="6" t="n">
        <v>91889</v>
      </c>
      <c r="M1786" s="6" t="s">
        <v>142</v>
      </c>
      <c r="N1786" s="6" t="n">
        <v>46</v>
      </c>
      <c r="O1786" s="6" t="s">
        <v>60</v>
      </c>
      <c r="P1786" s="6" t="n">
        <v>8</v>
      </c>
      <c r="Q1786" s="6" t="n">
        <v>35.28</v>
      </c>
      <c r="R1786" s="20" t="n">
        <f aca="false">(L1786-K1786)/K1786</f>
        <v>0.186307418213742</v>
      </c>
    </row>
    <row r="1787" customFormat="false" ht="15" hidden="false" customHeight="false" outlineLevel="0" collapsed="false">
      <c r="A1787" s="6" t="s">
        <v>1949</v>
      </c>
      <c r="B1787" s="6" t="n">
        <v>51</v>
      </c>
      <c r="C1787" s="6" t="s">
        <v>159</v>
      </c>
      <c r="D1787" s="6" t="s">
        <v>140</v>
      </c>
      <c r="E1787" s="6" t="s">
        <v>93</v>
      </c>
      <c r="F1787" s="6" t="s">
        <v>164</v>
      </c>
      <c r="G1787" s="6" t="n">
        <v>26</v>
      </c>
      <c r="H1787" s="6" t="s">
        <v>82</v>
      </c>
      <c r="I1787" s="6" t="s">
        <v>82</v>
      </c>
      <c r="J1787" s="6" t="s">
        <v>60</v>
      </c>
      <c r="K1787" s="6" t="n">
        <v>48394</v>
      </c>
      <c r="L1787" s="6" t="n">
        <v>51268</v>
      </c>
      <c r="M1787" s="6" t="s">
        <v>146</v>
      </c>
      <c r="N1787" s="6" t="n">
        <v>39</v>
      </c>
      <c r="O1787" s="6" t="s">
        <v>58</v>
      </c>
      <c r="P1787" s="6" t="n">
        <v>3</v>
      </c>
      <c r="Q1787" s="6" t="n">
        <v>38.76</v>
      </c>
      <c r="R1787" s="20" t="n">
        <f aca="false">(L1787-K1787)/K1787</f>
        <v>0.0593875273794272</v>
      </c>
    </row>
    <row r="1788" customFormat="false" ht="15" hidden="false" customHeight="false" outlineLevel="0" collapsed="false">
      <c r="A1788" s="6" t="s">
        <v>1950</v>
      </c>
      <c r="B1788" s="6" t="n">
        <v>48</v>
      </c>
      <c r="C1788" s="6" t="s">
        <v>134</v>
      </c>
      <c r="D1788" s="6" t="s">
        <v>135</v>
      </c>
      <c r="E1788" s="6" t="s">
        <v>93</v>
      </c>
      <c r="F1788" s="6" t="s">
        <v>181</v>
      </c>
      <c r="G1788" s="6" t="n">
        <v>23</v>
      </c>
      <c r="H1788" s="6" t="s">
        <v>80</v>
      </c>
      <c r="I1788" s="6" t="s">
        <v>81</v>
      </c>
      <c r="J1788" s="6" t="s">
        <v>60</v>
      </c>
      <c r="K1788" s="6" t="n">
        <v>81993</v>
      </c>
      <c r="L1788" s="6" t="n">
        <v>85079</v>
      </c>
      <c r="M1788" s="6" t="s">
        <v>146</v>
      </c>
      <c r="N1788" s="6" t="n">
        <v>35</v>
      </c>
      <c r="O1788" s="6" t="s">
        <v>60</v>
      </c>
      <c r="P1788" s="6" t="n">
        <v>8</v>
      </c>
      <c r="Q1788" s="6" t="n">
        <v>-17.09</v>
      </c>
      <c r="R1788" s="20" t="n">
        <f aca="false">(L1788-K1788)/K1788</f>
        <v>0.0376373592867684</v>
      </c>
    </row>
    <row r="1789" customFormat="false" ht="15" hidden="false" customHeight="false" outlineLevel="0" collapsed="false">
      <c r="A1789" s="6" t="s">
        <v>1951</v>
      </c>
      <c r="B1789" s="6" t="n">
        <v>49</v>
      </c>
      <c r="C1789" s="6" t="s">
        <v>139</v>
      </c>
      <c r="D1789" s="6" t="s">
        <v>148</v>
      </c>
      <c r="E1789" s="6" t="s">
        <v>93</v>
      </c>
      <c r="F1789" s="6" t="s">
        <v>164</v>
      </c>
      <c r="G1789" s="6" t="n">
        <v>26</v>
      </c>
      <c r="H1789" s="6" t="s">
        <v>81</v>
      </c>
      <c r="I1789" s="6" t="s">
        <v>82</v>
      </c>
      <c r="J1789" s="6" t="s">
        <v>58</v>
      </c>
      <c r="K1789" s="6" t="n">
        <v>83817</v>
      </c>
      <c r="L1789" s="6" t="n">
        <v>84857</v>
      </c>
      <c r="M1789" s="6" t="s">
        <v>142</v>
      </c>
      <c r="N1789" s="6" t="n">
        <v>54</v>
      </c>
      <c r="O1789" s="6" t="s">
        <v>58</v>
      </c>
      <c r="P1789" s="6" t="n">
        <v>3</v>
      </c>
      <c r="Q1789" s="6" t="n">
        <v>35.53</v>
      </c>
      <c r="R1789" s="20" t="n">
        <f aca="false">(L1789-K1789)/K1789</f>
        <v>0.0124079840605128</v>
      </c>
    </row>
    <row r="1790" customFormat="false" ht="15" hidden="false" customHeight="false" outlineLevel="0" collapsed="false">
      <c r="A1790" s="6" t="s">
        <v>1952</v>
      </c>
      <c r="B1790" s="6" t="n">
        <v>34</v>
      </c>
      <c r="C1790" s="6" t="s">
        <v>134</v>
      </c>
      <c r="D1790" s="6" t="s">
        <v>144</v>
      </c>
      <c r="E1790" s="6" t="s">
        <v>92</v>
      </c>
      <c r="F1790" s="6" t="s">
        <v>222</v>
      </c>
      <c r="G1790" s="6" t="n">
        <v>12</v>
      </c>
      <c r="H1790" s="6" t="s">
        <v>82</v>
      </c>
      <c r="I1790" s="6" t="s">
        <v>82</v>
      </c>
      <c r="J1790" s="6" t="s">
        <v>60</v>
      </c>
      <c r="K1790" s="6" t="n">
        <v>86132</v>
      </c>
      <c r="L1790" s="6" t="n">
        <v>77382</v>
      </c>
      <c r="M1790" s="6" t="s">
        <v>137</v>
      </c>
      <c r="N1790" s="6" t="n">
        <v>48</v>
      </c>
      <c r="O1790" s="6" t="s">
        <v>58</v>
      </c>
      <c r="P1790" s="6" t="n">
        <v>8</v>
      </c>
      <c r="Q1790" s="6" t="n">
        <v>37.33</v>
      </c>
      <c r="R1790" s="20" t="n">
        <f aca="false">(L1790-K1790)/K1790</f>
        <v>-0.101588259880184</v>
      </c>
    </row>
    <row r="1791" customFormat="false" ht="15" hidden="false" customHeight="false" outlineLevel="0" collapsed="false">
      <c r="A1791" s="6" t="s">
        <v>1953</v>
      </c>
      <c r="B1791" s="6" t="n">
        <v>44</v>
      </c>
      <c r="C1791" s="6" t="s">
        <v>159</v>
      </c>
      <c r="D1791" s="6" t="s">
        <v>148</v>
      </c>
      <c r="E1791" s="6" t="s">
        <v>88</v>
      </c>
      <c r="F1791" s="6" t="s">
        <v>179</v>
      </c>
      <c r="G1791" s="6" t="n">
        <v>20</v>
      </c>
      <c r="H1791" s="6" t="s">
        <v>80</v>
      </c>
      <c r="I1791" s="6" t="s">
        <v>81</v>
      </c>
      <c r="J1791" s="6" t="s">
        <v>60</v>
      </c>
      <c r="K1791" s="6" t="n">
        <v>56014</v>
      </c>
      <c r="L1791" s="6" t="n">
        <v>53273</v>
      </c>
      <c r="M1791" s="6" t="s">
        <v>146</v>
      </c>
      <c r="N1791" s="6" t="n">
        <v>46</v>
      </c>
      <c r="O1791" s="6" t="s">
        <v>58</v>
      </c>
      <c r="P1791" s="6" t="n">
        <v>8</v>
      </c>
      <c r="Q1791" s="6" t="n">
        <v>-1</v>
      </c>
      <c r="R1791" s="20" t="n">
        <f aca="false">(L1791-K1791)/K1791</f>
        <v>-0.0489341950226729</v>
      </c>
    </row>
    <row r="1792" customFormat="false" ht="15" hidden="false" customHeight="false" outlineLevel="0" collapsed="false">
      <c r="A1792" s="6" t="s">
        <v>1954</v>
      </c>
      <c r="B1792" s="6" t="n">
        <v>23</v>
      </c>
      <c r="C1792" s="6" t="s">
        <v>139</v>
      </c>
      <c r="D1792" s="6" t="s">
        <v>144</v>
      </c>
      <c r="E1792" s="6" t="s">
        <v>89</v>
      </c>
      <c r="F1792" s="6" t="s">
        <v>162</v>
      </c>
      <c r="G1792" s="6" t="n">
        <v>0</v>
      </c>
      <c r="H1792" s="6" t="s">
        <v>81</v>
      </c>
      <c r="I1792" s="6" t="s">
        <v>82</v>
      </c>
      <c r="J1792" s="6" t="s">
        <v>60</v>
      </c>
      <c r="K1792" s="6" t="n">
        <v>76326</v>
      </c>
      <c r="L1792" s="6" t="n">
        <v>88708</v>
      </c>
      <c r="M1792" s="6" t="s">
        <v>142</v>
      </c>
      <c r="N1792" s="6" t="n">
        <v>40</v>
      </c>
      <c r="O1792" s="6" t="s">
        <v>58</v>
      </c>
      <c r="P1792" s="6" t="n">
        <v>9</v>
      </c>
      <c r="Q1792" s="6" t="n">
        <v>1.54</v>
      </c>
      <c r="R1792" s="20" t="n">
        <f aca="false">(L1792-K1792)/K1792</f>
        <v>0.162225191939837</v>
      </c>
    </row>
    <row r="1793" customFormat="false" ht="15" hidden="false" customHeight="false" outlineLevel="0" collapsed="false">
      <c r="A1793" s="6" t="s">
        <v>1955</v>
      </c>
      <c r="B1793" s="6" t="n">
        <v>36</v>
      </c>
      <c r="C1793" s="6" t="s">
        <v>139</v>
      </c>
      <c r="D1793" s="6" t="s">
        <v>140</v>
      </c>
      <c r="E1793" s="6" t="s">
        <v>92</v>
      </c>
      <c r="F1793" s="6" t="s">
        <v>192</v>
      </c>
      <c r="G1793" s="6" t="n">
        <v>12</v>
      </c>
      <c r="H1793" s="6" t="s">
        <v>81</v>
      </c>
      <c r="I1793" s="6" t="s">
        <v>82</v>
      </c>
      <c r="J1793" s="6" t="s">
        <v>60</v>
      </c>
      <c r="K1793" s="6" t="n">
        <v>71751</v>
      </c>
      <c r="L1793" s="6" t="n">
        <v>70587</v>
      </c>
      <c r="M1793" s="6" t="s">
        <v>142</v>
      </c>
      <c r="N1793" s="6" t="n">
        <v>36</v>
      </c>
      <c r="O1793" s="6" t="s">
        <v>58</v>
      </c>
      <c r="P1793" s="6" t="n">
        <v>7</v>
      </c>
      <c r="Q1793" s="6" t="n">
        <v>2.08</v>
      </c>
      <c r="R1793" s="20" t="n">
        <f aca="false">(L1793-K1793)/K1793</f>
        <v>-0.0162227704143496</v>
      </c>
    </row>
    <row r="1794" customFormat="false" ht="15" hidden="false" customHeight="false" outlineLevel="0" collapsed="false">
      <c r="A1794" s="6" t="s">
        <v>1956</v>
      </c>
      <c r="B1794" s="6" t="n">
        <v>35</v>
      </c>
      <c r="C1794" s="6" t="s">
        <v>134</v>
      </c>
      <c r="D1794" s="6" t="s">
        <v>135</v>
      </c>
      <c r="E1794" s="6" t="s">
        <v>92</v>
      </c>
      <c r="F1794" s="6" t="s">
        <v>192</v>
      </c>
      <c r="G1794" s="6" t="n">
        <v>13</v>
      </c>
      <c r="H1794" s="6" t="s">
        <v>82</v>
      </c>
      <c r="I1794" s="6" t="s">
        <v>82</v>
      </c>
      <c r="J1794" s="6" t="s">
        <v>58</v>
      </c>
      <c r="K1794" s="6" t="n">
        <v>93825</v>
      </c>
      <c r="L1794" s="6" t="n">
        <v>77680</v>
      </c>
      <c r="M1794" s="6" t="s">
        <v>146</v>
      </c>
      <c r="N1794" s="6" t="n">
        <v>47</v>
      </c>
      <c r="O1794" s="6" t="s">
        <v>60</v>
      </c>
      <c r="P1794" s="6" t="n">
        <v>4</v>
      </c>
      <c r="Q1794" s="6" t="n">
        <v>-19.74</v>
      </c>
      <c r="R1794" s="20" t="n">
        <f aca="false">(L1794-K1794)/K1794</f>
        <v>-0.172075672795097</v>
      </c>
    </row>
    <row r="1795" customFormat="false" ht="15" hidden="false" customHeight="false" outlineLevel="0" collapsed="false">
      <c r="A1795" s="6" t="s">
        <v>1957</v>
      </c>
      <c r="B1795" s="6" t="n">
        <v>33</v>
      </c>
      <c r="C1795" s="6" t="s">
        <v>134</v>
      </c>
      <c r="D1795" s="6" t="s">
        <v>148</v>
      </c>
      <c r="E1795" s="6" t="s">
        <v>92</v>
      </c>
      <c r="F1795" s="6" t="s">
        <v>136</v>
      </c>
      <c r="G1795" s="6" t="n">
        <v>10</v>
      </c>
      <c r="H1795" s="6" t="s">
        <v>81</v>
      </c>
      <c r="I1795" s="6" t="s">
        <v>81</v>
      </c>
      <c r="J1795" s="6" t="s">
        <v>60</v>
      </c>
      <c r="K1795" s="6" t="n">
        <v>73016</v>
      </c>
      <c r="L1795" s="6" t="n">
        <v>85706</v>
      </c>
      <c r="M1795" s="6" t="s">
        <v>146</v>
      </c>
      <c r="N1795" s="6" t="n">
        <v>42</v>
      </c>
      <c r="O1795" s="6" t="s">
        <v>58</v>
      </c>
      <c r="P1795" s="6" t="n">
        <v>5</v>
      </c>
      <c r="Q1795" s="6" t="n">
        <v>-8.43</v>
      </c>
      <c r="R1795" s="20" t="n">
        <f aca="false">(L1795-K1795)/K1795</f>
        <v>0.173797523830393</v>
      </c>
    </row>
    <row r="1796" customFormat="false" ht="15" hidden="false" customHeight="false" outlineLevel="0" collapsed="false">
      <c r="A1796" s="6" t="s">
        <v>1958</v>
      </c>
      <c r="B1796" s="6" t="n">
        <v>45</v>
      </c>
      <c r="C1796" s="6" t="s">
        <v>134</v>
      </c>
      <c r="D1796" s="6" t="s">
        <v>148</v>
      </c>
      <c r="E1796" s="6" t="s">
        <v>93</v>
      </c>
      <c r="F1796" s="6" t="s">
        <v>164</v>
      </c>
      <c r="G1796" s="6" t="n">
        <v>22</v>
      </c>
      <c r="H1796" s="6" t="s">
        <v>82</v>
      </c>
      <c r="I1796" s="6" t="s">
        <v>82</v>
      </c>
      <c r="J1796" s="6" t="s">
        <v>60</v>
      </c>
      <c r="K1796" s="6" t="n">
        <v>56567</v>
      </c>
      <c r="L1796" s="6" t="n">
        <v>52839</v>
      </c>
      <c r="M1796" s="6" t="s">
        <v>137</v>
      </c>
      <c r="N1796" s="6" t="n">
        <v>47</v>
      </c>
      <c r="O1796" s="6" t="s">
        <v>60</v>
      </c>
      <c r="P1796" s="6" t="n">
        <v>8</v>
      </c>
      <c r="Q1796" s="6" t="n">
        <v>22.34</v>
      </c>
      <c r="R1796" s="20" t="n">
        <f aca="false">(L1796-K1796)/K1796</f>
        <v>-0.0659041490621741</v>
      </c>
    </row>
    <row r="1797" customFormat="false" ht="15" hidden="false" customHeight="false" outlineLevel="0" collapsed="false">
      <c r="A1797" s="6" t="s">
        <v>1959</v>
      </c>
      <c r="B1797" s="6" t="n">
        <v>35</v>
      </c>
      <c r="C1797" s="6" t="s">
        <v>134</v>
      </c>
      <c r="D1797" s="6" t="s">
        <v>144</v>
      </c>
      <c r="E1797" s="6" t="s">
        <v>90</v>
      </c>
      <c r="F1797" s="6" t="s">
        <v>145</v>
      </c>
      <c r="G1797" s="6" t="n">
        <v>13</v>
      </c>
      <c r="H1797" s="6" t="s">
        <v>80</v>
      </c>
      <c r="I1797" s="6" t="s">
        <v>82</v>
      </c>
      <c r="J1797" s="6" t="s">
        <v>58</v>
      </c>
      <c r="K1797" s="6" t="n">
        <v>113301</v>
      </c>
      <c r="L1797" s="6" t="n">
        <v>111030</v>
      </c>
      <c r="M1797" s="6" t="s">
        <v>142</v>
      </c>
      <c r="N1797" s="6" t="n">
        <v>35</v>
      </c>
      <c r="O1797" s="6" t="s">
        <v>58</v>
      </c>
      <c r="P1797" s="6" t="n">
        <v>3</v>
      </c>
      <c r="Q1797" s="6" t="n">
        <v>-5.46</v>
      </c>
      <c r="R1797" s="20" t="n">
        <f aca="false">(L1797-K1797)/K1797</f>
        <v>-0.0200439537162073</v>
      </c>
    </row>
    <row r="1798" customFormat="false" ht="15" hidden="false" customHeight="false" outlineLevel="0" collapsed="false">
      <c r="A1798" s="6" t="s">
        <v>1960</v>
      </c>
      <c r="B1798" s="6" t="n">
        <v>36</v>
      </c>
      <c r="C1798" s="6" t="s">
        <v>159</v>
      </c>
      <c r="D1798" s="6" t="s">
        <v>135</v>
      </c>
      <c r="E1798" s="6" t="s">
        <v>90</v>
      </c>
      <c r="F1798" s="6" t="s">
        <v>202</v>
      </c>
      <c r="G1798" s="6" t="n">
        <v>11</v>
      </c>
      <c r="H1798" s="6" t="s">
        <v>80</v>
      </c>
      <c r="I1798" s="6" t="s">
        <v>80</v>
      </c>
      <c r="J1798" s="6" t="s">
        <v>60</v>
      </c>
      <c r="K1798" s="6" t="n">
        <v>79979</v>
      </c>
      <c r="L1798" s="6" t="n">
        <v>82937</v>
      </c>
      <c r="M1798" s="6" t="s">
        <v>142</v>
      </c>
      <c r="N1798" s="6" t="n">
        <v>36</v>
      </c>
      <c r="O1798" s="6" t="s">
        <v>60</v>
      </c>
      <c r="P1798" s="6" t="n">
        <v>5</v>
      </c>
      <c r="Q1798" s="6" t="n">
        <v>-14.66</v>
      </c>
      <c r="R1798" s="20" t="n">
        <f aca="false">(L1798-K1798)/K1798</f>
        <v>0.0369847084859776</v>
      </c>
    </row>
    <row r="1799" customFormat="false" ht="15" hidden="false" customHeight="false" outlineLevel="0" collapsed="false">
      <c r="A1799" s="6" t="s">
        <v>1961</v>
      </c>
      <c r="B1799" s="6" t="n">
        <v>46</v>
      </c>
      <c r="C1799" s="6" t="s">
        <v>139</v>
      </c>
      <c r="D1799" s="6" t="s">
        <v>140</v>
      </c>
      <c r="E1799" s="6" t="s">
        <v>87</v>
      </c>
      <c r="F1799" s="6" t="s">
        <v>160</v>
      </c>
      <c r="G1799" s="6" t="n">
        <v>23</v>
      </c>
      <c r="H1799" s="6" t="s">
        <v>81</v>
      </c>
      <c r="I1799" s="6" t="s">
        <v>80</v>
      </c>
      <c r="J1799" s="6" t="s">
        <v>58</v>
      </c>
      <c r="K1799" s="6" t="n">
        <v>102717</v>
      </c>
      <c r="L1799" s="6" t="n">
        <v>105296</v>
      </c>
      <c r="M1799" s="6" t="s">
        <v>142</v>
      </c>
      <c r="N1799" s="6" t="n">
        <v>40</v>
      </c>
      <c r="O1799" s="6" t="s">
        <v>58</v>
      </c>
      <c r="P1799" s="6" t="n">
        <v>4</v>
      </c>
      <c r="Q1799" s="6" t="n">
        <v>1.03</v>
      </c>
      <c r="R1799" s="20" t="n">
        <f aca="false">(L1799-K1799)/K1799</f>
        <v>0.0251078205165649</v>
      </c>
    </row>
    <row r="1800" customFormat="false" ht="15" hidden="false" customHeight="false" outlineLevel="0" collapsed="false">
      <c r="A1800" s="6" t="s">
        <v>1962</v>
      </c>
      <c r="B1800" s="6" t="n">
        <v>51</v>
      </c>
      <c r="C1800" s="6" t="s">
        <v>139</v>
      </c>
      <c r="D1800" s="6" t="s">
        <v>148</v>
      </c>
      <c r="E1800" s="6" t="s">
        <v>93</v>
      </c>
      <c r="F1800" s="6" t="s">
        <v>197</v>
      </c>
      <c r="G1800" s="6" t="n">
        <v>29</v>
      </c>
      <c r="H1800" s="6" t="s">
        <v>81</v>
      </c>
      <c r="I1800" s="6" t="s">
        <v>80</v>
      </c>
      <c r="J1800" s="6" t="s">
        <v>60</v>
      </c>
      <c r="K1800" s="6" t="n">
        <v>39821</v>
      </c>
      <c r="L1800" s="6" t="n">
        <v>41280</v>
      </c>
      <c r="M1800" s="6" t="s">
        <v>142</v>
      </c>
      <c r="N1800" s="6" t="n">
        <v>51</v>
      </c>
      <c r="O1800" s="6" t="s">
        <v>60</v>
      </c>
      <c r="P1800" s="6" t="n">
        <v>4</v>
      </c>
      <c r="Q1800" s="6" t="n">
        <v>29.77</v>
      </c>
      <c r="R1800" s="20" t="n">
        <f aca="false">(L1800-K1800)/K1800</f>
        <v>0.0366389593430602</v>
      </c>
    </row>
    <row r="1801" customFormat="false" ht="15" hidden="false" customHeight="false" outlineLevel="0" collapsed="false">
      <c r="A1801" s="6" t="s">
        <v>1963</v>
      </c>
      <c r="B1801" s="6" t="n">
        <v>37</v>
      </c>
      <c r="C1801" s="6" t="s">
        <v>139</v>
      </c>
      <c r="D1801" s="6" t="s">
        <v>135</v>
      </c>
      <c r="E1801" s="6" t="s">
        <v>91</v>
      </c>
      <c r="F1801" s="6" t="s">
        <v>206</v>
      </c>
      <c r="G1801" s="6" t="n">
        <v>14</v>
      </c>
      <c r="H1801" s="6" t="s">
        <v>82</v>
      </c>
      <c r="I1801" s="6" t="s">
        <v>82</v>
      </c>
      <c r="J1801" s="6" t="s">
        <v>60</v>
      </c>
      <c r="K1801" s="6" t="n">
        <v>54647</v>
      </c>
      <c r="L1801" s="6" t="n">
        <v>60799</v>
      </c>
      <c r="M1801" s="6" t="s">
        <v>146</v>
      </c>
      <c r="N1801" s="6" t="n">
        <v>38</v>
      </c>
      <c r="O1801" s="6" t="s">
        <v>58</v>
      </c>
      <c r="P1801" s="6" t="n">
        <v>3</v>
      </c>
      <c r="Q1801" s="6" t="n">
        <v>9.26</v>
      </c>
      <c r="R1801" s="20" t="n">
        <f aca="false">(L1801-K1801)/K1801</f>
        <v>0.112577085658865</v>
      </c>
    </row>
    <row r="1802" customFormat="false" ht="15" hidden="false" customHeight="false" outlineLevel="0" collapsed="false">
      <c r="A1802" s="6" t="s">
        <v>1964</v>
      </c>
      <c r="B1802" s="6" t="n">
        <v>41</v>
      </c>
      <c r="C1802" s="6" t="s">
        <v>139</v>
      </c>
      <c r="D1802" s="6" t="s">
        <v>148</v>
      </c>
      <c r="E1802" s="6" t="s">
        <v>91</v>
      </c>
      <c r="F1802" s="6" t="s">
        <v>208</v>
      </c>
      <c r="G1802" s="6" t="n">
        <v>17</v>
      </c>
      <c r="H1802" s="6" t="s">
        <v>81</v>
      </c>
      <c r="I1802" s="6" t="s">
        <v>82</v>
      </c>
      <c r="J1802" s="6" t="s">
        <v>58</v>
      </c>
      <c r="K1802" s="6" t="n">
        <v>100605</v>
      </c>
      <c r="L1802" s="6" t="n">
        <v>115326</v>
      </c>
      <c r="M1802" s="6" t="s">
        <v>142</v>
      </c>
      <c r="N1802" s="6" t="n">
        <v>37</v>
      </c>
      <c r="O1802" s="6" t="s">
        <v>58</v>
      </c>
      <c r="P1802" s="6" t="n">
        <v>7</v>
      </c>
      <c r="Q1802" s="6" t="n">
        <v>6.13</v>
      </c>
      <c r="R1802" s="20" t="n">
        <f aca="false">(L1802-K1802)/K1802</f>
        <v>0.146324735351126</v>
      </c>
    </row>
    <row r="1803" customFormat="false" ht="15" hidden="false" customHeight="false" outlineLevel="0" collapsed="false">
      <c r="A1803" s="6" t="s">
        <v>1965</v>
      </c>
      <c r="B1803" s="6" t="n">
        <v>59</v>
      </c>
      <c r="C1803" s="6" t="s">
        <v>139</v>
      </c>
      <c r="D1803" s="6" t="s">
        <v>135</v>
      </c>
      <c r="E1803" s="6" t="s">
        <v>87</v>
      </c>
      <c r="F1803" s="6" t="s">
        <v>149</v>
      </c>
      <c r="G1803" s="6" t="n">
        <v>36</v>
      </c>
      <c r="H1803" s="6" t="s">
        <v>82</v>
      </c>
      <c r="I1803" s="6" t="s">
        <v>80</v>
      </c>
      <c r="J1803" s="6" t="s">
        <v>58</v>
      </c>
      <c r="K1803" s="6" t="n">
        <v>103511</v>
      </c>
      <c r="L1803" s="6" t="n">
        <v>89042</v>
      </c>
      <c r="M1803" s="6" t="s">
        <v>142</v>
      </c>
      <c r="N1803" s="6" t="n">
        <v>53</v>
      </c>
      <c r="O1803" s="6" t="s">
        <v>60</v>
      </c>
      <c r="P1803" s="6" t="n">
        <v>9</v>
      </c>
      <c r="Q1803" s="6" t="n">
        <v>18.03</v>
      </c>
      <c r="R1803" s="20" t="n">
        <f aca="false">(L1803-K1803)/K1803</f>
        <v>-0.139782245365227</v>
      </c>
    </row>
    <row r="1804" customFormat="false" ht="15" hidden="false" customHeight="false" outlineLevel="0" collapsed="false">
      <c r="A1804" s="6" t="s">
        <v>1966</v>
      </c>
      <c r="B1804" s="6" t="n">
        <v>56</v>
      </c>
      <c r="C1804" s="6" t="s">
        <v>159</v>
      </c>
      <c r="D1804" s="6" t="s">
        <v>144</v>
      </c>
      <c r="E1804" s="6" t="s">
        <v>88</v>
      </c>
      <c r="F1804" s="6" t="s">
        <v>157</v>
      </c>
      <c r="G1804" s="6" t="n">
        <v>34</v>
      </c>
      <c r="H1804" s="6" t="s">
        <v>80</v>
      </c>
      <c r="I1804" s="6" t="s">
        <v>82</v>
      </c>
      <c r="J1804" s="6" t="s">
        <v>58</v>
      </c>
      <c r="K1804" s="6" t="n">
        <v>50128</v>
      </c>
      <c r="L1804" s="6" t="n">
        <v>50105</v>
      </c>
      <c r="M1804" s="6" t="s">
        <v>142</v>
      </c>
      <c r="N1804" s="6" t="n">
        <v>48</v>
      </c>
      <c r="O1804" s="6" t="s">
        <v>60</v>
      </c>
      <c r="P1804" s="6" t="n">
        <v>6</v>
      </c>
      <c r="Q1804" s="6" t="n">
        <v>6.88</v>
      </c>
      <c r="R1804" s="20" t="n">
        <f aca="false">(L1804-K1804)/K1804</f>
        <v>-0.000458825406958187</v>
      </c>
    </row>
    <row r="1805" customFormat="false" ht="15" hidden="false" customHeight="false" outlineLevel="0" collapsed="false">
      <c r="A1805" s="6" t="s">
        <v>1967</v>
      </c>
      <c r="B1805" s="6" t="n">
        <v>59</v>
      </c>
      <c r="C1805" s="6" t="s">
        <v>159</v>
      </c>
      <c r="D1805" s="6" t="s">
        <v>144</v>
      </c>
      <c r="E1805" s="6" t="s">
        <v>93</v>
      </c>
      <c r="F1805" s="6" t="s">
        <v>164</v>
      </c>
      <c r="G1805" s="6" t="n">
        <v>34</v>
      </c>
      <c r="H1805" s="6" t="s">
        <v>82</v>
      </c>
      <c r="I1805" s="6" t="s">
        <v>80</v>
      </c>
      <c r="J1805" s="6" t="s">
        <v>58</v>
      </c>
      <c r="K1805" s="6" t="n">
        <v>49547</v>
      </c>
      <c r="L1805" s="6" t="n">
        <v>68491</v>
      </c>
      <c r="M1805" s="6" t="s">
        <v>142</v>
      </c>
      <c r="N1805" s="6" t="n">
        <v>49</v>
      </c>
      <c r="O1805" s="6" t="s">
        <v>60</v>
      </c>
      <c r="P1805" s="6" t="n">
        <v>6</v>
      </c>
      <c r="Q1805" s="6" t="n">
        <v>13.3</v>
      </c>
      <c r="R1805" s="20" t="n">
        <f aca="false">(L1805-K1805)/K1805</f>
        <v>0.382344036974993</v>
      </c>
    </row>
    <row r="1806" customFormat="false" ht="15" hidden="false" customHeight="false" outlineLevel="0" collapsed="false">
      <c r="A1806" s="6" t="s">
        <v>1968</v>
      </c>
      <c r="B1806" s="6" t="n">
        <v>24</v>
      </c>
      <c r="C1806" s="6" t="s">
        <v>159</v>
      </c>
      <c r="D1806" s="6" t="s">
        <v>144</v>
      </c>
      <c r="E1806" s="6" t="s">
        <v>92</v>
      </c>
      <c r="F1806" s="6" t="s">
        <v>192</v>
      </c>
      <c r="G1806" s="6" t="n">
        <v>0</v>
      </c>
      <c r="H1806" s="6" t="s">
        <v>80</v>
      </c>
      <c r="I1806" s="6" t="s">
        <v>80</v>
      </c>
      <c r="J1806" s="6" t="s">
        <v>58</v>
      </c>
      <c r="K1806" s="6" t="n">
        <v>32606</v>
      </c>
      <c r="L1806" s="6" t="n">
        <v>34071</v>
      </c>
      <c r="M1806" s="6" t="s">
        <v>142</v>
      </c>
      <c r="N1806" s="6" t="n">
        <v>38</v>
      </c>
      <c r="O1806" s="6" t="s">
        <v>58</v>
      </c>
      <c r="P1806" s="6" t="n">
        <v>4</v>
      </c>
      <c r="Q1806" s="6" t="n">
        <v>-16.82</v>
      </c>
      <c r="R1806" s="20" t="n">
        <f aca="false">(L1806-K1806)/K1806</f>
        <v>0.0449303809114887</v>
      </c>
    </row>
    <row r="1807" customFormat="false" ht="15" hidden="false" customHeight="false" outlineLevel="0" collapsed="false">
      <c r="A1807" s="6" t="s">
        <v>1969</v>
      </c>
      <c r="B1807" s="6" t="n">
        <v>33</v>
      </c>
      <c r="C1807" s="6" t="s">
        <v>134</v>
      </c>
      <c r="D1807" s="6" t="s">
        <v>148</v>
      </c>
      <c r="E1807" s="6" t="s">
        <v>93</v>
      </c>
      <c r="F1807" s="6" t="s">
        <v>181</v>
      </c>
      <c r="G1807" s="6" t="n">
        <v>10</v>
      </c>
      <c r="H1807" s="6" t="s">
        <v>81</v>
      </c>
      <c r="I1807" s="6" t="s">
        <v>82</v>
      </c>
      <c r="J1807" s="6" t="s">
        <v>60</v>
      </c>
      <c r="K1807" s="6" t="n">
        <v>62400</v>
      </c>
      <c r="L1807" s="6" t="n">
        <v>72167</v>
      </c>
      <c r="M1807" s="6" t="s">
        <v>142</v>
      </c>
      <c r="N1807" s="6" t="n">
        <v>43</v>
      </c>
      <c r="O1807" s="6" t="s">
        <v>58</v>
      </c>
      <c r="P1807" s="6" t="n">
        <v>5</v>
      </c>
      <c r="Q1807" s="6" t="n">
        <v>19.49</v>
      </c>
      <c r="R1807" s="20" t="n">
        <f aca="false">(L1807-K1807)/K1807</f>
        <v>0.156522435897436</v>
      </c>
    </row>
    <row r="1808" customFormat="false" ht="15" hidden="false" customHeight="false" outlineLevel="0" collapsed="false">
      <c r="A1808" s="6" t="s">
        <v>1970</v>
      </c>
      <c r="B1808" s="6" t="n">
        <v>42</v>
      </c>
      <c r="C1808" s="6" t="s">
        <v>139</v>
      </c>
      <c r="D1808" s="6" t="s">
        <v>148</v>
      </c>
      <c r="E1808" s="6" t="s">
        <v>91</v>
      </c>
      <c r="F1808" s="6" t="s">
        <v>206</v>
      </c>
      <c r="G1808" s="6" t="n">
        <v>18</v>
      </c>
      <c r="H1808" s="6" t="s">
        <v>80</v>
      </c>
      <c r="I1808" s="6" t="s">
        <v>80</v>
      </c>
      <c r="J1808" s="6" t="s">
        <v>58</v>
      </c>
      <c r="K1808" s="6" t="n">
        <v>114335</v>
      </c>
      <c r="L1808" s="6" t="n">
        <v>110855</v>
      </c>
      <c r="M1808" s="6" t="s">
        <v>142</v>
      </c>
      <c r="N1808" s="6" t="n">
        <v>46</v>
      </c>
      <c r="O1808" s="6" t="s">
        <v>60</v>
      </c>
      <c r="P1808" s="6" t="n">
        <v>9</v>
      </c>
      <c r="Q1808" s="6" t="n">
        <v>38.54</v>
      </c>
      <c r="R1808" s="20" t="n">
        <f aca="false">(L1808-K1808)/K1808</f>
        <v>-0.0304368740980452</v>
      </c>
    </row>
    <row r="1809" customFormat="false" ht="15" hidden="false" customHeight="false" outlineLevel="0" collapsed="false">
      <c r="A1809" s="6" t="s">
        <v>1971</v>
      </c>
      <c r="B1809" s="6" t="n">
        <v>26</v>
      </c>
      <c r="C1809" s="6" t="s">
        <v>134</v>
      </c>
      <c r="D1809" s="6" t="s">
        <v>144</v>
      </c>
      <c r="E1809" s="6" t="s">
        <v>89</v>
      </c>
      <c r="F1809" s="6" t="s">
        <v>153</v>
      </c>
      <c r="G1809" s="6" t="n">
        <v>4</v>
      </c>
      <c r="H1809" s="6" t="s">
        <v>82</v>
      </c>
      <c r="I1809" s="6" t="s">
        <v>80</v>
      </c>
      <c r="J1809" s="6" t="s">
        <v>58</v>
      </c>
      <c r="K1809" s="6" t="n">
        <v>101540</v>
      </c>
      <c r="L1809" s="6" t="n">
        <v>120613</v>
      </c>
      <c r="M1809" s="6" t="s">
        <v>142</v>
      </c>
      <c r="N1809" s="6" t="n">
        <v>54</v>
      </c>
      <c r="O1809" s="6" t="s">
        <v>60</v>
      </c>
      <c r="P1809" s="6" t="n">
        <v>4</v>
      </c>
      <c r="Q1809" s="6" t="n">
        <v>12.72</v>
      </c>
      <c r="R1809" s="20" t="n">
        <f aca="false">(L1809-K1809)/K1809</f>
        <v>0.187837305495371</v>
      </c>
    </row>
    <row r="1810" customFormat="false" ht="15" hidden="false" customHeight="false" outlineLevel="0" collapsed="false">
      <c r="A1810" s="6" t="s">
        <v>1972</v>
      </c>
      <c r="B1810" s="6" t="n">
        <v>31</v>
      </c>
      <c r="C1810" s="6" t="s">
        <v>134</v>
      </c>
      <c r="D1810" s="6" t="s">
        <v>148</v>
      </c>
      <c r="E1810" s="6" t="s">
        <v>88</v>
      </c>
      <c r="F1810" s="6" t="s">
        <v>157</v>
      </c>
      <c r="G1810" s="6" t="n">
        <v>7</v>
      </c>
      <c r="H1810" s="6" t="s">
        <v>80</v>
      </c>
      <c r="I1810" s="6" t="s">
        <v>82</v>
      </c>
      <c r="J1810" s="6" t="s">
        <v>60</v>
      </c>
      <c r="K1810" s="6" t="n">
        <v>47175</v>
      </c>
      <c r="L1810" s="6" t="n">
        <v>47811</v>
      </c>
      <c r="M1810" s="6" t="s">
        <v>142</v>
      </c>
      <c r="N1810" s="6" t="n">
        <v>35</v>
      </c>
      <c r="O1810" s="6" t="s">
        <v>60</v>
      </c>
      <c r="P1810" s="6" t="n">
        <v>8</v>
      </c>
      <c r="Q1810" s="6" t="n">
        <v>17.57</v>
      </c>
      <c r="R1810" s="20" t="n">
        <f aca="false">(L1810-K1810)/K1810</f>
        <v>0.0134817170111288</v>
      </c>
    </row>
    <row r="1811" customFormat="false" ht="15" hidden="false" customHeight="false" outlineLevel="0" collapsed="false">
      <c r="A1811" s="6" t="s">
        <v>1973</v>
      </c>
      <c r="B1811" s="6" t="n">
        <v>55</v>
      </c>
      <c r="C1811" s="6" t="s">
        <v>159</v>
      </c>
      <c r="D1811" s="6" t="s">
        <v>144</v>
      </c>
      <c r="E1811" s="6" t="s">
        <v>89</v>
      </c>
      <c r="F1811" s="6" t="s">
        <v>151</v>
      </c>
      <c r="G1811" s="6" t="n">
        <v>31</v>
      </c>
      <c r="H1811" s="6" t="s">
        <v>82</v>
      </c>
      <c r="I1811" s="6" t="s">
        <v>81</v>
      </c>
      <c r="J1811" s="6" t="s">
        <v>60</v>
      </c>
      <c r="K1811" s="6" t="n">
        <v>59022</v>
      </c>
      <c r="L1811" s="6" t="n">
        <v>76178</v>
      </c>
      <c r="M1811" s="6" t="s">
        <v>146</v>
      </c>
      <c r="N1811" s="6" t="n">
        <v>45</v>
      </c>
      <c r="O1811" s="6" t="s">
        <v>58</v>
      </c>
      <c r="P1811" s="6" t="n">
        <v>4</v>
      </c>
      <c r="Q1811" s="6" t="n">
        <v>14.07</v>
      </c>
      <c r="R1811" s="20" t="n">
        <f aca="false">(L1811-K1811)/K1811</f>
        <v>0.290671275117753</v>
      </c>
    </row>
    <row r="1812" customFormat="false" ht="15" hidden="false" customHeight="false" outlineLevel="0" collapsed="false">
      <c r="A1812" s="6" t="s">
        <v>1974</v>
      </c>
      <c r="B1812" s="6" t="n">
        <v>41</v>
      </c>
      <c r="C1812" s="6" t="s">
        <v>139</v>
      </c>
      <c r="D1812" s="6" t="s">
        <v>135</v>
      </c>
      <c r="E1812" s="6" t="s">
        <v>87</v>
      </c>
      <c r="F1812" s="6" t="s">
        <v>149</v>
      </c>
      <c r="G1812" s="6" t="n">
        <v>15</v>
      </c>
      <c r="H1812" s="6" t="s">
        <v>81</v>
      </c>
      <c r="I1812" s="6" t="s">
        <v>81</v>
      </c>
      <c r="J1812" s="6" t="s">
        <v>58</v>
      </c>
      <c r="K1812" s="6" t="n">
        <v>85916</v>
      </c>
      <c r="L1812" s="6" t="n">
        <v>79191</v>
      </c>
      <c r="M1812" s="6" t="s">
        <v>146</v>
      </c>
      <c r="N1812" s="6" t="n">
        <v>38</v>
      </c>
      <c r="O1812" s="6" t="s">
        <v>58</v>
      </c>
      <c r="P1812" s="6" t="n">
        <v>6</v>
      </c>
      <c r="Q1812" s="6" t="n">
        <v>-2.28</v>
      </c>
      <c r="R1812" s="20" t="n">
        <f aca="false">(L1812-K1812)/K1812</f>
        <v>-0.0782741282182597</v>
      </c>
    </row>
    <row r="1813" customFormat="false" ht="15" hidden="false" customHeight="false" outlineLevel="0" collapsed="false">
      <c r="A1813" s="6" t="s">
        <v>1975</v>
      </c>
      <c r="B1813" s="6" t="n">
        <v>23</v>
      </c>
      <c r="C1813" s="6" t="s">
        <v>139</v>
      </c>
      <c r="D1813" s="6" t="s">
        <v>135</v>
      </c>
      <c r="E1813" s="6" t="s">
        <v>87</v>
      </c>
      <c r="F1813" s="6" t="s">
        <v>149</v>
      </c>
      <c r="G1813" s="6" t="n">
        <v>0</v>
      </c>
      <c r="H1813" s="6" t="s">
        <v>82</v>
      </c>
      <c r="I1813" s="6" t="s">
        <v>82</v>
      </c>
      <c r="J1813" s="6" t="s">
        <v>60</v>
      </c>
      <c r="K1813" s="6" t="n">
        <v>111049</v>
      </c>
      <c r="L1813" s="6" t="n">
        <v>99318</v>
      </c>
      <c r="M1813" s="6" t="s">
        <v>146</v>
      </c>
      <c r="N1813" s="6" t="n">
        <v>40</v>
      </c>
      <c r="O1813" s="6" t="s">
        <v>60</v>
      </c>
      <c r="P1813" s="6" t="n">
        <v>5</v>
      </c>
      <c r="Q1813" s="6" t="n">
        <v>18.57</v>
      </c>
      <c r="R1813" s="20" t="n">
        <f aca="false">(L1813-K1813)/K1813</f>
        <v>-0.105638051670884</v>
      </c>
    </row>
    <row r="1814" customFormat="false" ht="15" hidden="false" customHeight="false" outlineLevel="0" collapsed="false">
      <c r="A1814" s="6" t="s">
        <v>1976</v>
      </c>
      <c r="B1814" s="6" t="n">
        <v>59</v>
      </c>
      <c r="C1814" s="6" t="s">
        <v>134</v>
      </c>
      <c r="D1814" s="6" t="s">
        <v>140</v>
      </c>
      <c r="E1814" s="6" t="s">
        <v>88</v>
      </c>
      <c r="F1814" s="6" t="s">
        <v>234</v>
      </c>
      <c r="G1814" s="6" t="n">
        <v>35</v>
      </c>
      <c r="H1814" s="6" t="s">
        <v>82</v>
      </c>
      <c r="I1814" s="6" t="s">
        <v>82</v>
      </c>
      <c r="J1814" s="6" t="s">
        <v>58</v>
      </c>
      <c r="K1814" s="6" t="n">
        <v>84499</v>
      </c>
      <c r="L1814" s="6" t="n">
        <v>105407</v>
      </c>
      <c r="M1814" s="6" t="s">
        <v>137</v>
      </c>
      <c r="N1814" s="6" t="n">
        <v>40</v>
      </c>
      <c r="O1814" s="6" t="s">
        <v>58</v>
      </c>
      <c r="P1814" s="6" t="n">
        <v>7</v>
      </c>
      <c r="Q1814" s="6" t="n">
        <v>-7.68</v>
      </c>
      <c r="R1814" s="20" t="n">
        <f aca="false">(L1814-K1814)/K1814</f>
        <v>0.247434880886164</v>
      </c>
    </row>
    <row r="1815" customFormat="false" ht="15" hidden="false" customHeight="false" outlineLevel="0" collapsed="false">
      <c r="A1815" s="6" t="s">
        <v>1977</v>
      </c>
      <c r="B1815" s="6" t="n">
        <v>25</v>
      </c>
      <c r="C1815" s="6" t="s">
        <v>134</v>
      </c>
      <c r="D1815" s="6" t="s">
        <v>148</v>
      </c>
      <c r="E1815" s="6" t="s">
        <v>90</v>
      </c>
      <c r="F1815" s="6" t="s">
        <v>145</v>
      </c>
      <c r="G1815" s="6" t="n">
        <v>0</v>
      </c>
      <c r="H1815" s="6" t="s">
        <v>81</v>
      </c>
      <c r="I1815" s="6" t="s">
        <v>81</v>
      </c>
      <c r="J1815" s="6" t="s">
        <v>60</v>
      </c>
      <c r="K1815" s="6" t="n">
        <v>118131</v>
      </c>
      <c r="L1815" s="6" t="n">
        <v>111731</v>
      </c>
      <c r="M1815" s="6" t="s">
        <v>146</v>
      </c>
      <c r="N1815" s="6" t="n">
        <v>48</v>
      </c>
      <c r="O1815" s="6" t="s">
        <v>60</v>
      </c>
      <c r="P1815" s="6" t="n">
        <v>5</v>
      </c>
      <c r="Q1815" s="6" t="n">
        <v>-15.02</v>
      </c>
      <c r="R1815" s="20" t="n">
        <f aca="false">(L1815-K1815)/K1815</f>
        <v>-0.0541771423250459</v>
      </c>
    </row>
    <row r="1816" customFormat="false" ht="15" hidden="false" customHeight="false" outlineLevel="0" collapsed="false">
      <c r="A1816" s="6" t="s">
        <v>1978</v>
      </c>
      <c r="B1816" s="6" t="n">
        <v>50</v>
      </c>
      <c r="C1816" s="6" t="s">
        <v>159</v>
      </c>
      <c r="D1816" s="6" t="s">
        <v>148</v>
      </c>
      <c r="E1816" s="6" t="s">
        <v>92</v>
      </c>
      <c r="F1816" s="6" t="s">
        <v>222</v>
      </c>
      <c r="G1816" s="6" t="n">
        <v>27</v>
      </c>
      <c r="H1816" s="6" t="s">
        <v>81</v>
      </c>
      <c r="I1816" s="6" t="s">
        <v>81</v>
      </c>
      <c r="J1816" s="6" t="s">
        <v>60</v>
      </c>
      <c r="K1816" s="6" t="n">
        <v>33447</v>
      </c>
      <c r="L1816" s="6" t="n">
        <v>32983</v>
      </c>
      <c r="M1816" s="6" t="s">
        <v>146</v>
      </c>
      <c r="N1816" s="6" t="n">
        <v>45</v>
      </c>
      <c r="O1816" s="6" t="s">
        <v>58</v>
      </c>
      <c r="P1816" s="6" t="n">
        <v>6</v>
      </c>
      <c r="Q1816" s="6" t="n">
        <v>10.04</v>
      </c>
      <c r="R1816" s="20" t="n">
        <f aca="false">(L1816-K1816)/K1816</f>
        <v>-0.0138726941130744</v>
      </c>
    </row>
    <row r="1817" customFormat="false" ht="15" hidden="false" customHeight="false" outlineLevel="0" collapsed="false">
      <c r="A1817" s="6" t="s">
        <v>1979</v>
      </c>
      <c r="B1817" s="6" t="n">
        <v>37</v>
      </c>
      <c r="C1817" s="6" t="s">
        <v>139</v>
      </c>
      <c r="D1817" s="6" t="s">
        <v>135</v>
      </c>
      <c r="E1817" s="6" t="s">
        <v>92</v>
      </c>
      <c r="F1817" s="6" t="s">
        <v>192</v>
      </c>
      <c r="G1817" s="6" t="n">
        <v>14</v>
      </c>
      <c r="H1817" s="6" t="s">
        <v>81</v>
      </c>
      <c r="I1817" s="6" t="s">
        <v>80</v>
      </c>
      <c r="J1817" s="6" t="s">
        <v>58</v>
      </c>
      <c r="K1817" s="6" t="n">
        <v>72213</v>
      </c>
      <c r="L1817" s="6" t="n">
        <v>78497</v>
      </c>
      <c r="M1817" s="6" t="s">
        <v>142</v>
      </c>
      <c r="N1817" s="6" t="n">
        <v>42</v>
      </c>
      <c r="O1817" s="6" t="s">
        <v>60</v>
      </c>
      <c r="P1817" s="6" t="n">
        <v>8</v>
      </c>
      <c r="Q1817" s="6" t="n">
        <v>0.62</v>
      </c>
      <c r="R1817" s="20" t="n">
        <f aca="false">(L1817-K1817)/K1817</f>
        <v>0.0870203425975932</v>
      </c>
    </row>
    <row r="1818" customFormat="false" ht="15" hidden="false" customHeight="false" outlineLevel="0" collapsed="false">
      <c r="A1818" s="6" t="s">
        <v>1980</v>
      </c>
      <c r="B1818" s="6" t="n">
        <v>48</v>
      </c>
      <c r="C1818" s="6" t="s">
        <v>139</v>
      </c>
      <c r="D1818" s="6" t="s">
        <v>140</v>
      </c>
      <c r="E1818" s="6" t="s">
        <v>90</v>
      </c>
      <c r="F1818" s="6" t="s">
        <v>145</v>
      </c>
      <c r="G1818" s="6" t="n">
        <v>24</v>
      </c>
      <c r="H1818" s="6" t="s">
        <v>81</v>
      </c>
      <c r="I1818" s="6" t="s">
        <v>81</v>
      </c>
      <c r="J1818" s="6" t="s">
        <v>58</v>
      </c>
      <c r="K1818" s="6" t="n">
        <v>40712</v>
      </c>
      <c r="L1818" s="6" t="n">
        <v>44910</v>
      </c>
      <c r="M1818" s="6" t="s">
        <v>146</v>
      </c>
      <c r="N1818" s="6" t="n">
        <v>52</v>
      </c>
      <c r="O1818" s="6" t="s">
        <v>60</v>
      </c>
      <c r="P1818" s="6" t="n">
        <v>6</v>
      </c>
      <c r="Q1818" s="6" t="n">
        <v>8.56</v>
      </c>
      <c r="R1818" s="20" t="n">
        <f aca="false">(L1818-K1818)/K1818</f>
        <v>0.103114560817449</v>
      </c>
    </row>
    <row r="1819" customFormat="false" ht="15" hidden="false" customHeight="false" outlineLevel="0" collapsed="false">
      <c r="A1819" s="6" t="s">
        <v>1981</v>
      </c>
      <c r="B1819" s="6" t="n">
        <v>44</v>
      </c>
      <c r="C1819" s="6" t="s">
        <v>134</v>
      </c>
      <c r="D1819" s="6" t="s">
        <v>144</v>
      </c>
      <c r="E1819" s="6" t="s">
        <v>88</v>
      </c>
      <c r="F1819" s="6" t="s">
        <v>179</v>
      </c>
      <c r="G1819" s="6" t="n">
        <v>20</v>
      </c>
      <c r="H1819" s="6" t="s">
        <v>80</v>
      </c>
      <c r="I1819" s="6" t="s">
        <v>81</v>
      </c>
      <c r="J1819" s="6" t="s">
        <v>58</v>
      </c>
      <c r="K1819" s="6" t="n">
        <v>66972</v>
      </c>
      <c r="L1819" s="6" t="n">
        <v>72469</v>
      </c>
      <c r="M1819" s="6" t="s">
        <v>146</v>
      </c>
      <c r="N1819" s="6" t="n">
        <v>44</v>
      </c>
      <c r="O1819" s="6" t="s">
        <v>58</v>
      </c>
      <c r="P1819" s="6" t="n">
        <v>4</v>
      </c>
      <c r="Q1819" s="6" t="n">
        <v>-0.36</v>
      </c>
      <c r="R1819" s="20" t="n">
        <f aca="false">(L1819-K1819)/K1819</f>
        <v>0.0820790778235681</v>
      </c>
    </row>
    <row r="1820" customFormat="false" ht="15" hidden="false" customHeight="false" outlineLevel="0" collapsed="false">
      <c r="A1820" s="6" t="s">
        <v>1982</v>
      </c>
      <c r="B1820" s="6" t="n">
        <v>34</v>
      </c>
      <c r="C1820" s="6" t="s">
        <v>134</v>
      </c>
      <c r="D1820" s="6" t="s">
        <v>144</v>
      </c>
      <c r="E1820" s="6" t="s">
        <v>91</v>
      </c>
      <c r="F1820" s="6" t="s">
        <v>208</v>
      </c>
      <c r="G1820" s="6" t="n">
        <v>8</v>
      </c>
      <c r="H1820" s="6" t="s">
        <v>80</v>
      </c>
      <c r="I1820" s="6" t="s">
        <v>81</v>
      </c>
      <c r="J1820" s="6" t="s">
        <v>58</v>
      </c>
      <c r="K1820" s="6" t="n">
        <v>107413</v>
      </c>
      <c r="L1820" s="6" t="n">
        <v>102368</v>
      </c>
      <c r="M1820" s="6" t="s">
        <v>146</v>
      </c>
      <c r="N1820" s="6" t="n">
        <v>47</v>
      </c>
      <c r="O1820" s="6" t="s">
        <v>58</v>
      </c>
      <c r="P1820" s="6" t="n">
        <v>7</v>
      </c>
      <c r="Q1820" s="6" t="n">
        <v>11.44</v>
      </c>
      <c r="R1820" s="20" t="n">
        <f aca="false">(L1820-K1820)/K1820</f>
        <v>-0.0469682440672917</v>
      </c>
    </row>
    <row r="1821" customFormat="false" ht="15" hidden="false" customHeight="false" outlineLevel="0" collapsed="false">
      <c r="A1821" s="6" t="s">
        <v>1983</v>
      </c>
      <c r="B1821" s="6" t="n">
        <v>35</v>
      </c>
      <c r="C1821" s="6" t="s">
        <v>159</v>
      </c>
      <c r="D1821" s="6" t="s">
        <v>144</v>
      </c>
      <c r="E1821" s="6" t="s">
        <v>87</v>
      </c>
      <c r="F1821" s="6" t="s">
        <v>155</v>
      </c>
      <c r="G1821" s="6" t="n">
        <v>9</v>
      </c>
      <c r="H1821" s="6" t="s">
        <v>82</v>
      </c>
      <c r="I1821" s="6" t="s">
        <v>81</v>
      </c>
      <c r="J1821" s="6" t="s">
        <v>60</v>
      </c>
      <c r="K1821" s="6" t="n">
        <v>37240</v>
      </c>
      <c r="L1821" s="6" t="n">
        <v>30167</v>
      </c>
      <c r="M1821" s="6" t="s">
        <v>146</v>
      </c>
      <c r="N1821" s="6" t="n">
        <v>37</v>
      </c>
      <c r="O1821" s="6" t="s">
        <v>58</v>
      </c>
      <c r="P1821" s="6" t="n">
        <v>9</v>
      </c>
      <c r="Q1821" s="6" t="n">
        <v>11.21</v>
      </c>
      <c r="R1821" s="20" t="n">
        <f aca="false">(L1821-K1821)/K1821</f>
        <v>-0.189930182599356</v>
      </c>
    </row>
    <row r="1822" customFormat="false" ht="15" hidden="false" customHeight="false" outlineLevel="0" collapsed="false">
      <c r="A1822" s="6" t="s">
        <v>1984</v>
      </c>
      <c r="B1822" s="6" t="n">
        <v>54</v>
      </c>
      <c r="C1822" s="6" t="s">
        <v>139</v>
      </c>
      <c r="D1822" s="6" t="s">
        <v>140</v>
      </c>
      <c r="E1822" s="6" t="s">
        <v>89</v>
      </c>
      <c r="F1822" s="6" t="s">
        <v>151</v>
      </c>
      <c r="G1822" s="6" t="n">
        <v>30</v>
      </c>
      <c r="H1822" s="6" t="s">
        <v>80</v>
      </c>
      <c r="I1822" s="6" t="s">
        <v>82</v>
      </c>
      <c r="J1822" s="6" t="s">
        <v>58</v>
      </c>
      <c r="K1822" s="6" t="n">
        <v>117329</v>
      </c>
      <c r="L1822" s="6" t="n">
        <v>119136</v>
      </c>
      <c r="M1822" s="6" t="s">
        <v>142</v>
      </c>
      <c r="N1822" s="6" t="n">
        <v>48</v>
      </c>
      <c r="O1822" s="6" t="s">
        <v>58</v>
      </c>
      <c r="P1822" s="6" t="n">
        <v>3</v>
      </c>
      <c r="Q1822" s="6" t="n">
        <v>17.39</v>
      </c>
      <c r="R1822" s="20" t="n">
        <f aca="false">(L1822-K1822)/K1822</f>
        <v>0.0154011369738087</v>
      </c>
    </row>
    <row r="1823" customFormat="false" ht="15" hidden="false" customHeight="false" outlineLevel="0" collapsed="false">
      <c r="A1823" s="6" t="s">
        <v>1985</v>
      </c>
      <c r="B1823" s="6" t="n">
        <v>40</v>
      </c>
      <c r="C1823" s="6" t="s">
        <v>139</v>
      </c>
      <c r="D1823" s="6" t="s">
        <v>135</v>
      </c>
      <c r="E1823" s="6" t="s">
        <v>88</v>
      </c>
      <c r="F1823" s="6" t="s">
        <v>157</v>
      </c>
      <c r="G1823" s="6" t="n">
        <v>16</v>
      </c>
      <c r="H1823" s="6" t="s">
        <v>81</v>
      </c>
      <c r="I1823" s="6" t="s">
        <v>81</v>
      </c>
      <c r="J1823" s="6" t="s">
        <v>58</v>
      </c>
      <c r="K1823" s="6" t="n">
        <v>68197</v>
      </c>
      <c r="L1823" s="6" t="n">
        <v>70285</v>
      </c>
      <c r="M1823" s="6" t="s">
        <v>146</v>
      </c>
      <c r="N1823" s="6" t="n">
        <v>53</v>
      </c>
      <c r="O1823" s="6" t="s">
        <v>58</v>
      </c>
      <c r="P1823" s="6" t="n">
        <v>5</v>
      </c>
      <c r="Q1823" s="6" t="n">
        <v>-2.32</v>
      </c>
      <c r="R1823" s="20" t="n">
        <f aca="false">(L1823-K1823)/K1823</f>
        <v>0.0306171825740135</v>
      </c>
    </row>
    <row r="1824" customFormat="false" ht="15" hidden="false" customHeight="false" outlineLevel="0" collapsed="false">
      <c r="A1824" s="6" t="s">
        <v>1986</v>
      </c>
      <c r="B1824" s="6" t="n">
        <v>40</v>
      </c>
      <c r="C1824" s="6" t="s">
        <v>139</v>
      </c>
      <c r="D1824" s="6" t="s">
        <v>135</v>
      </c>
      <c r="E1824" s="6" t="s">
        <v>88</v>
      </c>
      <c r="F1824" s="6" t="s">
        <v>234</v>
      </c>
      <c r="G1824" s="6" t="n">
        <v>18</v>
      </c>
      <c r="H1824" s="6" t="s">
        <v>82</v>
      </c>
      <c r="I1824" s="6" t="s">
        <v>81</v>
      </c>
      <c r="J1824" s="6" t="s">
        <v>60</v>
      </c>
      <c r="K1824" s="6" t="n">
        <v>30434</v>
      </c>
      <c r="L1824" s="6" t="n">
        <v>28954</v>
      </c>
      <c r="M1824" s="6" t="s">
        <v>146</v>
      </c>
      <c r="N1824" s="6" t="n">
        <v>39</v>
      </c>
      <c r="O1824" s="6" t="s">
        <v>60</v>
      </c>
      <c r="P1824" s="6" t="n">
        <v>8</v>
      </c>
      <c r="Q1824" s="6" t="n">
        <v>4.88</v>
      </c>
      <c r="R1824" s="20" t="n">
        <f aca="false">(L1824-K1824)/K1824</f>
        <v>-0.0486298219097063</v>
      </c>
    </row>
    <row r="1825" customFormat="false" ht="15" hidden="false" customHeight="false" outlineLevel="0" collapsed="false">
      <c r="A1825" s="6" t="s">
        <v>1987</v>
      </c>
      <c r="B1825" s="6" t="n">
        <v>29</v>
      </c>
      <c r="C1825" s="6" t="s">
        <v>159</v>
      </c>
      <c r="D1825" s="6" t="s">
        <v>135</v>
      </c>
      <c r="E1825" s="6" t="s">
        <v>90</v>
      </c>
      <c r="F1825" s="6" t="s">
        <v>236</v>
      </c>
      <c r="G1825" s="6" t="n">
        <v>6</v>
      </c>
      <c r="H1825" s="6" t="s">
        <v>80</v>
      </c>
      <c r="I1825" s="6" t="s">
        <v>82</v>
      </c>
      <c r="J1825" s="6" t="s">
        <v>58</v>
      </c>
      <c r="K1825" s="6" t="n">
        <v>69115</v>
      </c>
      <c r="L1825" s="6" t="n">
        <v>72165</v>
      </c>
      <c r="M1825" s="6" t="s">
        <v>142</v>
      </c>
      <c r="N1825" s="6" t="n">
        <v>44</v>
      </c>
      <c r="O1825" s="6" t="s">
        <v>58</v>
      </c>
      <c r="P1825" s="6" t="n">
        <v>5</v>
      </c>
      <c r="Q1825" s="6" t="n">
        <v>-0.69</v>
      </c>
      <c r="R1825" s="20" t="n">
        <f aca="false">(L1825-K1825)/K1825</f>
        <v>0.0441293496346669</v>
      </c>
    </row>
    <row r="1826" customFormat="false" ht="15" hidden="false" customHeight="false" outlineLevel="0" collapsed="false">
      <c r="A1826" s="6" t="s">
        <v>1988</v>
      </c>
      <c r="B1826" s="6" t="n">
        <v>41</v>
      </c>
      <c r="C1826" s="6" t="s">
        <v>159</v>
      </c>
      <c r="D1826" s="6" t="s">
        <v>140</v>
      </c>
      <c r="E1826" s="6" t="s">
        <v>88</v>
      </c>
      <c r="F1826" s="6" t="s">
        <v>234</v>
      </c>
      <c r="G1826" s="6" t="n">
        <v>15</v>
      </c>
      <c r="H1826" s="6" t="s">
        <v>80</v>
      </c>
      <c r="I1826" s="6" t="s">
        <v>80</v>
      </c>
      <c r="J1826" s="6" t="s">
        <v>60</v>
      </c>
      <c r="K1826" s="6" t="n">
        <v>90669</v>
      </c>
      <c r="L1826" s="6" t="n">
        <v>90267</v>
      </c>
      <c r="M1826" s="6" t="s">
        <v>142</v>
      </c>
      <c r="N1826" s="6" t="n">
        <v>36</v>
      </c>
      <c r="O1826" s="6" t="s">
        <v>60</v>
      </c>
      <c r="P1826" s="6" t="n">
        <v>7</v>
      </c>
      <c r="Q1826" s="6" t="n">
        <v>10.57</v>
      </c>
      <c r="R1826" s="20" t="n">
        <f aca="false">(L1826-K1826)/K1826</f>
        <v>-0.00443370942659564</v>
      </c>
    </row>
    <row r="1827" customFormat="false" ht="15" hidden="false" customHeight="false" outlineLevel="0" collapsed="false">
      <c r="A1827" s="6" t="s">
        <v>1989</v>
      </c>
      <c r="B1827" s="6" t="n">
        <v>43</v>
      </c>
      <c r="C1827" s="6" t="s">
        <v>159</v>
      </c>
      <c r="D1827" s="6" t="s">
        <v>135</v>
      </c>
      <c r="E1827" s="6" t="s">
        <v>92</v>
      </c>
      <c r="F1827" s="6" t="s">
        <v>192</v>
      </c>
      <c r="G1827" s="6" t="n">
        <v>19</v>
      </c>
      <c r="H1827" s="6" t="s">
        <v>81</v>
      </c>
      <c r="I1827" s="6" t="s">
        <v>80</v>
      </c>
      <c r="J1827" s="6" t="s">
        <v>58</v>
      </c>
      <c r="K1827" s="6" t="n">
        <v>75891</v>
      </c>
      <c r="L1827" s="6" t="n">
        <v>68901</v>
      </c>
      <c r="M1827" s="6" t="s">
        <v>142</v>
      </c>
      <c r="N1827" s="6" t="n">
        <v>49</v>
      </c>
      <c r="O1827" s="6" t="s">
        <v>60</v>
      </c>
      <c r="P1827" s="6" t="n">
        <v>6</v>
      </c>
      <c r="Q1827" s="6" t="n">
        <v>24.35</v>
      </c>
      <c r="R1827" s="20" t="n">
        <f aca="false">(L1827-K1827)/K1827</f>
        <v>-0.0921057832944618</v>
      </c>
    </row>
    <row r="1828" customFormat="false" ht="15" hidden="false" customHeight="false" outlineLevel="0" collapsed="false">
      <c r="A1828" s="6" t="s">
        <v>1990</v>
      </c>
      <c r="B1828" s="6" t="n">
        <v>30</v>
      </c>
      <c r="C1828" s="6" t="s">
        <v>139</v>
      </c>
      <c r="D1828" s="6" t="s">
        <v>144</v>
      </c>
      <c r="E1828" s="6" t="s">
        <v>88</v>
      </c>
      <c r="F1828" s="6" t="s">
        <v>179</v>
      </c>
      <c r="G1828" s="6" t="n">
        <v>4</v>
      </c>
      <c r="H1828" s="6" t="s">
        <v>81</v>
      </c>
      <c r="I1828" s="6" t="s">
        <v>81</v>
      </c>
      <c r="J1828" s="6" t="s">
        <v>60</v>
      </c>
      <c r="K1828" s="6" t="n">
        <v>47974</v>
      </c>
      <c r="L1828" s="6" t="n">
        <v>52381</v>
      </c>
      <c r="M1828" s="6" t="s">
        <v>146</v>
      </c>
      <c r="N1828" s="6" t="n">
        <v>51</v>
      </c>
      <c r="O1828" s="6" t="s">
        <v>58</v>
      </c>
      <c r="P1828" s="6" t="n">
        <v>9</v>
      </c>
      <c r="Q1828" s="6" t="n">
        <v>-15.97</v>
      </c>
      <c r="R1828" s="20" t="n">
        <f aca="false">(L1828-K1828)/K1828</f>
        <v>0.0918622587234752</v>
      </c>
    </row>
    <row r="1829" customFormat="false" ht="15" hidden="false" customHeight="false" outlineLevel="0" collapsed="false">
      <c r="A1829" s="6" t="s">
        <v>1991</v>
      </c>
      <c r="B1829" s="6" t="n">
        <v>30</v>
      </c>
      <c r="C1829" s="6" t="s">
        <v>134</v>
      </c>
      <c r="D1829" s="6" t="s">
        <v>135</v>
      </c>
      <c r="E1829" s="6" t="s">
        <v>91</v>
      </c>
      <c r="F1829" s="6" t="s">
        <v>208</v>
      </c>
      <c r="G1829" s="6" t="n">
        <v>8</v>
      </c>
      <c r="H1829" s="6" t="s">
        <v>81</v>
      </c>
      <c r="I1829" s="6" t="s">
        <v>81</v>
      </c>
      <c r="J1829" s="6" t="s">
        <v>60</v>
      </c>
      <c r="K1829" s="6" t="n">
        <v>97136</v>
      </c>
      <c r="L1829" s="6" t="n">
        <v>96814</v>
      </c>
      <c r="M1829" s="6" t="s">
        <v>146</v>
      </c>
      <c r="N1829" s="6" t="n">
        <v>40</v>
      </c>
      <c r="O1829" s="6" t="s">
        <v>60</v>
      </c>
      <c r="P1829" s="6" t="n">
        <v>6</v>
      </c>
      <c r="Q1829" s="6" t="n">
        <v>13.47</v>
      </c>
      <c r="R1829" s="20" t="n">
        <f aca="false">(L1829-K1829)/K1829</f>
        <v>-0.00331493987810904</v>
      </c>
    </row>
    <row r="1830" customFormat="false" ht="15" hidden="false" customHeight="false" outlineLevel="0" collapsed="false">
      <c r="A1830" s="6" t="s">
        <v>1992</v>
      </c>
      <c r="B1830" s="6" t="n">
        <v>47</v>
      </c>
      <c r="C1830" s="6" t="s">
        <v>159</v>
      </c>
      <c r="D1830" s="6" t="s">
        <v>140</v>
      </c>
      <c r="E1830" s="6" t="s">
        <v>90</v>
      </c>
      <c r="F1830" s="6" t="s">
        <v>145</v>
      </c>
      <c r="G1830" s="6" t="n">
        <v>22</v>
      </c>
      <c r="H1830" s="6" t="s">
        <v>80</v>
      </c>
      <c r="I1830" s="6" t="s">
        <v>80</v>
      </c>
      <c r="J1830" s="6" t="s">
        <v>60</v>
      </c>
      <c r="K1830" s="6" t="n">
        <v>73815</v>
      </c>
      <c r="L1830" s="6" t="n">
        <v>76757</v>
      </c>
      <c r="M1830" s="6" t="s">
        <v>142</v>
      </c>
      <c r="N1830" s="6" t="n">
        <v>38</v>
      </c>
      <c r="O1830" s="6" t="s">
        <v>60</v>
      </c>
      <c r="P1830" s="6" t="n">
        <v>5</v>
      </c>
      <c r="Q1830" s="6" t="n">
        <v>39.53</v>
      </c>
      <c r="R1830" s="20" t="n">
        <f aca="false">(L1830-K1830)/K1830</f>
        <v>0.0398563977511346</v>
      </c>
    </row>
    <row r="1831" customFormat="false" ht="15" hidden="false" customHeight="false" outlineLevel="0" collapsed="false">
      <c r="A1831" s="6" t="s">
        <v>1993</v>
      </c>
      <c r="B1831" s="6" t="n">
        <v>42</v>
      </c>
      <c r="C1831" s="6" t="s">
        <v>139</v>
      </c>
      <c r="D1831" s="6" t="s">
        <v>148</v>
      </c>
      <c r="E1831" s="6" t="s">
        <v>90</v>
      </c>
      <c r="F1831" s="6" t="s">
        <v>145</v>
      </c>
      <c r="G1831" s="6" t="n">
        <v>19</v>
      </c>
      <c r="H1831" s="6" t="s">
        <v>82</v>
      </c>
      <c r="I1831" s="6" t="s">
        <v>80</v>
      </c>
      <c r="J1831" s="6" t="s">
        <v>58</v>
      </c>
      <c r="K1831" s="6" t="n">
        <v>72082</v>
      </c>
      <c r="L1831" s="6" t="n">
        <v>82860</v>
      </c>
      <c r="M1831" s="6" t="s">
        <v>142</v>
      </c>
      <c r="N1831" s="6" t="n">
        <v>40</v>
      </c>
      <c r="O1831" s="6" t="s">
        <v>60</v>
      </c>
      <c r="P1831" s="6" t="n">
        <v>7</v>
      </c>
      <c r="Q1831" s="6" t="n">
        <v>-15.74</v>
      </c>
      <c r="R1831" s="20" t="n">
        <f aca="false">(L1831-K1831)/K1831</f>
        <v>0.149524153047918</v>
      </c>
    </row>
    <row r="1832" customFormat="false" ht="15" hidden="false" customHeight="false" outlineLevel="0" collapsed="false">
      <c r="A1832" s="6" t="s">
        <v>1994</v>
      </c>
      <c r="B1832" s="6" t="n">
        <v>59</v>
      </c>
      <c r="C1832" s="6" t="s">
        <v>139</v>
      </c>
      <c r="D1832" s="6" t="s">
        <v>144</v>
      </c>
      <c r="E1832" s="6" t="s">
        <v>90</v>
      </c>
      <c r="F1832" s="6" t="s">
        <v>236</v>
      </c>
      <c r="G1832" s="6" t="n">
        <v>36</v>
      </c>
      <c r="H1832" s="6" t="s">
        <v>81</v>
      </c>
      <c r="I1832" s="6" t="s">
        <v>82</v>
      </c>
      <c r="J1832" s="6" t="s">
        <v>60</v>
      </c>
      <c r="K1832" s="6" t="n">
        <v>96332</v>
      </c>
      <c r="L1832" s="6" t="n">
        <v>103947</v>
      </c>
      <c r="M1832" s="6" t="s">
        <v>142</v>
      </c>
      <c r="N1832" s="6" t="n">
        <v>51</v>
      </c>
      <c r="O1832" s="6" t="s">
        <v>58</v>
      </c>
      <c r="P1832" s="6" t="n">
        <v>3</v>
      </c>
      <c r="Q1832" s="6" t="n">
        <v>5.67</v>
      </c>
      <c r="R1832" s="20" t="n">
        <f aca="false">(L1832-K1832)/K1832</f>
        <v>0.0790495370178134</v>
      </c>
    </row>
    <row r="1833" customFormat="false" ht="15" hidden="false" customHeight="false" outlineLevel="0" collapsed="false">
      <c r="A1833" s="6" t="s">
        <v>1995</v>
      </c>
      <c r="B1833" s="6" t="n">
        <v>39</v>
      </c>
      <c r="C1833" s="6" t="s">
        <v>134</v>
      </c>
      <c r="D1833" s="6" t="s">
        <v>140</v>
      </c>
      <c r="E1833" s="6" t="s">
        <v>91</v>
      </c>
      <c r="F1833" s="6" t="s">
        <v>206</v>
      </c>
      <c r="G1833" s="6" t="n">
        <v>17</v>
      </c>
      <c r="H1833" s="6" t="s">
        <v>80</v>
      </c>
      <c r="I1833" s="6" t="s">
        <v>81</v>
      </c>
      <c r="J1833" s="6" t="s">
        <v>58</v>
      </c>
      <c r="K1833" s="6" t="n">
        <v>57044</v>
      </c>
      <c r="L1833" s="6" t="n">
        <v>61204</v>
      </c>
      <c r="M1833" s="6" t="s">
        <v>146</v>
      </c>
      <c r="N1833" s="6" t="n">
        <v>50</v>
      </c>
      <c r="O1833" s="6" t="s">
        <v>60</v>
      </c>
      <c r="P1833" s="6" t="n">
        <v>6</v>
      </c>
      <c r="Q1833" s="6" t="n">
        <v>29.52</v>
      </c>
      <c r="R1833" s="20" t="n">
        <f aca="false">(L1833-K1833)/K1833</f>
        <v>0.072926162260711</v>
      </c>
    </row>
    <row r="1834" customFormat="false" ht="15" hidden="false" customHeight="false" outlineLevel="0" collapsed="false">
      <c r="A1834" s="6" t="s">
        <v>1996</v>
      </c>
      <c r="B1834" s="6" t="n">
        <v>41</v>
      </c>
      <c r="C1834" s="6" t="s">
        <v>134</v>
      </c>
      <c r="D1834" s="6" t="s">
        <v>140</v>
      </c>
      <c r="E1834" s="6" t="s">
        <v>91</v>
      </c>
      <c r="F1834" s="6" t="s">
        <v>141</v>
      </c>
      <c r="G1834" s="6" t="n">
        <v>19</v>
      </c>
      <c r="H1834" s="6" t="s">
        <v>80</v>
      </c>
      <c r="I1834" s="6" t="s">
        <v>80</v>
      </c>
      <c r="J1834" s="6" t="s">
        <v>58</v>
      </c>
      <c r="K1834" s="6" t="n">
        <v>65200</v>
      </c>
      <c r="L1834" s="6" t="n">
        <v>65076</v>
      </c>
      <c r="M1834" s="6" t="s">
        <v>142</v>
      </c>
      <c r="N1834" s="6" t="n">
        <v>43</v>
      </c>
      <c r="O1834" s="6" t="s">
        <v>58</v>
      </c>
      <c r="P1834" s="6" t="n">
        <v>8</v>
      </c>
      <c r="Q1834" s="6" t="n">
        <v>19.53</v>
      </c>
      <c r="R1834" s="20" t="n">
        <f aca="false">(L1834-K1834)/K1834</f>
        <v>-0.00190184049079755</v>
      </c>
    </row>
    <row r="1835" customFormat="false" ht="15" hidden="false" customHeight="false" outlineLevel="0" collapsed="false">
      <c r="A1835" s="6" t="s">
        <v>1997</v>
      </c>
      <c r="B1835" s="6" t="n">
        <v>40</v>
      </c>
      <c r="C1835" s="6" t="s">
        <v>159</v>
      </c>
      <c r="D1835" s="6" t="s">
        <v>144</v>
      </c>
      <c r="E1835" s="6" t="s">
        <v>92</v>
      </c>
      <c r="F1835" s="6" t="s">
        <v>222</v>
      </c>
      <c r="G1835" s="6" t="n">
        <v>14</v>
      </c>
      <c r="H1835" s="6" t="s">
        <v>82</v>
      </c>
      <c r="I1835" s="6" t="s">
        <v>81</v>
      </c>
      <c r="J1835" s="6" t="s">
        <v>58</v>
      </c>
      <c r="K1835" s="6" t="n">
        <v>93853</v>
      </c>
      <c r="L1835" s="6" t="n">
        <v>97714</v>
      </c>
      <c r="M1835" s="6" t="s">
        <v>146</v>
      </c>
      <c r="N1835" s="6" t="n">
        <v>41</v>
      </c>
      <c r="O1835" s="6" t="s">
        <v>58</v>
      </c>
      <c r="P1835" s="6" t="n">
        <v>6</v>
      </c>
      <c r="Q1835" s="6" t="n">
        <v>14.54</v>
      </c>
      <c r="R1835" s="20" t="n">
        <f aca="false">(L1835-K1835)/K1835</f>
        <v>0.0411388021693499</v>
      </c>
    </row>
    <row r="1836" customFormat="false" ht="15" hidden="false" customHeight="false" outlineLevel="0" collapsed="false">
      <c r="A1836" s="6" t="s">
        <v>1998</v>
      </c>
      <c r="B1836" s="6" t="n">
        <v>33</v>
      </c>
      <c r="C1836" s="6" t="s">
        <v>134</v>
      </c>
      <c r="D1836" s="6" t="s">
        <v>135</v>
      </c>
      <c r="E1836" s="6" t="s">
        <v>88</v>
      </c>
      <c r="F1836" s="6" t="s">
        <v>157</v>
      </c>
      <c r="G1836" s="6" t="n">
        <v>9</v>
      </c>
      <c r="H1836" s="6" t="s">
        <v>82</v>
      </c>
      <c r="I1836" s="6" t="s">
        <v>81</v>
      </c>
      <c r="J1836" s="6" t="s">
        <v>58</v>
      </c>
      <c r="K1836" s="6" t="n">
        <v>61661</v>
      </c>
      <c r="L1836" s="6" t="n">
        <v>81082</v>
      </c>
      <c r="M1836" s="6" t="s">
        <v>146</v>
      </c>
      <c r="N1836" s="6" t="n">
        <v>52</v>
      </c>
      <c r="O1836" s="6" t="s">
        <v>60</v>
      </c>
      <c r="P1836" s="6" t="n">
        <v>6</v>
      </c>
      <c r="Q1836" s="6" t="n">
        <v>-1.41</v>
      </c>
      <c r="R1836" s="20" t="n">
        <f aca="false">(L1836-K1836)/K1836</f>
        <v>0.31496407778012</v>
      </c>
    </row>
    <row r="1837" customFormat="false" ht="15" hidden="false" customHeight="false" outlineLevel="0" collapsed="false">
      <c r="A1837" s="6" t="s">
        <v>1999</v>
      </c>
      <c r="B1837" s="6" t="n">
        <v>56</v>
      </c>
      <c r="C1837" s="6" t="s">
        <v>134</v>
      </c>
      <c r="D1837" s="6" t="s">
        <v>135</v>
      </c>
      <c r="E1837" s="6" t="s">
        <v>87</v>
      </c>
      <c r="F1837" s="6" t="s">
        <v>149</v>
      </c>
      <c r="G1837" s="6" t="n">
        <v>33</v>
      </c>
      <c r="H1837" s="6" t="s">
        <v>81</v>
      </c>
      <c r="I1837" s="6" t="s">
        <v>82</v>
      </c>
      <c r="J1837" s="6" t="s">
        <v>58</v>
      </c>
      <c r="K1837" s="6" t="n">
        <v>107605</v>
      </c>
      <c r="L1837" s="6" t="n">
        <v>113667</v>
      </c>
      <c r="M1837" s="6" t="s">
        <v>142</v>
      </c>
      <c r="N1837" s="6" t="n">
        <v>54</v>
      </c>
      <c r="O1837" s="6" t="s">
        <v>58</v>
      </c>
      <c r="P1837" s="6" t="n">
        <v>3</v>
      </c>
      <c r="Q1837" s="6" t="n">
        <v>39.83</v>
      </c>
      <c r="R1837" s="20" t="n">
        <f aca="false">(L1837-K1837)/K1837</f>
        <v>0.0563356721341945</v>
      </c>
    </row>
    <row r="1838" customFormat="false" ht="15" hidden="false" customHeight="false" outlineLevel="0" collapsed="false">
      <c r="A1838" s="6" t="s">
        <v>2000</v>
      </c>
      <c r="B1838" s="6" t="n">
        <v>36</v>
      </c>
      <c r="C1838" s="6" t="s">
        <v>159</v>
      </c>
      <c r="D1838" s="6" t="s">
        <v>144</v>
      </c>
      <c r="E1838" s="6" t="s">
        <v>91</v>
      </c>
      <c r="F1838" s="6" t="s">
        <v>141</v>
      </c>
      <c r="G1838" s="6" t="n">
        <v>10</v>
      </c>
      <c r="H1838" s="6" t="s">
        <v>81</v>
      </c>
      <c r="I1838" s="6" t="s">
        <v>82</v>
      </c>
      <c r="J1838" s="6" t="s">
        <v>58</v>
      </c>
      <c r="K1838" s="6" t="n">
        <v>83013</v>
      </c>
      <c r="L1838" s="6" t="n">
        <v>89412</v>
      </c>
      <c r="M1838" s="6" t="s">
        <v>142</v>
      </c>
      <c r="N1838" s="6" t="n">
        <v>48</v>
      </c>
      <c r="O1838" s="6" t="s">
        <v>60</v>
      </c>
      <c r="P1838" s="6" t="n">
        <v>5</v>
      </c>
      <c r="Q1838" s="6" t="n">
        <v>17.8</v>
      </c>
      <c r="R1838" s="20" t="n">
        <f aca="false">(L1838-K1838)/K1838</f>
        <v>0.0770843120956959</v>
      </c>
    </row>
    <row r="1839" customFormat="false" ht="15" hidden="false" customHeight="false" outlineLevel="0" collapsed="false">
      <c r="A1839" s="6" t="s">
        <v>2001</v>
      </c>
      <c r="B1839" s="6" t="n">
        <v>59</v>
      </c>
      <c r="C1839" s="6" t="s">
        <v>134</v>
      </c>
      <c r="D1839" s="6" t="s">
        <v>144</v>
      </c>
      <c r="E1839" s="6" t="s">
        <v>88</v>
      </c>
      <c r="F1839" s="6" t="s">
        <v>234</v>
      </c>
      <c r="G1839" s="6" t="n">
        <v>36</v>
      </c>
      <c r="H1839" s="6" t="s">
        <v>82</v>
      </c>
      <c r="I1839" s="6" t="s">
        <v>82</v>
      </c>
      <c r="J1839" s="6" t="s">
        <v>58</v>
      </c>
      <c r="K1839" s="6" t="n">
        <v>105911</v>
      </c>
      <c r="L1839" s="6" t="n">
        <v>99018</v>
      </c>
      <c r="M1839" s="6" t="s">
        <v>137</v>
      </c>
      <c r="N1839" s="6" t="n">
        <v>45</v>
      </c>
      <c r="O1839" s="6" t="s">
        <v>60</v>
      </c>
      <c r="P1839" s="6" t="n">
        <v>6</v>
      </c>
      <c r="Q1839" s="6" t="n">
        <v>-3.71</v>
      </c>
      <c r="R1839" s="20" t="n">
        <f aca="false">(L1839-K1839)/K1839</f>
        <v>-0.0650829470026721</v>
      </c>
    </row>
    <row r="1840" customFormat="false" ht="15" hidden="false" customHeight="false" outlineLevel="0" collapsed="false">
      <c r="A1840" s="6" t="s">
        <v>2002</v>
      </c>
      <c r="B1840" s="6" t="n">
        <v>27</v>
      </c>
      <c r="C1840" s="6" t="s">
        <v>139</v>
      </c>
      <c r="D1840" s="6" t="s">
        <v>135</v>
      </c>
      <c r="E1840" s="6" t="s">
        <v>89</v>
      </c>
      <c r="F1840" s="6" t="s">
        <v>162</v>
      </c>
      <c r="G1840" s="6" t="n">
        <v>2</v>
      </c>
      <c r="H1840" s="6" t="s">
        <v>81</v>
      </c>
      <c r="I1840" s="6" t="s">
        <v>80</v>
      </c>
      <c r="J1840" s="6" t="s">
        <v>58</v>
      </c>
      <c r="K1840" s="6" t="n">
        <v>83790</v>
      </c>
      <c r="L1840" s="6" t="n">
        <v>85713</v>
      </c>
      <c r="M1840" s="6" t="s">
        <v>142</v>
      </c>
      <c r="N1840" s="6" t="n">
        <v>43</v>
      </c>
      <c r="O1840" s="6" t="s">
        <v>58</v>
      </c>
      <c r="P1840" s="6" t="n">
        <v>4</v>
      </c>
      <c r="Q1840" s="6" t="n">
        <v>39.45</v>
      </c>
      <c r="R1840" s="20" t="n">
        <f aca="false">(L1840-K1840)/K1840</f>
        <v>0.0229502327246688</v>
      </c>
    </row>
    <row r="1841" customFormat="false" ht="15" hidden="false" customHeight="false" outlineLevel="0" collapsed="false">
      <c r="A1841" s="6" t="s">
        <v>2003</v>
      </c>
      <c r="B1841" s="6" t="n">
        <v>38</v>
      </c>
      <c r="C1841" s="6" t="s">
        <v>134</v>
      </c>
      <c r="D1841" s="6" t="s">
        <v>144</v>
      </c>
      <c r="E1841" s="6" t="s">
        <v>90</v>
      </c>
      <c r="F1841" s="6" t="s">
        <v>145</v>
      </c>
      <c r="G1841" s="6" t="n">
        <v>13</v>
      </c>
      <c r="H1841" s="6" t="s">
        <v>80</v>
      </c>
      <c r="I1841" s="6" t="s">
        <v>82</v>
      </c>
      <c r="J1841" s="6" t="s">
        <v>60</v>
      </c>
      <c r="K1841" s="6" t="n">
        <v>117084</v>
      </c>
      <c r="L1841" s="6" t="n">
        <v>119609</v>
      </c>
      <c r="M1841" s="6" t="s">
        <v>142</v>
      </c>
      <c r="N1841" s="6" t="n">
        <v>40</v>
      </c>
      <c r="O1841" s="6" t="s">
        <v>58</v>
      </c>
      <c r="P1841" s="6" t="n">
        <v>5</v>
      </c>
      <c r="Q1841" s="6" t="n">
        <v>-10.34</v>
      </c>
      <c r="R1841" s="20" t="n">
        <f aca="false">(L1841-K1841)/K1841</f>
        <v>0.0215657135048341</v>
      </c>
    </row>
    <row r="1842" customFormat="false" ht="15" hidden="false" customHeight="false" outlineLevel="0" collapsed="false">
      <c r="A1842" s="6" t="s">
        <v>2004</v>
      </c>
      <c r="B1842" s="6" t="n">
        <v>51</v>
      </c>
      <c r="C1842" s="6" t="s">
        <v>139</v>
      </c>
      <c r="D1842" s="6" t="s">
        <v>135</v>
      </c>
      <c r="E1842" s="6" t="s">
        <v>92</v>
      </c>
      <c r="F1842" s="6" t="s">
        <v>192</v>
      </c>
      <c r="G1842" s="6" t="n">
        <v>26</v>
      </c>
      <c r="H1842" s="6" t="s">
        <v>82</v>
      </c>
      <c r="I1842" s="6" t="s">
        <v>81</v>
      </c>
      <c r="J1842" s="6" t="s">
        <v>58</v>
      </c>
      <c r="K1842" s="6" t="n">
        <v>78328</v>
      </c>
      <c r="L1842" s="6" t="n">
        <v>103066</v>
      </c>
      <c r="M1842" s="6" t="s">
        <v>146</v>
      </c>
      <c r="N1842" s="6" t="n">
        <v>54</v>
      </c>
      <c r="O1842" s="6" t="s">
        <v>60</v>
      </c>
      <c r="P1842" s="6" t="n">
        <v>6</v>
      </c>
      <c r="Q1842" s="6" t="n">
        <v>22.01</v>
      </c>
      <c r="R1842" s="20" t="n">
        <f aca="false">(L1842-K1842)/K1842</f>
        <v>0.315825758349505</v>
      </c>
    </row>
    <row r="1843" customFormat="false" ht="15" hidden="false" customHeight="false" outlineLevel="0" collapsed="false">
      <c r="A1843" s="6" t="s">
        <v>2005</v>
      </c>
      <c r="B1843" s="6" t="n">
        <v>23</v>
      </c>
      <c r="C1843" s="6" t="s">
        <v>139</v>
      </c>
      <c r="D1843" s="6" t="s">
        <v>148</v>
      </c>
      <c r="E1843" s="6" t="s">
        <v>91</v>
      </c>
      <c r="F1843" s="6" t="s">
        <v>206</v>
      </c>
      <c r="G1843" s="6" t="n">
        <v>0</v>
      </c>
      <c r="H1843" s="6" t="s">
        <v>82</v>
      </c>
      <c r="I1843" s="6" t="s">
        <v>82</v>
      </c>
      <c r="J1843" s="6" t="s">
        <v>58</v>
      </c>
      <c r="K1843" s="6" t="n">
        <v>82771</v>
      </c>
      <c r="L1843" s="6" t="n">
        <v>94216</v>
      </c>
      <c r="M1843" s="6" t="s">
        <v>146</v>
      </c>
      <c r="N1843" s="6" t="n">
        <v>43</v>
      </c>
      <c r="O1843" s="6" t="s">
        <v>60</v>
      </c>
      <c r="P1843" s="6" t="n">
        <v>8</v>
      </c>
      <c r="Q1843" s="6" t="n">
        <v>-7.36</v>
      </c>
      <c r="R1843" s="20" t="n">
        <f aca="false">(L1843-K1843)/K1843</f>
        <v>0.13827306665378</v>
      </c>
    </row>
    <row r="1844" customFormat="false" ht="15" hidden="false" customHeight="false" outlineLevel="0" collapsed="false">
      <c r="A1844" s="6" t="s">
        <v>2006</v>
      </c>
      <c r="B1844" s="6" t="n">
        <v>22</v>
      </c>
      <c r="C1844" s="6" t="s">
        <v>134</v>
      </c>
      <c r="D1844" s="6" t="s">
        <v>148</v>
      </c>
      <c r="E1844" s="6" t="s">
        <v>93</v>
      </c>
      <c r="F1844" s="6" t="s">
        <v>164</v>
      </c>
      <c r="G1844" s="6" t="n">
        <v>0</v>
      </c>
      <c r="H1844" s="6" t="s">
        <v>80</v>
      </c>
      <c r="I1844" s="6" t="s">
        <v>80</v>
      </c>
      <c r="J1844" s="6" t="s">
        <v>58</v>
      </c>
      <c r="K1844" s="6" t="n">
        <v>68862</v>
      </c>
      <c r="L1844" s="6" t="n">
        <v>74956</v>
      </c>
      <c r="M1844" s="6" t="s">
        <v>142</v>
      </c>
      <c r="N1844" s="6" t="n">
        <v>48</v>
      </c>
      <c r="O1844" s="6" t="s">
        <v>58</v>
      </c>
      <c r="P1844" s="6" t="n">
        <v>8</v>
      </c>
      <c r="Q1844" s="6" t="n">
        <v>5.04</v>
      </c>
      <c r="R1844" s="20" t="n">
        <f aca="false">(L1844-K1844)/K1844</f>
        <v>0.0884958322441986</v>
      </c>
    </row>
    <row r="1845" customFormat="false" ht="15" hidden="false" customHeight="false" outlineLevel="0" collapsed="false">
      <c r="A1845" s="6" t="s">
        <v>2007</v>
      </c>
      <c r="B1845" s="6" t="n">
        <v>35</v>
      </c>
      <c r="C1845" s="6" t="s">
        <v>139</v>
      </c>
      <c r="D1845" s="6" t="s">
        <v>144</v>
      </c>
      <c r="E1845" s="6" t="s">
        <v>91</v>
      </c>
      <c r="F1845" s="6" t="s">
        <v>206</v>
      </c>
      <c r="G1845" s="6" t="n">
        <v>9</v>
      </c>
      <c r="H1845" s="6" t="s">
        <v>82</v>
      </c>
      <c r="I1845" s="6" t="s">
        <v>82</v>
      </c>
      <c r="J1845" s="6" t="s">
        <v>58</v>
      </c>
      <c r="K1845" s="6" t="n">
        <v>108766</v>
      </c>
      <c r="L1845" s="6" t="n">
        <v>136079</v>
      </c>
      <c r="M1845" s="6" t="s">
        <v>137</v>
      </c>
      <c r="N1845" s="6" t="n">
        <v>39</v>
      </c>
      <c r="O1845" s="6" t="s">
        <v>58</v>
      </c>
      <c r="P1845" s="6" t="n">
        <v>7</v>
      </c>
      <c r="Q1845" s="6" t="n">
        <v>-11.6</v>
      </c>
      <c r="R1845" s="20" t="n">
        <f aca="false">(L1845-K1845)/K1845</f>
        <v>0.251117077027748</v>
      </c>
    </row>
    <row r="1846" customFormat="false" ht="15" hidden="false" customHeight="false" outlineLevel="0" collapsed="false">
      <c r="A1846" s="6" t="s">
        <v>2008</v>
      </c>
      <c r="B1846" s="6" t="n">
        <v>49</v>
      </c>
      <c r="C1846" s="6" t="s">
        <v>159</v>
      </c>
      <c r="D1846" s="6" t="s">
        <v>144</v>
      </c>
      <c r="E1846" s="6" t="s">
        <v>93</v>
      </c>
      <c r="F1846" s="6" t="s">
        <v>181</v>
      </c>
      <c r="G1846" s="6" t="n">
        <v>24</v>
      </c>
      <c r="H1846" s="6" t="s">
        <v>82</v>
      </c>
      <c r="I1846" s="6" t="s">
        <v>82</v>
      </c>
      <c r="J1846" s="6" t="s">
        <v>60</v>
      </c>
      <c r="K1846" s="6" t="n">
        <v>77475</v>
      </c>
      <c r="L1846" s="6" t="n">
        <v>68233</v>
      </c>
      <c r="M1846" s="6" t="s">
        <v>146</v>
      </c>
      <c r="N1846" s="6" t="n">
        <v>38</v>
      </c>
      <c r="O1846" s="6" t="s">
        <v>60</v>
      </c>
      <c r="P1846" s="6" t="n">
        <v>8</v>
      </c>
      <c r="Q1846" s="6" t="n">
        <v>-9.63</v>
      </c>
      <c r="R1846" s="20" t="n">
        <f aca="false">(L1846-K1846)/K1846</f>
        <v>-0.119290093578574</v>
      </c>
    </row>
    <row r="1847" customFormat="false" ht="15" hidden="false" customHeight="false" outlineLevel="0" collapsed="false">
      <c r="A1847" s="6" t="s">
        <v>2009</v>
      </c>
      <c r="B1847" s="6" t="n">
        <v>47</v>
      </c>
      <c r="C1847" s="6" t="s">
        <v>139</v>
      </c>
      <c r="D1847" s="6" t="s">
        <v>140</v>
      </c>
      <c r="E1847" s="6" t="s">
        <v>88</v>
      </c>
      <c r="F1847" s="6" t="s">
        <v>234</v>
      </c>
      <c r="G1847" s="6" t="n">
        <v>22</v>
      </c>
      <c r="H1847" s="6" t="s">
        <v>80</v>
      </c>
      <c r="I1847" s="6" t="s">
        <v>81</v>
      </c>
      <c r="J1847" s="6" t="s">
        <v>60</v>
      </c>
      <c r="K1847" s="6" t="n">
        <v>78398</v>
      </c>
      <c r="L1847" s="6" t="n">
        <v>79145</v>
      </c>
      <c r="M1847" s="6" t="s">
        <v>146</v>
      </c>
      <c r="N1847" s="6" t="n">
        <v>46</v>
      </c>
      <c r="O1847" s="6" t="s">
        <v>58</v>
      </c>
      <c r="P1847" s="6" t="n">
        <v>4</v>
      </c>
      <c r="Q1847" s="6" t="n">
        <v>-1.8</v>
      </c>
      <c r="R1847" s="20" t="n">
        <f aca="false">(L1847-K1847)/K1847</f>
        <v>0.00952830429347687</v>
      </c>
    </row>
    <row r="1848" customFormat="false" ht="15" hidden="false" customHeight="false" outlineLevel="0" collapsed="false">
      <c r="A1848" s="6" t="s">
        <v>2010</v>
      </c>
      <c r="B1848" s="6" t="n">
        <v>36</v>
      </c>
      <c r="C1848" s="6" t="s">
        <v>159</v>
      </c>
      <c r="D1848" s="6" t="s">
        <v>140</v>
      </c>
      <c r="E1848" s="6" t="s">
        <v>90</v>
      </c>
      <c r="F1848" s="6" t="s">
        <v>202</v>
      </c>
      <c r="G1848" s="6" t="n">
        <v>10</v>
      </c>
      <c r="H1848" s="6" t="s">
        <v>81</v>
      </c>
      <c r="I1848" s="6" t="s">
        <v>80</v>
      </c>
      <c r="J1848" s="6" t="s">
        <v>58</v>
      </c>
      <c r="K1848" s="6" t="n">
        <v>98623</v>
      </c>
      <c r="L1848" s="6" t="n">
        <v>99657</v>
      </c>
      <c r="M1848" s="6" t="s">
        <v>142</v>
      </c>
      <c r="N1848" s="6" t="n">
        <v>43</v>
      </c>
      <c r="O1848" s="6" t="s">
        <v>58</v>
      </c>
      <c r="P1848" s="6" t="n">
        <v>8</v>
      </c>
      <c r="Q1848" s="6" t="n">
        <v>1.84</v>
      </c>
      <c r="R1848" s="20" t="n">
        <f aca="false">(L1848-K1848)/K1848</f>
        <v>0.0104843697717571</v>
      </c>
    </row>
    <row r="1849" customFormat="false" ht="15" hidden="false" customHeight="false" outlineLevel="0" collapsed="false">
      <c r="A1849" s="6" t="s">
        <v>2011</v>
      </c>
      <c r="B1849" s="6" t="n">
        <v>48</v>
      </c>
      <c r="C1849" s="6" t="s">
        <v>139</v>
      </c>
      <c r="D1849" s="6" t="s">
        <v>140</v>
      </c>
      <c r="E1849" s="6" t="s">
        <v>87</v>
      </c>
      <c r="F1849" s="6" t="s">
        <v>160</v>
      </c>
      <c r="G1849" s="6" t="n">
        <v>26</v>
      </c>
      <c r="H1849" s="6" t="s">
        <v>82</v>
      </c>
      <c r="I1849" s="6" t="s">
        <v>80</v>
      </c>
      <c r="J1849" s="6" t="s">
        <v>60</v>
      </c>
      <c r="K1849" s="6" t="n">
        <v>33491</v>
      </c>
      <c r="L1849" s="6" t="n">
        <v>32128</v>
      </c>
      <c r="M1849" s="6" t="s">
        <v>142</v>
      </c>
      <c r="N1849" s="6" t="n">
        <v>35</v>
      </c>
      <c r="O1849" s="6" t="s">
        <v>60</v>
      </c>
      <c r="P1849" s="6" t="n">
        <v>3</v>
      </c>
      <c r="Q1849" s="6" t="n">
        <v>14.31</v>
      </c>
      <c r="R1849" s="20" t="n">
        <f aca="false">(L1849-K1849)/K1849</f>
        <v>-0.0406975008211161</v>
      </c>
    </row>
    <row r="1850" customFormat="false" ht="15" hidden="false" customHeight="false" outlineLevel="0" collapsed="false">
      <c r="A1850" s="6" t="s">
        <v>2012</v>
      </c>
      <c r="B1850" s="6" t="n">
        <v>37</v>
      </c>
      <c r="C1850" s="6" t="s">
        <v>159</v>
      </c>
      <c r="D1850" s="6" t="s">
        <v>148</v>
      </c>
      <c r="E1850" s="6" t="s">
        <v>88</v>
      </c>
      <c r="F1850" s="6" t="s">
        <v>179</v>
      </c>
      <c r="G1850" s="6" t="n">
        <v>14</v>
      </c>
      <c r="H1850" s="6" t="s">
        <v>80</v>
      </c>
      <c r="I1850" s="6" t="s">
        <v>81</v>
      </c>
      <c r="J1850" s="6" t="s">
        <v>58</v>
      </c>
      <c r="K1850" s="6" t="n">
        <v>78155</v>
      </c>
      <c r="L1850" s="6" t="n">
        <v>77656</v>
      </c>
      <c r="M1850" s="6" t="s">
        <v>146</v>
      </c>
      <c r="N1850" s="6" t="n">
        <v>46</v>
      </c>
      <c r="O1850" s="6" t="s">
        <v>60</v>
      </c>
      <c r="P1850" s="6" t="n">
        <v>5</v>
      </c>
      <c r="Q1850" s="6" t="n">
        <v>21.25</v>
      </c>
      <c r="R1850" s="20" t="n">
        <f aca="false">(L1850-K1850)/K1850</f>
        <v>-0.00638474825666944</v>
      </c>
    </row>
    <row r="1851" customFormat="false" ht="15" hidden="false" customHeight="false" outlineLevel="0" collapsed="false">
      <c r="A1851" s="6" t="s">
        <v>2013</v>
      </c>
      <c r="B1851" s="6" t="n">
        <v>46</v>
      </c>
      <c r="C1851" s="6" t="s">
        <v>159</v>
      </c>
      <c r="D1851" s="6" t="s">
        <v>140</v>
      </c>
      <c r="E1851" s="6" t="s">
        <v>88</v>
      </c>
      <c r="F1851" s="6" t="s">
        <v>157</v>
      </c>
      <c r="G1851" s="6" t="n">
        <v>23</v>
      </c>
      <c r="H1851" s="6" t="s">
        <v>81</v>
      </c>
      <c r="I1851" s="6" t="s">
        <v>82</v>
      </c>
      <c r="J1851" s="6" t="s">
        <v>58</v>
      </c>
      <c r="K1851" s="6" t="n">
        <v>77940</v>
      </c>
      <c r="L1851" s="6" t="n">
        <v>79322</v>
      </c>
      <c r="M1851" s="6" t="s">
        <v>142</v>
      </c>
      <c r="N1851" s="6" t="n">
        <v>44</v>
      </c>
      <c r="O1851" s="6" t="s">
        <v>58</v>
      </c>
      <c r="P1851" s="6" t="n">
        <v>9</v>
      </c>
      <c r="Q1851" s="6" t="n">
        <v>1.74</v>
      </c>
      <c r="R1851" s="20" t="n">
        <f aca="false">(L1851-K1851)/K1851</f>
        <v>0.0177315884013344</v>
      </c>
    </row>
    <row r="1852" customFormat="false" ht="15" hidden="false" customHeight="false" outlineLevel="0" collapsed="false">
      <c r="A1852" s="6" t="s">
        <v>2014</v>
      </c>
      <c r="B1852" s="6" t="n">
        <v>28</v>
      </c>
      <c r="C1852" s="6" t="s">
        <v>139</v>
      </c>
      <c r="D1852" s="6" t="s">
        <v>148</v>
      </c>
      <c r="E1852" s="6" t="s">
        <v>93</v>
      </c>
      <c r="F1852" s="6" t="s">
        <v>181</v>
      </c>
      <c r="G1852" s="6" t="n">
        <v>3</v>
      </c>
      <c r="H1852" s="6" t="s">
        <v>82</v>
      </c>
      <c r="I1852" s="6" t="s">
        <v>81</v>
      </c>
      <c r="J1852" s="6" t="s">
        <v>58</v>
      </c>
      <c r="K1852" s="6" t="n">
        <v>72340</v>
      </c>
      <c r="L1852" s="6" t="n">
        <v>83915</v>
      </c>
      <c r="M1852" s="6" t="s">
        <v>146</v>
      </c>
      <c r="N1852" s="6" t="n">
        <v>49</v>
      </c>
      <c r="O1852" s="6" t="s">
        <v>58</v>
      </c>
      <c r="P1852" s="6" t="n">
        <v>4</v>
      </c>
      <c r="Q1852" s="6" t="n">
        <v>-9.15</v>
      </c>
      <c r="R1852" s="20" t="n">
        <f aca="false">(L1852-K1852)/K1852</f>
        <v>0.160008294166436</v>
      </c>
    </row>
    <row r="1853" customFormat="false" ht="15" hidden="false" customHeight="false" outlineLevel="0" collapsed="false">
      <c r="A1853" s="6" t="s">
        <v>2015</v>
      </c>
      <c r="B1853" s="6" t="n">
        <v>45</v>
      </c>
      <c r="C1853" s="6" t="s">
        <v>159</v>
      </c>
      <c r="D1853" s="6" t="s">
        <v>135</v>
      </c>
      <c r="E1853" s="6" t="s">
        <v>93</v>
      </c>
      <c r="F1853" s="6" t="s">
        <v>164</v>
      </c>
      <c r="G1853" s="6" t="n">
        <v>22</v>
      </c>
      <c r="H1853" s="6" t="s">
        <v>81</v>
      </c>
      <c r="I1853" s="6" t="s">
        <v>80</v>
      </c>
      <c r="J1853" s="6" t="s">
        <v>60</v>
      </c>
      <c r="K1853" s="6" t="n">
        <v>96940</v>
      </c>
      <c r="L1853" s="6" t="n">
        <v>103672</v>
      </c>
      <c r="M1853" s="6" t="s">
        <v>142</v>
      </c>
      <c r="N1853" s="6" t="n">
        <v>44</v>
      </c>
      <c r="O1853" s="6" t="s">
        <v>58</v>
      </c>
      <c r="P1853" s="6" t="n">
        <v>3</v>
      </c>
      <c r="Q1853" s="6" t="n">
        <v>8.23</v>
      </c>
      <c r="R1853" s="20" t="n">
        <f aca="false">(L1853-K1853)/K1853</f>
        <v>0.0694450175366206</v>
      </c>
    </row>
    <row r="1854" customFormat="false" ht="15" hidden="false" customHeight="false" outlineLevel="0" collapsed="false">
      <c r="A1854" s="6" t="s">
        <v>2016</v>
      </c>
      <c r="B1854" s="6" t="n">
        <v>35</v>
      </c>
      <c r="C1854" s="6" t="s">
        <v>159</v>
      </c>
      <c r="D1854" s="6" t="s">
        <v>135</v>
      </c>
      <c r="E1854" s="6" t="s">
        <v>88</v>
      </c>
      <c r="F1854" s="6" t="s">
        <v>179</v>
      </c>
      <c r="G1854" s="6" t="n">
        <v>12</v>
      </c>
      <c r="H1854" s="6" t="s">
        <v>82</v>
      </c>
      <c r="I1854" s="6" t="s">
        <v>82</v>
      </c>
      <c r="J1854" s="6" t="s">
        <v>60</v>
      </c>
      <c r="K1854" s="6" t="n">
        <v>119711</v>
      </c>
      <c r="L1854" s="6" t="n">
        <v>138070</v>
      </c>
      <c r="M1854" s="6" t="s">
        <v>146</v>
      </c>
      <c r="N1854" s="6" t="n">
        <v>50</v>
      </c>
      <c r="O1854" s="6" t="s">
        <v>58</v>
      </c>
      <c r="P1854" s="6" t="n">
        <v>4</v>
      </c>
      <c r="Q1854" s="6" t="n">
        <v>-11.65</v>
      </c>
      <c r="R1854" s="20" t="n">
        <f aca="false">(L1854-K1854)/K1854</f>
        <v>0.153361011101737</v>
      </c>
    </row>
    <row r="1855" customFormat="false" ht="15" hidden="false" customHeight="false" outlineLevel="0" collapsed="false">
      <c r="A1855" s="6" t="s">
        <v>2017</v>
      </c>
      <c r="B1855" s="6" t="n">
        <v>30</v>
      </c>
      <c r="C1855" s="6" t="s">
        <v>139</v>
      </c>
      <c r="D1855" s="6" t="s">
        <v>140</v>
      </c>
      <c r="E1855" s="6" t="s">
        <v>89</v>
      </c>
      <c r="F1855" s="6" t="s">
        <v>153</v>
      </c>
      <c r="G1855" s="6" t="n">
        <v>8</v>
      </c>
      <c r="H1855" s="6" t="s">
        <v>80</v>
      </c>
      <c r="I1855" s="6" t="s">
        <v>81</v>
      </c>
      <c r="J1855" s="6" t="s">
        <v>60</v>
      </c>
      <c r="K1855" s="6" t="n">
        <v>106759</v>
      </c>
      <c r="L1855" s="6" t="n">
        <v>104697</v>
      </c>
      <c r="M1855" s="6" t="s">
        <v>146</v>
      </c>
      <c r="N1855" s="6" t="n">
        <v>45</v>
      </c>
      <c r="O1855" s="6" t="s">
        <v>60</v>
      </c>
      <c r="P1855" s="6" t="n">
        <v>9</v>
      </c>
      <c r="Q1855" s="6" t="n">
        <v>-9.11</v>
      </c>
      <c r="R1855" s="20" t="n">
        <f aca="false">(L1855-K1855)/K1855</f>
        <v>-0.019314530859225</v>
      </c>
    </row>
    <row r="1856" customFormat="false" ht="15" hidden="false" customHeight="false" outlineLevel="0" collapsed="false">
      <c r="A1856" s="6" t="s">
        <v>2018</v>
      </c>
      <c r="B1856" s="6" t="n">
        <v>49</v>
      </c>
      <c r="C1856" s="6" t="s">
        <v>139</v>
      </c>
      <c r="D1856" s="6" t="s">
        <v>135</v>
      </c>
      <c r="E1856" s="6" t="s">
        <v>89</v>
      </c>
      <c r="F1856" s="6" t="s">
        <v>153</v>
      </c>
      <c r="G1856" s="6" t="n">
        <v>25</v>
      </c>
      <c r="H1856" s="6" t="s">
        <v>82</v>
      </c>
      <c r="I1856" s="6" t="s">
        <v>81</v>
      </c>
      <c r="J1856" s="6" t="s">
        <v>60</v>
      </c>
      <c r="K1856" s="6" t="n">
        <v>79451</v>
      </c>
      <c r="L1856" s="6" t="n">
        <v>72532</v>
      </c>
      <c r="M1856" s="6" t="s">
        <v>146</v>
      </c>
      <c r="N1856" s="6" t="n">
        <v>43</v>
      </c>
      <c r="O1856" s="6" t="s">
        <v>60</v>
      </c>
      <c r="P1856" s="6" t="n">
        <v>5</v>
      </c>
      <c r="Q1856" s="6" t="n">
        <v>-2.88</v>
      </c>
      <c r="R1856" s="20" t="n">
        <f aca="false">(L1856-K1856)/K1856</f>
        <v>-0.0870851216473046</v>
      </c>
    </row>
    <row r="1857" customFormat="false" ht="15" hidden="false" customHeight="false" outlineLevel="0" collapsed="false">
      <c r="A1857" s="6" t="s">
        <v>2019</v>
      </c>
      <c r="B1857" s="6" t="n">
        <v>34</v>
      </c>
      <c r="C1857" s="6" t="s">
        <v>159</v>
      </c>
      <c r="D1857" s="6" t="s">
        <v>144</v>
      </c>
      <c r="E1857" s="6" t="s">
        <v>92</v>
      </c>
      <c r="F1857" s="6" t="s">
        <v>192</v>
      </c>
      <c r="G1857" s="6" t="n">
        <v>12</v>
      </c>
      <c r="H1857" s="6" t="s">
        <v>80</v>
      </c>
      <c r="I1857" s="6" t="s">
        <v>82</v>
      </c>
      <c r="J1857" s="6" t="s">
        <v>60</v>
      </c>
      <c r="K1857" s="6" t="n">
        <v>66719</v>
      </c>
      <c r="L1857" s="6" t="n">
        <v>66363</v>
      </c>
      <c r="M1857" s="6" t="s">
        <v>142</v>
      </c>
      <c r="N1857" s="6" t="n">
        <v>51</v>
      </c>
      <c r="O1857" s="6" t="s">
        <v>58</v>
      </c>
      <c r="P1857" s="6" t="n">
        <v>7</v>
      </c>
      <c r="Q1857" s="6" t="n">
        <v>7.35</v>
      </c>
      <c r="R1857" s="20" t="n">
        <f aca="false">(L1857-K1857)/K1857</f>
        <v>-0.00533581138806037</v>
      </c>
    </row>
    <row r="1858" customFormat="false" ht="15" hidden="false" customHeight="false" outlineLevel="0" collapsed="false">
      <c r="A1858" s="6" t="s">
        <v>2020</v>
      </c>
      <c r="B1858" s="6" t="n">
        <v>39</v>
      </c>
      <c r="C1858" s="6" t="s">
        <v>134</v>
      </c>
      <c r="D1858" s="6" t="s">
        <v>148</v>
      </c>
      <c r="E1858" s="6" t="s">
        <v>93</v>
      </c>
      <c r="F1858" s="6" t="s">
        <v>164</v>
      </c>
      <c r="G1858" s="6" t="n">
        <v>14</v>
      </c>
      <c r="H1858" s="6" t="s">
        <v>80</v>
      </c>
      <c r="I1858" s="6" t="s">
        <v>82</v>
      </c>
      <c r="J1858" s="6" t="s">
        <v>58</v>
      </c>
      <c r="K1858" s="6" t="n">
        <v>69925</v>
      </c>
      <c r="L1858" s="6" t="n">
        <v>66833</v>
      </c>
      <c r="M1858" s="6" t="s">
        <v>142</v>
      </c>
      <c r="N1858" s="6" t="n">
        <v>48</v>
      </c>
      <c r="O1858" s="6" t="s">
        <v>58</v>
      </c>
      <c r="P1858" s="6" t="n">
        <v>9</v>
      </c>
      <c r="Q1858" s="6" t="n">
        <v>-12.3</v>
      </c>
      <c r="R1858" s="20" t="n">
        <f aca="false">(L1858-K1858)/K1858</f>
        <v>-0.0442188058634251</v>
      </c>
    </row>
    <row r="1859" customFormat="false" ht="15" hidden="false" customHeight="false" outlineLevel="0" collapsed="false">
      <c r="A1859" s="6" t="s">
        <v>2021</v>
      </c>
      <c r="B1859" s="6" t="n">
        <v>33</v>
      </c>
      <c r="C1859" s="6" t="s">
        <v>134</v>
      </c>
      <c r="D1859" s="6" t="s">
        <v>135</v>
      </c>
      <c r="E1859" s="6" t="s">
        <v>87</v>
      </c>
      <c r="F1859" s="6" t="s">
        <v>155</v>
      </c>
      <c r="G1859" s="6" t="n">
        <v>8</v>
      </c>
      <c r="H1859" s="6" t="s">
        <v>80</v>
      </c>
      <c r="I1859" s="6" t="s">
        <v>81</v>
      </c>
      <c r="J1859" s="6" t="s">
        <v>60</v>
      </c>
      <c r="K1859" s="6" t="n">
        <v>113766</v>
      </c>
      <c r="L1859" s="6" t="n">
        <v>120490</v>
      </c>
      <c r="M1859" s="6" t="s">
        <v>146</v>
      </c>
      <c r="N1859" s="6" t="n">
        <v>38</v>
      </c>
      <c r="O1859" s="6" t="s">
        <v>60</v>
      </c>
      <c r="P1859" s="6" t="n">
        <v>4</v>
      </c>
      <c r="Q1859" s="6" t="n">
        <v>2.24</v>
      </c>
      <c r="R1859" s="20" t="n">
        <f aca="false">(L1859-K1859)/K1859</f>
        <v>0.0591037744141483</v>
      </c>
    </row>
    <row r="1860" customFormat="false" ht="15" hidden="false" customHeight="false" outlineLevel="0" collapsed="false">
      <c r="A1860" s="6" t="s">
        <v>2022</v>
      </c>
      <c r="B1860" s="6" t="n">
        <v>24</v>
      </c>
      <c r="C1860" s="6" t="s">
        <v>139</v>
      </c>
      <c r="D1860" s="6" t="s">
        <v>148</v>
      </c>
      <c r="E1860" s="6" t="s">
        <v>88</v>
      </c>
      <c r="F1860" s="6" t="s">
        <v>234</v>
      </c>
      <c r="G1860" s="6" t="n">
        <v>2</v>
      </c>
      <c r="H1860" s="6" t="s">
        <v>80</v>
      </c>
      <c r="I1860" s="6" t="s">
        <v>80</v>
      </c>
      <c r="J1860" s="6" t="s">
        <v>60</v>
      </c>
      <c r="K1860" s="6" t="n">
        <v>45376</v>
      </c>
      <c r="L1860" s="6" t="n">
        <v>49791</v>
      </c>
      <c r="M1860" s="6" t="s">
        <v>142</v>
      </c>
      <c r="N1860" s="6" t="n">
        <v>39</v>
      </c>
      <c r="O1860" s="6" t="s">
        <v>58</v>
      </c>
      <c r="P1860" s="6" t="n">
        <v>5</v>
      </c>
      <c r="Q1860" s="6" t="n">
        <v>-14.23</v>
      </c>
      <c r="R1860" s="20" t="n">
        <f aca="false">(L1860-K1860)/K1860</f>
        <v>0.0972981311706629</v>
      </c>
    </row>
    <row r="1861" customFormat="false" ht="15" hidden="false" customHeight="false" outlineLevel="0" collapsed="false">
      <c r="A1861" s="6" t="s">
        <v>2023</v>
      </c>
      <c r="B1861" s="6" t="n">
        <v>55</v>
      </c>
      <c r="C1861" s="6" t="s">
        <v>159</v>
      </c>
      <c r="D1861" s="6" t="s">
        <v>140</v>
      </c>
      <c r="E1861" s="6" t="s">
        <v>91</v>
      </c>
      <c r="F1861" s="6" t="s">
        <v>208</v>
      </c>
      <c r="G1861" s="6" t="n">
        <v>31</v>
      </c>
      <c r="H1861" s="6" t="s">
        <v>82</v>
      </c>
      <c r="I1861" s="6" t="s">
        <v>81</v>
      </c>
      <c r="J1861" s="6" t="s">
        <v>60</v>
      </c>
      <c r="K1861" s="6" t="n">
        <v>96480</v>
      </c>
      <c r="L1861" s="6" t="n">
        <v>82620</v>
      </c>
      <c r="M1861" s="6" t="s">
        <v>146</v>
      </c>
      <c r="N1861" s="6" t="n">
        <v>41</v>
      </c>
      <c r="O1861" s="6" t="s">
        <v>58</v>
      </c>
      <c r="P1861" s="6" t="n">
        <v>5</v>
      </c>
      <c r="Q1861" s="6" t="n">
        <v>19.56</v>
      </c>
      <c r="R1861" s="20" t="n">
        <f aca="false">(L1861-K1861)/K1861</f>
        <v>-0.14365671641791</v>
      </c>
    </row>
    <row r="1862" customFormat="false" ht="15" hidden="false" customHeight="false" outlineLevel="0" collapsed="false">
      <c r="A1862" s="6" t="s">
        <v>2024</v>
      </c>
      <c r="B1862" s="6" t="n">
        <v>59</v>
      </c>
      <c r="C1862" s="6" t="s">
        <v>159</v>
      </c>
      <c r="D1862" s="6" t="s">
        <v>135</v>
      </c>
      <c r="E1862" s="6" t="s">
        <v>88</v>
      </c>
      <c r="F1862" s="6" t="s">
        <v>179</v>
      </c>
      <c r="G1862" s="6" t="n">
        <v>36</v>
      </c>
      <c r="H1862" s="6" t="s">
        <v>81</v>
      </c>
      <c r="I1862" s="6" t="s">
        <v>81</v>
      </c>
      <c r="J1862" s="6" t="s">
        <v>58</v>
      </c>
      <c r="K1862" s="6" t="n">
        <v>103905</v>
      </c>
      <c r="L1862" s="6" t="n">
        <v>121502</v>
      </c>
      <c r="M1862" s="6" t="s">
        <v>146</v>
      </c>
      <c r="N1862" s="6" t="n">
        <v>48</v>
      </c>
      <c r="O1862" s="6" t="s">
        <v>60</v>
      </c>
      <c r="P1862" s="6" t="n">
        <v>8</v>
      </c>
      <c r="Q1862" s="6" t="n">
        <v>-5.45</v>
      </c>
      <c r="R1862" s="20" t="n">
        <f aca="false">(L1862-K1862)/K1862</f>
        <v>0.169356623839084</v>
      </c>
    </row>
    <row r="1863" customFormat="false" ht="15" hidden="false" customHeight="false" outlineLevel="0" collapsed="false">
      <c r="A1863" s="6" t="s">
        <v>2025</v>
      </c>
      <c r="B1863" s="6" t="n">
        <v>46</v>
      </c>
      <c r="C1863" s="6" t="s">
        <v>159</v>
      </c>
      <c r="D1863" s="6" t="s">
        <v>144</v>
      </c>
      <c r="E1863" s="6" t="s">
        <v>91</v>
      </c>
      <c r="F1863" s="6" t="s">
        <v>141</v>
      </c>
      <c r="G1863" s="6" t="n">
        <v>21</v>
      </c>
      <c r="H1863" s="6" t="s">
        <v>81</v>
      </c>
      <c r="I1863" s="6" t="s">
        <v>81</v>
      </c>
      <c r="J1863" s="6" t="s">
        <v>60</v>
      </c>
      <c r="K1863" s="6" t="n">
        <v>97310</v>
      </c>
      <c r="L1863" s="6" t="n">
        <v>98256</v>
      </c>
      <c r="M1863" s="6" t="s">
        <v>146</v>
      </c>
      <c r="N1863" s="6" t="n">
        <v>35</v>
      </c>
      <c r="O1863" s="6" t="s">
        <v>58</v>
      </c>
      <c r="P1863" s="6" t="n">
        <v>4</v>
      </c>
      <c r="Q1863" s="6" t="n">
        <v>36.98</v>
      </c>
      <c r="R1863" s="20" t="n">
        <f aca="false">(L1863-K1863)/K1863</f>
        <v>0.00972150858082417</v>
      </c>
    </row>
    <row r="1864" customFormat="false" ht="15" hidden="false" customHeight="false" outlineLevel="0" collapsed="false">
      <c r="A1864" s="6" t="s">
        <v>2026</v>
      </c>
      <c r="B1864" s="6" t="n">
        <v>41</v>
      </c>
      <c r="C1864" s="6" t="s">
        <v>159</v>
      </c>
      <c r="D1864" s="6" t="s">
        <v>140</v>
      </c>
      <c r="E1864" s="6" t="s">
        <v>90</v>
      </c>
      <c r="F1864" s="6" t="s">
        <v>202</v>
      </c>
      <c r="G1864" s="6" t="n">
        <v>18</v>
      </c>
      <c r="H1864" s="6" t="s">
        <v>82</v>
      </c>
      <c r="I1864" s="6" t="s">
        <v>82</v>
      </c>
      <c r="J1864" s="6" t="s">
        <v>60</v>
      </c>
      <c r="K1864" s="6" t="n">
        <v>37802</v>
      </c>
      <c r="L1864" s="6" t="n">
        <v>49549</v>
      </c>
      <c r="M1864" s="6" t="s">
        <v>137</v>
      </c>
      <c r="N1864" s="6" t="n">
        <v>42</v>
      </c>
      <c r="O1864" s="6" t="s">
        <v>58</v>
      </c>
      <c r="P1864" s="6" t="n">
        <v>3</v>
      </c>
      <c r="Q1864" s="6" t="n">
        <v>-10.07</v>
      </c>
      <c r="R1864" s="20" t="n">
        <f aca="false">(L1864-K1864)/K1864</f>
        <v>0.310750753928364</v>
      </c>
    </row>
    <row r="1865" customFormat="false" ht="15" hidden="false" customHeight="false" outlineLevel="0" collapsed="false">
      <c r="A1865" s="6" t="s">
        <v>2027</v>
      </c>
      <c r="B1865" s="6" t="n">
        <v>54</v>
      </c>
      <c r="C1865" s="6" t="s">
        <v>134</v>
      </c>
      <c r="D1865" s="6" t="s">
        <v>144</v>
      </c>
      <c r="E1865" s="6" t="s">
        <v>89</v>
      </c>
      <c r="F1865" s="6" t="s">
        <v>153</v>
      </c>
      <c r="G1865" s="6" t="n">
        <v>29</v>
      </c>
      <c r="H1865" s="6" t="s">
        <v>82</v>
      </c>
      <c r="I1865" s="6" t="s">
        <v>81</v>
      </c>
      <c r="J1865" s="6" t="s">
        <v>58</v>
      </c>
      <c r="K1865" s="6" t="n">
        <v>49014</v>
      </c>
      <c r="L1865" s="6" t="n">
        <v>49920</v>
      </c>
      <c r="M1865" s="6" t="s">
        <v>146</v>
      </c>
      <c r="N1865" s="6" t="n">
        <v>45</v>
      </c>
      <c r="O1865" s="6" t="s">
        <v>58</v>
      </c>
      <c r="P1865" s="6" t="n">
        <v>4</v>
      </c>
      <c r="Q1865" s="6" t="n">
        <v>31.14</v>
      </c>
      <c r="R1865" s="20" t="n">
        <f aca="false">(L1865-K1865)/K1865</f>
        <v>0.0184845146284735</v>
      </c>
    </row>
    <row r="1866" customFormat="false" ht="15" hidden="false" customHeight="false" outlineLevel="0" collapsed="false">
      <c r="A1866" s="6" t="s">
        <v>2028</v>
      </c>
      <c r="B1866" s="6" t="n">
        <v>46</v>
      </c>
      <c r="C1866" s="6" t="s">
        <v>134</v>
      </c>
      <c r="D1866" s="6" t="s">
        <v>140</v>
      </c>
      <c r="E1866" s="6" t="s">
        <v>91</v>
      </c>
      <c r="F1866" s="6" t="s">
        <v>141</v>
      </c>
      <c r="G1866" s="6" t="n">
        <v>24</v>
      </c>
      <c r="H1866" s="6" t="s">
        <v>80</v>
      </c>
      <c r="I1866" s="6" t="s">
        <v>81</v>
      </c>
      <c r="J1866" s="6" t="s">
        <v>58</v>
      </c>
      <c r="K1866" s="6" t="n">
        <v>36066</v>
      </c>
      <c r="L1866" s="6" t="n">
        <v>36870</v>
      </c>
      <c r="M1866" s="6" t="s">
        <v>146</v>
      </c>
      <c r="N1866" s="6" t="n">
        <v>54</v>
      </c>
      <c r="O1866" s="6" t="s">
        <v>60</v>
      </c>
      <c r="P1866" s="6" t="n">
        <v>5</v>
      </c>
      <c r="Q1866" s="6" t="n">
        <v>26.99</v>
      </c>
      <c r="R1866" s="20" t="n">
        <f aca="false">(L1866-K1866)/K1866</f>
        <v>0.0222924638163367</v>
      </c>
    </row>
    <row r="1867" customFormat="false" ht="15" hidden="false" customHeight="false" outlineLevel="0" collapsed="false">
      <c r="A1867" s="6" t="s">
        <v>2029</v>
      </c>
      <c r="B1867" s="6" t="n">
        <v>38</v>
      </c>
      <c r="C1867" s="6" t="s">
        <v>159</v>
      </c>
      <c r="D1867" s="6" t="s">
        <v>135</v>
      </c>
      <c r="E1867" s="6" t="s">
        <v>93</v>
      </c>
      <c r="F1867" s="6" t="s">
        <v>197</v>
      </c>
      <c r="G1867" s="6" t="n">
        <v>12</v>
      </c>
      <c r="H1867" s="6" t="s">
        <v>82</v>
      </c>
      <c r="I1867" s="6" t="s">
        <v>81</v>
      </c>
      <c r="J1867" s="6" t="s">
        <v>58</v>
      </c>
      <c r="K1867" s="6" t="n">
        <v>114954</v>
      </c>
      <c r="L1867" s="6" t="n">
        <v>145565</v>
      </c>
      <c r="M1867" s="6" t="s">
        <v>146</v>
      </c>
      <c r="N1867" s="6" t="n">
        <v>42</v>
      </c>
      <c r="O1867" s="6" t="s">
        <v>60</v>
      </c>
      <c r="P1867" s="6" t="n">
        <v>7</v>
      </c>
      <c r="Q1867" s="6" t="n">
        <v>-6.26</v>
      </c>
      <c r="R1867" s="20" t="n">
        <f aca="false">(L1867-K1867)/K1867</f>
        <v>0.26628912434539</v>
      </c>
    </row>
    <row r="1868" customFormat="false" ht="15" hidden="false" customHeight="false" outlineLevel="0" collapsed="false">
      <c r="A1868" s="6" t="s">
        <v>2030</v>
      </c>
      <c r="B1868" s="6" t="n">
        <v>40</v>
      </c>
      <c r="C1868" s="6" t="s">
        <v>134</v>
      </c>
      <c r="D1868" s="6" t="s">
        <v>148</v>
      </c>
      <c r="E1868" s="6" t="s">
        <v>88</v>
      </c>
      <c r="F1868" s="6" t="s">
        <v>157</v>
      </c>
      <c r="G1868" s="6" t="n">
        <v>15</v>
      </c>
      <c r="H1868" s="6" t="s">
        <v>82</v>
      </c>
      <c r="I1868" s="6" t="s">
        <v>82</v>
      </c>
      <c r="J1868" s="6" t="s">
        <v>60</v>
      </c>
      <c r="K1868" s="6" t="n">
        <v>70379</v>
      </c>
      <c r="L1868" s="6" t="n">
        <v>92945</v>
      </c>
      <c r="M1868" s="6" t="s">
        <v>146</v>
      </c>
      <c r="N1868" s="6" t="n">
        <v>44</v>
      </c>
      <c r="O1868" s="6" t="s">
        <v>58</v>
      </c>
      <c r="P1868" s="6" t="n">
        <v>4</v>
      </c>
      <c r="Q1868" s="6" t="n">
        <v>7.06</v>
      </c>
      <c r="R1868" s="20" t="n">
        <f aca="false">(L1868-K1868)/K1868</f>
        <v>0.320635416814675</v>
      </c>
    </row>
    <row r="1869" customFormat="false" ht="15" hidden="false" customHeight="false" outlineLevel="0" collapsed="false">
      <c r="A1869" s="6" t="s">
        <v>2031</v>
      </c>
      <c r="B1869" s="6" t="n">
        <v>31</v>
      </c>
      <c r="C1869" s="6" t="s">
        <v>139</v>
      </c>
      <c r="D1869" s="6" t="s">
        <v>135</v>
      </c>
      <c r="E1869" s="6" t="s">
        <v>92</v>
      </c>
      <c r="F1869" s="6" t="s">
        <v>192</v>
      </c>
      <c r="G1869" s="6" t="n">
        <v>6</v>
      </c>
      <c r="H1869" s="6" t="s">
        <v>82</v>
      </c>
      <c r="I1869" s="6" t="s">
        <v>80</v>
      </c>
      <c r="J1869" s="6" t="s">
        <v>60</v>
      </c>
      <c r="K1869" s="6" t="n">
        <v>116479</v>
      </c>
      <c r="L1869" s="6" t="n">
        <v>103951</v>
      </c>
      <c r="M1869" s="6" t="s">
        <v>142</v>
      </c>
      <c r="N1869" s="6" t="n">
        <v>48</v>
      </c>
      <c r="O1869" s="6" t="s">
        <v>60</v>
      </c>
      <c r="P1869" s="6" t="n">
        <v>5</v>
      </c>
      <c r="Q1869" s="6" t="n">
        <v>18.79</v>
      </c>
      <c r="R1869" s="20" t="n">
        <f aca="false">(L1869-K1869)/K1869</f>
        <v>-0.107555868439805</v>
      </c>
    </row>
    <row r="1870" customFormat="false" ht="15" hidden="false" customHeight="false" outlineLevel="0" collapsed="false">
      <c r="A1870" s="6" t="s">
        <v>2032</v>
      </c>
      <c r="B1870" s="6" t="n">
        <v>42</v>
      </c>
      <c r="C1870" s="6" t="s">
        <v>159</v>
      </c>
      <c r="D1870" s="6" t="s">
        <v>144</v>
      </c>
      <c r="E1870" s="6" t="s">
        <v>89</v>
      </c>
      <c r="F1870" s="6" t="s">
        <v>151</v>
      </c>
      <c r="G1870" s="6" t="n">
        <v>20</v>
      </c>
      <c r="H1870" s="6" t="s">
        <v>81</v>
      </c>
      <c r="I1870" s="6" t="s">
        <v>82</v>
      </c>
      <c r="J1870" s="6" t="s">
        <v>58</v>
      </c>
      <c r="K1870" s="6" t="n">
        <v>90263</v>
      </c>
      <c r="L1870" s="6" t="n">
        <v>106542</v>
      </c>
      <c r="M1870" s="6" t="s">
        <v>142</v>
      </c>
      <c r="N1870" s="6" t="n">
        <v>47</v>
      </c>
      <c r="O1870" s="6" t="s">
        <v>58</v>
      </c>
      <c r="P1870" s="6" t="n">
        <v>3</v>
      </c>
      <c r="Q1870" s="6" t="n">
        <v>38.61</v>
      </c>
      <c r="R1870" s="20" t="n">
        <f aca="false">(L1870-K1870)/K1870</f>
        <v>0.180350752800151</v>
      </c>
    </row>
    <row r="1871" customFormat="false" ht="15" hidden="false" customHeight="false" outlineLevel="0" collapsed="false">
      <c r="A1871" s="6" t="s">
        <v>2033</v>
      </c>
      <c r="B1871" s="6" t="n">
        <v>40</v>
      </c>
      <c r="C1871" s="6" t="s">
        <v>159</v>
      </c>
      <c r="D1871" s="6" t="s">
        <v>140</v>
      </c>
      <c r="E1871" s="6" t="s">
        <v>87</v>
      </c>
      <c r="F1871" s="6" t="s">
        <v>155</v>
      </c>
      <c r="G1871" s="6" t="n">
        <v>15</v>
      </c>
      <c r="H1871" s="6" t="s">
        <v>81</v>
      </c>
      <c r="I1871" s="6" t="s">
        <v>82</v>
      </c>
      <c r="J1871" s="6" t="s">
        <v>58</v>
      </c>
      <c r="K1871" s="6" t="n">
        <v>81142</v>
      </c>
      <c r="L1871" s="6" t="n">
        <v>88748</v>
      </c>
      <c r="M1871" s="6" t="s">
        <v>142</v>
      </c>
      <c r="N1871" s="6" t="n">
        <v>40</v>
      </c>
      <c r="O1871" s="6" t="s">
        <v>58</v>
      </c>
      <c r="P1871" s="6" t="n">
        <v>4</v>
      </c>
      <c r="Q1871" s="6" t="n">
        <v>-12.94</v>
      </c>
      <c r="R1871" s="20" t="n">
        <f aca="false">(L1871-K1871)/K1871</f>
        <v>0.0937369056715388</v>
      </c>
    </row>
    <row r="1872" customFormat="false" ht="15" hidden="false" customHeight="false" outlineLevel="0" collapsed="false">
      <c r="A1872" s="6" t="s">
        <v>2034</v>
      </c>
      <c r="B1872" s="6" t="n">
        <v>23</v>
      </c>
      <c r="C1872" s="6" t="s">
        <v>139</v>
      </c>
      <c r="D1872" s="6" t="s">
        <v>135</v>
      </c>
      <c r="E1872" s="6" t="s">
        <v>87</v>
      </c>
      <c r="F1872" s="6" t="s">
        <v>149</v>
      </c>
      <c r="G1872" s="6" t="n">
        <v>0</v>
      </c>
      <c r="H1872" s="6" t="s">
        <v>82</v>
      </c>
      <c r="I1872" s="6" t="s">
        <v>81</v>
      </c>
      <c r="J1872" s="6" t="s">
        <v>58</v>
      </c>
      <c r="K1872" s="6" t="n">
        <v>37903</v>
      </c>
      <c r="L1872" s="6" t="n">
        <v>41067</v>
      </c>
      <c r="M1872" s="6" t="s">
        <v>146</v>
      </c>
      <c r="N1872" s="6" t="n">
        <v>39</v>
      </c>
      <c r="O1872" s="6" t="s">
        <v>58</v>
      </c>
      <c r="P1872" s="6" t="n">
        <v>9</v>
      </c>
      <c r="Q1872" s="6" t="n">
        <v>21.9</v>
      </c>
      <c r="R1872" s="20" t="n">
        <f aca="false">(L1872-K1872)/K1872</f>
        <v>0.0834762419861225</v>
      </c>
    </row>
    <row r="1873" customFormat="false" ht="15" hidden="false" customHeight="false" outlineLevel="0" collapsed="false">
      <c r="A1873" s="6" t="s">
        <v>2035</v>
      </c>
      <c r="B1873" s="6" t="n">
        <v>33</v>
      </c>
      <c r="C1873" s="6" t="s">
        <v>134</v>
      </c>
      <c r="D1873" s="6" t="s">
        <v>144</v>
      </c>
      <c r="E1873" s="6" t="s">
        <v>92</v>
      </c>
      <c r="F1873" s="6" t="s">
        <v>222</v>
      </c>
      <c r="G1873" s="6" t="n">
        <v>9</v>
      </c>
      <c r="H1873" s="6" t="s">
        <v>81</v>
      </c>
      <c r="I1873" s="6" t="s">
        <v>82</v>
      </c>
      <c r="J1873" s="6" t="s">
        <v>60</v>
      </c>
      <c r="K1873" s="6" t="n">
        <v>53901</v>
      </c>
      <c r="L1873" s="6" t="n">
        <v>52876</v>
      </c>
      <c r="M1873" s="6" t="s">
        <v>142</v>
      </c>
      <c r="N1873" s="6" t="n">
        <v>50</v>
      </c>
      <c r="O1873" s="6" t="s">
        <v>58</v>
      </c>
      <c r="P1873" s="6" t="n">
        <v>6</v>
      </c>
      <c r="Q1873" s="6" t="n">
        <v>20.08</v>
      </c>
      <c r="R1873" s="20" t="n">
        <f aca="false">(L1873-K1873)/K1873</f>
        <v>-0.0190163447802453</v>
      </c>
    </row>
    <row r="1874" customFormat="false" ht="15" hidden="false" customHeight="false" outlineLevel="0" collapsed="false">
      <c r="A1874" s="6" t="s">
        <v>2036</v>
      </c>
      <c r="B1874" s="6" t="n">
        <v>34</v>
      </c>
      <c r="C1874" s="6" t="s">
        <v>159</v>
      </c>
      <c r="D1874" s="6" t="s">
        <v>140</v>
      </c>
      <c r="E1874" s="6" t="s">
        <v>89</v>
      </c>
      <c r="F1874" s="6" t="s">
        <v>151</v>
      </c>
      <c r="G1874" s="6" t="n">
        <v>9</v>
      </c>
      <c r="H1874" s="6" t="s">
        <v>82</v>
      </c>
      <c r="I1874" s="6" t="s">
        <v>82</v>
      </c>
      <c r="J1874" s="6" t="s">
        <v>60</v>
      </c>
      <c r="K1874" s="6" t="n">
        <v>89817</v>
      </c>
      <c r="L1874" s="6" t="n">
        <v>98466</v>
      </c>
      <c r="M1874" s="6" t="s">
        <v>137</v>
      </c>
      <c r="N1874" s="6" t="n">
        <v>37</v>
      </c>
      <c r="O1874" s="6" t="s">
        <v>58</v>
      </c>
      <c r="P1874" s="6" t="n">
        <v>3</v>
      </c>
      <c r="Q1874" s="6" t="n">
        <v>-1.27</v>
      </c>
      <c r="R1874" s="20" t="n">
        <f aca="false">(L1874-K1874)/K1874</f>
        <v>0.0962958014629747</v>
      </c>
    </row>
    <row r="1875" customFormat="false" ht="15" hidden="false" customHeight="false" outlineLevel="0" collapsed="false">
      <c r="A1875" s="6" t="s">
        <v>2037</v>
      </c>
      <c r="B1875" s="6" t="n">
        <v>32</v>
      </c>
      <c r="C1875" s="6" t="s">
        <v>134</v>
      </c>
      <c r="D1875" s="6" t="s">
        <v>144</v>
      </c>
      <c r="E1875" s="6" t="s">
        <v>93</v>
      </c>
      <c r="F1875" s="6" t="s">
        <v>164</v>
      </c>
      <c r="G1875" s="6" t="n">
        <v>8</v>
      </c>
      <c r="H1875" s="6" t="s">
        <v>80</v>
      </c>
      <c r="I1875" s="6" t="s">
        <v>80</v>
      </c>
      <c r="J1875" s="6" t="s">
        <v>60</v>
      </c>
      <c r="K1875" s="6" t="n">
        <v>114437</v>
      </c>
      <c r="L1875" s="6" t="n">
        <v>110174</v>
      </c>
      <c r="M1875" s="6" t="s">
        <v>142</v>
      </c>
      <c r="N1875" s="6" t="n">
        <v>54</v>
      </c>
      <c r="O1875" s="6" t="s">
        <v>58</v>
      </c>
      <c r="P1875" s="6" t="n">
        <v>5</v>
      </c>
      <c r="Q1875" s="6" t="n">
        <v>-6.8</v>
      </c>
      <c r="R1875" s="20" t="n">
        <f aca="false">(L1875-K1875)/K1875</f>
        <v>-0.0372519377474069</v>
      </c>
    </row>
    <row r="1876" customFormat="false" ht="15" hidden="false" customHeight="false" outlineLevel="0" collapsed="false">
      <c r="A1876" s="6" t="s">
        <v>2038</v>
      </c>
      <c r="B1876" s="6" t="n">
        <v>42</v>
      </c>
      <c r="C1876" s="6" t="s">
        <v>159</v>
      </c>
      <c r="D1876" s="6" t="s">
        <v>148</v>
      </c>
      <c r="E1876" s="6" t="s">
        <v>92</v>
      </c>
      <c r="F1876" s="6" t="s">
        <v>136</v>
      </c>
      <c r="G1876" s="6" t="n">
        <v>19</v>
      </c>
      <c r="H1876" s="6" t="s">
        <v>81</v>
      </c>
      <c r="I1876" s="6" t="s">
        <v>82</v>
      </c>
      <c r="J1876" s="6" t="s">
        <v>60</v>
      </c>
      <c r="K1876" s="6" t="n">
        <v>102597</v>
      </c>
      <c r="L1876" s="6" t="n">
        <v>108006</v>
      </c>
      <c r="M1876" s="6" t="s">
        <v>142</v>
      </c>
      <c r="N1876" s="6" t="n">
        <v>39</v>
      </c>
      <c r="O1876" s="6" t="s">
        <v>58</v>
      </c>
      <c r="P1876" s="6" t="n">
        <v>5</v>
      </c>
      <c r="Q1876" s="6" t="n">
        <v>6</v>
      </c>
      <c r="R1876" s="20" t="n">
        <f aca="false">(L1876-K1876)/K1876</f>
        <v>0.0527208397906372</v>
      </c>
    </row>
    <row r="1877" customFormat="false" ht="15" hidden="false" customHeight="false" outlineLevel="0" collapsed="false">
      <c r="A1877" s="6" t="s">
        <v>2039</v>
      </c>
      <c r="B1877" s="6" t="n">
        <v>22</v>
      </c>
      <c r="C1877" s="6" t="s">
        <v>134</v>
      </c>
      <c r="D1877" s="6" t="s">
        <v>148</v>
      </c>
      <c r="E1877" s="6" t="s">
        <v>93</v>
      </c>
      <c r="F1877" s="6" t="s">
        <v>181</v>
      </c>
      <c r="G1877" s="6" t="n">
        <v>0</v>
      </c>
      <c r="H1877" s="6" t="s">
        <v>82</v>
      </c>
      <c r="I1877" s="6" t="s">
        <v>81</v>
      </c>
      <c r="J1877" s="6" t="s">
        <v>60</v>
      </c>
      <c r="K1877" s="6" t="n">
        <v>88473</v>
      </c>
      <c r="L1877" s="6" t="n">
        <v>88873</v>
      </c>
      <c r="M1877" s="6" t="s">
        <v>146</v>
      </c>
      <c r="N1877" s="6" t="n">
        <v>41</v>
      </c>
      <c r="O1877" s="6" t="s">
        <v>58</v>
      </c>
      <c r="P1877" s="6" t="n">
        <v>6</v>
      </c>
      <c r="Q1877" s="6" t="n">
        <v>4.51</v>
      </c>
      <c r="R1877" s="20" t="n">
        <f aca="false">(L1877-K1877)/K1877</f>
        <v>0.00452115334621862</v>
      </c>
    </row>
    <row r="1878" customFormat="false" ht="15" hidden="false" customHeight="false" outlineLevel="0" collapsed="false">
      <c r="A1878" s="6" t="s">
        <v>2040</v>
      </c>
      <c r="B1878" s="6" t="n">
        <v>26</v>
      </c>
      <c r="C1878" s="6" t="s">
        <v>159</v>
      </c>
      <c r="D1878" s="6" t="s">
        <v>144</v>
      </c>
      <c r="E1878" s="6" t="s">
        <v>90</v>
      </c>
      <c r="F1878" s="6" t="s">
        <v>202</v>
      </c>
      <c r="G1878" s="6" t="n">
        <v>4</v>
      </c>
      <c r="H1878" s="6" t="s">
        <v>82</v>
      </c>
      <c r="I1878" s="6" t="s">
        <v>82</v>
      </c>
      <c r="J1878" s="6" t="s">
        <v>58</v>
      </c>
      <c r="K1878" s="6" t="n">
        <v>108229</v>
      </c>
      <c r="L1878" s="6" t="n">
        <v>109390</v>
      </c>
      <c r="M1878" s="6" t="s">
        <v>146</v>
      </c>
      <c r="N1878" s="6" t="n">
        <v>50</v>
      </c>
      <c r="O1878" s="6" t="s">
        <v>58</v>
      </c>
      <c r="P1878" s="6" t="n">
        <v>5</v>
      </c>
      <c r="Q1878" s="6" t="n">
        <v>30.23</v>
      </c>
      <c r="R1878" s="20" t="n">
        <f aca="false">(L1878-K1878)/K1878</f>
        <v>0.0107272542479372</v>
      </c>
    </row>
    <row r="1879" customFormat="false" ht="15" hidden="false" customHeight="false" outlineLevel="0" collapsed="false">
      <c r="A1879" s="6" t="s">
        <v>2041</v>
      </c>
      <c r="B1879" s="6" t="n">
        <v>31</v>
      </c>
      <c r="C1879" s="6" t="s">
        <v>134</v>
      </c>
      <c r="D1879" s="6" t="s">
        <v>135</v>
      </c>
      <c r="E1879" s="6" t="s">
        <v>87</v>
      </c>
      <c r="F1879" s="6" t="s">
        <v>149</v>
      </c>
      <c r="G1879" s="6" t="n">
        <v>8</v>
      </c>
      <c r="H1879" s="6" t="s">
        <v>80</v>
      </c>
      <c r="I1879" s="6" t="s">
        <v>80</v>
      </c>
      <c r="J1879" s="6" t="s">
        <v>58</v>
      </c>
      <c r="K1879" s="6" t="n">
        <v>62286</v>
      </c>
      <c r="L1879" s="6" t="n">
        <v>61893</v>
      </c>
      <c r="M1879" s="6" t="s">
        <v>142</v>
      </c>
      <c r="N1879" s="6" t="n">
        <v>40</v>
      </c>
      <c r="O1879" s="6" t="s">
        <v>60</v>
      </c>
      <c r="P1879" s="6" t="n">
        <v>5</v>
      </c>
      <c r="Q1879" s="6" t="n">
        <v>2.34</v>
      </c>
      <c r="R1879" s="20" t="n">
        <f aca="false">(L1879-K1879)/K1879</f>
        <v>-0.00630960408438493</v>
      </c>
    </row>
    <row r="1880" customFormat="false" ht="15" hidden="false" customHeight="false" outlineLevel="0" collapsed="false">
      <c r="A1880" s="6" t="s">
        <v>2042</v>
      </c>
      <c r="B1880" s="6" t="n">
        <v>23</v>
      </c>
      <c r="C1880" s="6" t="s">
        <v>134</v>
      </c>
      <c r="D1880" s="6" t="s">
        <v>135</v>
      </c>
      <c r="E1880" s="6" t="s">
        <v>89</v>
      </c>
      <c r="F1880" s="6" t="s">
        <v>153</v>
      </c>
      <c r="G1880" s="6" t="n">
        <v>0</v>
      </c>
      <c r="H1880" s="6" t="s">
        <v>82</v>
      </c>
      <c r="I1880" s="6" t="s">
        <v>80</v>
      </c>
      <c r="J1880" s="6" t="s">
        <v>60</v>
      </c>
      <c r="K1880" s="6" t="n">
        <v>105396</v>
      </c>
      <c r="L1880" s="6" t="n">
        <v>104631</v>
      </c>
      <c r="M1880" s="6" t="s">
        <v>142</v>
      </c>
      <c r="N1880" s="6" t="n">
        <v>37</v>
      </c>
      <c r="O1880" s="6" t="s">
        <v>60</v>
      </c>
      <c r="P1880" s="6" t="n">
        <v>8</v>
      </c>
      <c r="Q1880" s="6" t="n">
        <v>1.38</v>
      </c>
      <c r="R1880" s="20" t="n">
        <f aca="false">(L1880-K1880)/K1880</f>
        <v>-0.00725833997495161</v>
      </c>
    </row>
    <row r="1881" customFormat="false" ht="15" hidden="false" customHeight="false" outlineLevel="0" collapsed="false">
      <c r="A1881" s="6" t="s">
        <v>2043</v>
      </c>
      <c r="B1881" s="6" t="n">
        <v>58</v>
      </c>
      <c r="C1881" s="6" t="s">
        <v>139</v>
      </c>
      <c r="D1881" s="6" t="s">
        <v>135</v>
      </c>
      <c r="E1881" s="6" t="s">
        <v>90</v>
      </c>
      <c r="F1881" s="6" t="s">
        <v>202</v>
      </c>
      <c r="G1881" s="6" t="n">
        <v>34</v>
      </c>
      <c r="H1881" s="6" t="s">
        <v>82</v>
      </c>
      <c r="I1881" s="6" t="s">
        <v>82</v>
      </c>
      <c r="J1881" s="6" t="s">
        <v>60</v>
      </c>
      <c r="K1881" s="6" t="n">
        <v>116623</v>
      </c>
      <c r="L1881" s="6" t="n">
        <v>155556</v>
      </c>
      <c r="M1881" s="6" t="s">
        <v>137</v>
      </c>
      <c r="N1881" s="6" t="n">
        <v>42</v>
      </c>
      <c r="O1881" s="6" t="s">
        <v>60</v>
      </c>
      <c r="P1881" s="6" t="n">
        <v>6</v>
      </c>
      <c r="Q1881" s="6" t="n">
        <v>22.02</v>
      </c>
      <c r="R1881" s="20" t="n">
        <f aca="false">(L1881-K1881)/K1881</f>
        <v>0.333836378758907</v>
      </c>
    </row>
    <row r="1882" customFormat="false" ht="15" hidden="false" customHeight="false" outlineLevel="0" collapsed="false">
      <c r="A1882" s="6" t="s">
        <v>2044</v>
      </c>
      <c r="B1882" s="6" t="n">
        <v>55</v>
      </c>
      <c r="C1882" s="6" t="s">
        <v>139</v>
      </c>
      <c r="D1882" s="6" t="s">
        <v>140</v>
      </c>
      <c r="E1882" s="6" t="s">
        <v>93</v>
      </c>
      <c r="F1882" s="6" t="s">
        <v>181</v>
      </c>
      <c r="G1882" s="6" t="n">
        <v>30</v>
      </c>
      <c r="H1882" s="6" t="s">
        <v>80</v>
      </c>
      <c r="I1882" s="6" t="s">
        <v>81</v>
      </c>
      <c r="J1882" s="6" t="s">
        <v>58</v>
      </c>
      <c r="K1882" s="6" t="n">
        <v>78657</v>
      </c>
      <c r="L1882" s="6" t="n">
        <v>79537</v>
      </c>
      <c r="M1882" s="6" t="s">
        <v>146</v>
      </c>
      <c r="N1882" s="6" t="n">
        <v>43</v>
      </c>
      <c r="O1882" s="6" t="s">
        <v>58</v>
      </c>
      <c r="P1882" s="6" t="n">
        <v>4</v>
      </c>
      <c r="Q1882" s="6" t="n">
        <v>-13.59</v>
      </c>
      <c r="R1882" s="20" t="n">
        <f aca="false">(L1882-K1882)/K1882</f>
        <v>0.0111878154518988</v>
      </c>
    </row>
    <row r="1883" customFormat="false" ht="15" hidden="false" customHeight="false" outlineLevel="0" collapsed="false">
      <c r="A1883" s="6" t="s">
        <v>2045</v>
      </c>
      <c r="B1883" s="6" t="n">
        <v>59</v>
      </c>
      <c r="C1883" s="6" t="s">
        <v>134</v>
      </c>
      <c r="D1883" s="6" t="s">
        <v>148</v>
      </c>
      <c r="E1883" s="6" t="s">
        <v>93</v>
      </c>
      <c r="F1883" s="6" t="s">
        <v>164</v>
      </c>
      <c r="G1883" s="6" t="n">
        <v>37</v>
      </c>
      <c r="H1883" s="6" t="s">
        <v>82</v>
      </c>
      <c r="I1883" s="6" t="s">
        <v>82</v>
      </c>
      <c r="J1883" s="6" t="s">
        <v>58</v>
      </c>
      <c r="K1883" s="6" t="n">
        <v>46442</v>
      </c>
      <c r="L1883" s="6" t="n">
        <v>42287</v>
      </c>
      <c r="M1883" s="6" t="s">
        <v>137</v>
      </c>
      <c r="N1883" s="6" t="n">
        <v>53</v>
      </c>
      <c r="O1883" s="6" t="s">
        <v>58</v>
      </c>
      <c r="P1883" s="6" t="n">
        <v>8</v>
      </c>
      <c r="Q1883" s="6" t="n">
        <v>-13.61</v>
      </c>
      <c r="R1883" s="20" t="n">
        <f aca="false">(L1883-K1883)/K1883</f>
        <v>-0.0894664312475776</v>
      </c>
    </row>
    <row r="1884" customFormat="false" ht="15" hidden="false" customHeight="false" outlineLevel="0" collapsed="false">
      <c r="A1884" s="6" t="s">
        <v>2046</v>
      </c>
      <c r="B1884" s="6" t="n">
        <v>42</v>
      </c>
      <c r="C1884" s="6" t="s">
        <v>134</v>
      </c>
      <c r="D1884" s="6" t="s">
        <v>148</v>
      </c>
      <c r="E1884" s="6" t="s">
        <v>87</v>
      </c>
      <c r="F1884" s="6" t="s">
        <v>160</v>
      </c>
      <c r="G1884" s="6" t="n">
        <v>18</v>
      </c>
      <c r="H1884" s="6" t="s">
        <v>80</v>
      </c>
      <c r="I1884" s="6" t="s">
        <v>81</v>
      </c>
      <c r="J1884" s="6" t="s">
        <v>60</v>
      </c>
      <c r="K1884" s="6" t="n">
        <v>36641</v>
      </c>
      <c r="L1884" s="6" t="n">
        <v>37593</v>
      </c>
      <c r="M1884" s="6" t="s">
        <v>146</v>
      </c>
      <c r="N1884" s="6" t="n">
        <v>49</v>
      </c>
      <c r="O1884" s="6" t="s">
        <v>60</v>
      </c>
      <c r="P1884" s="6" t="n">
        <v>9</v>
      </c>
      <c r="Q1884" s="6" t="n">
        <v>37.98</v>
      </c>
      <c r="R1884" s="20" t="n">
        <f aca="false">(L1884-K1884)/K1884</f>
        <v>0.0259818236401845</v>
      </c>
    </row>
    <row r="1885" customFormat="false" ht="15" hidden="false" customHeight="false" outlineLevel="0" collapsed="false">
      <c r="A1885" s="6" t="s">
        <v>2047</v>
      </c>
      <c r="B1885" s="6" t="n">
        <v>35</v>
      </c>
      <c r="C1885" s="6" t="s">
        <v>134</v>
      </c>
      <c r="D1885" s="6" t="s">
        <v>148</v>
      </c>
      <c r="E1885" s="6" t="s">
        <v>87</v>
      </c>
      <c r="F1885" s="6" t="s">
        <v>149</v>
      </c>
      <c r="G1885" s="6" t="n">
        <v>9</v>
      </c>
      <c r="H1885" s="6" t="s">
        <v>81</v>
      </c>
      <c r="I1885" s="6" t="s">
        <v>81</v>
      </c>
      <c r="J1885" s="6" t="s">
        <v>58</v>
      </c>
      <c r="K1885" s="6" t="n">
        <v>47223</v>
      </c>
      <c r="L1885" s="6" t="n">
        <v>54607</v>
      </c>
      <c r="M1885" s="6" t="s">
        <v>146</v>
      </c>
      <c r="N1885" s="6" t="n">
        <v>51</v>
      </c>
      <c r="O1885" s="6" t="s">
        <v>60</v>
      </c>
      <c r="P1885" s="6" t="n">
        <v>5</v>
      </c>
      <c r="Q1885" s="6" t="n">
        <v>8.28</v>
      </c>
      <c r="R1885" s="20" t="n">
        <f aca="false">(L1885-K1885)/K1885</f>
        <v>0.156364483408509</v>
      </c>
    </row>
    <row r="1886" customFormat="false" ht="15" hidden="false" customHeight="false" outlineLevel="0" collapsed="false">
      <c r="A1886" s="6" t="s">
        <v>2048</v>
      </c>
      <c r="B1886" s="6" t="n">
        <v>26</v>
      </c>
      <c r="C1886" s="6" t="s">
        <v>139</v>
      </c>
      <c r="D1886" s="6" t="s">
        <v>144</v>
      </c>
      <c r="E1886" s="6" t="s">
        <v>93</v>
      </c>
      <c r="F1886" s="6" t="s">
        <v>181</v>
      </c>
      <c r="G1886" s="6" t="n">
        <v>1</v>
      </c>
      <c r="H1886" s="6" t="s">
        <v>82</v>
      </c>
      <c r="I1886" s="6" t="s">
        <v>81</v>
      </c>
      <c r="J1886" s="6" t="s">
        <v>58</v>
      </c>
      <c r="K1886" s="6" t="n">
        <v>57215</v>
      </c>
      <c r="L1886" s="6" t="n">
        <v>65937</v>
      </c>
      <c r="M1886" s="6" t="s">
        <v>146</v>
      </c>
      <c r="N1886" s="6" t="n">
        <v>36</v>
      </c>
      <c r="O1886" s="6" t="s">
        <v>60</v>
      </c>
      <c r="P1886" s="6" t="n">
        <v>9</v>
      </c>
      <c r="Q1886" s="6" t="n">
        <v>33.35</v>
      </c>
      <c r="R1886" s="20" t="n">
        <f aca="false">(L1886-K1886)/K1886</f>
        <v>0.152442541291619</v>
      </c>
    </row>
    <row r="1887" customFormat="false" ht="15" hidden="false" customHeight="false" outlineLevel="0" collapsed="false">
      <c r="A1887" s="6" t="s">
        <v>2049</v>
      </c>
      <c r="B1887" s="6" t="n">
        <v>35</v>
      </c>
      <c r="C1887" s="6" t="s">
        <v>139</v>
      </c>
      <c r="D1887" s="6" t="s">
        <v>135</v>
      </c>
      <c r="E1887" s="6" t="s">
        <v>93</v>
      </c>
      <c r="F1887" s="6" t="s">
        <v>197</v>
      </c>
      <c r="G1887" s="6" t="n">
        <v>12</v>
      </c>
      <c r="H1887" s="6" t="s">
        <v>80</v>
      </c>
      <c r="I1887" s="6" t="s">
        <v>81</v>
      </c>
      <c r="J1887" s="6" t="s">
        <v>60</v>
      </c>
      <c r="K1887" s="6" t="n">
        <v>109036</v>
      </c>
      <c r="L1887" s="6" t="n">
        <v>109716</v>
      </c>
      <c r="M1887" s="6" t="s">
        <v>146</v>
      </c>
      <c r="N1887" s="6" t="n">
        <v>42</v>
      </c>
      <c r="O1887" s="6" t="s">
        <v>60</v>
      </c>
      <c r="P1887" s="6" t="n">
        <v>7</v>
      </c>
      <c r="Q1887" s="6" t="n">
        <v>17.55</v>
      </c>
      <c r="R1887" s="20" t="n">
        <f aca="false">(L1887-K1887)/K1887</f>
        <v>0.0062364723577534</v>
      </c>
    </row>
    <row r="1888" customFormat="false" ht="15" hidden="false" customHeight="false" outlineLevel="0" collapsed="false">
      <c r="A1888" s="6" t="s">
        <v>2050</v>
      </c>
      <c r="B1888" s="6" t="n">
        <v>50</v>
      </c>
      <c r="C1888" s="6" t="s">
        <v>134</v>
      </c>
      <c r="D1888" s="6" t="s">
        <v>144</v>
      </c>
      <c r="E1888" s="6" t="s">
        <v>92</v>
      </c>
      <c r="F1888" s="6" t="s">
        <v>222</v>
      </c>
      <c r="G1888" s="6" t="n">
        <v>26</v>
      </c>
      <c r="H1888" s="6" t="s">
        <v>82</v>
      </c>
      <c r="I1888" s="6" t="s">
        <v>80</v>
      </c>
      <c r="J1888" s="6" t="s">
        <v>60</v>
      </c>
      <c r="K1888" s="6" t="n">
        <v>111008</v>
      </c>
      <c r="L1888" s="6" t="n">
        <v>139659</v>
      </c>
      <c r="M1888" s="6" t="s">
        <v>142</v>
      </c>
      <c r="N1888" s="6" t="n">
        <v>53</v>
      </c>
      <c r="O1888" s="6" t="s">
        <v>58</v>
      </c>
      <c r="P1888" s="6" t="n">
        <v>8</v>
      </c>
      <c r="Q1888" s="6" t="n">
        <v>10.65</v>
      </c>
      <c r="R1888" s="20" t="n">
        <f aca="false">(L1888-K1888)/K1888</f>
        <v>0.258098515422312</v>
      </c>
    </row>
    <row r="1889" customFormat="false" ht="15" hidden="false" customHeight="false" outlineLevel="0" collapsed="false">
      <c r="A1889" s="6" t="s">
        <v>2051</v>
      </c>
      <c r="B1889" s="6" t="n">
        <v>55</v>
      </c>
      <c r="C1889" s="6" t="s">
        <v>134</v>
      </c>
      <c r="D1889" s="6" t="s">
        <v>135</v>
      </c>
      <c r="E1889" s="6" t="s">
        <v>90</v>
      </c>
      <c r="F1889" s="6" t="s">
        <v>202</v>
      </c>
      <c r="G1889" s="6" t="n">
        <v>33</v>
      </c>
      <c r="H1889" s="6" t="s">
        <v>80</v>
      </c>
      <c r="I1889" s="6" t="s">
        <v>81</v>
      </c>
      <c r="J1889" s="6" t="s">
        <v>60</v>
      </c>
      <c r="K1889" s="6" t="n">
        <v>116219</v>
      </c>
      <c r="L1889" s="6" t="n">
        <v>112293</v>
      </c>
      <c r="M1889" s="6" t="s">
        <v>146</v>
      </c>
      <c r="N1889" s="6" t="n">
        <v>52</v>
      </c>
      <c r="O1889" s="6" t="s">
        <v>58</v>
      </c>
      <c r="P1889" s="6" t="n">
        <v>5</v>
      </c>
      <c r="Q1889" s="6" t="n">
        <v>10.39</v>
      </c>
      <c r="R1889" s="20" t="n">
        <f aca="false">(L1889-K1889)/K1889</f>
        <v>-0.033781051291097</v>
      </c>
    </row>
    <row r="1890" customFormat="false" ht="15" hidden="false" customHeight="false" outlineLevel="0" collapsed="false">
      <c r="A1890" s="6" t="s">
        <v>2052</v>
      </c>
      <c r="B1890" s="6" t="n">
        <v>39</v>
      </c>
      <c r="C1890" s="6" t="s">
        <v>134</v>
      </c>
      <c r="D1890" s="6" t="s">
        <v>148</v>
      </c>
      <c r="E1890" s="6" t="s">
        <v>87</v>
      </c>
      <c r="F1890" s="6" t="s">
        <v>149</v>
      </c>
      <c r="G1890" s="6" t="n">
        <v>13</v>
      </c>
      <c r="H1890" s="6" t="s">
        <v>82</v>
      </c>
      <c r="I1890" s="6" t="s">
        <v>81</v>
      </c>
      <c r="J1890" s="6" t="s">
        <v>60</v>
      </c>
      <c r="K1890" s="6" t="n">
        <v>62735</v>
      </c>
      <c r="L1890" s="6" t="n">
        <v>69953</v>
      </c>
      <c r="M1890" s="6" t="s">
        <v>146</v>
      </c>
      <c r="N1890" s="6" t="n">
        <v>52</v>
      </c>
      <c r="O1890" s="6" t="s">
        <v>58</v>
      </c>
      <c r="P1890" s="6" t="n">
        <v>9</v>
      </c>
      <c r="Q1890" s="6" t="n">
        <v>2.12</v>
      </c>
      <c r="R1890" s="20" t="n">
        <f aca="false">(L1890-K1890)/K1890</f>
        <v>0.115055391727106</v>
      </c>
    </row>
    <row r="1891" customFormat="false" ht="15" hidden="false" customHeight="false" outlineLevel="0" collapsed="false">
      <c r="A1891" s="6" t="s">
        <v>2053</v>
      </c>
      <c r="B1891" s="6" t="n">
        <v>38</v>
      </c>
      <c r="C1891" s="6" t="s">
        <v>134</v>
      </c>
      <c r="D1891" s="6" t="s">
        <v>135</v>
      </c>
      <c r="E1891" s="6" t="s">
        <v>87</v>
      </c>
      <c r="F1891" s="6" t="s">
        <v>155</v>
      </c>
      <c r="G1891" s="6" t="n">
        <v>13</v>
      </c>
      <c r="H1891" s="6" t="s">
        <v>80</v>
      </c>
      <c r="I1891" s="6" t="s">
        <v>81</v>
      </c>
      <c r="J1891" s="6" t="s">
        <v>60</v>
      </c>
      <c r="K1891" s="6" t="n">
        <v>86289</v>
      </c>
      <c r="L1891" s="6" t="n">
        <v>93755</v>
      </c>
      <c r="M1891" s="6" t="s">
        <v>146</v>
      </c>
      <c r="N1891" s="6" t="n">
        <v>53</v>
      </c>
      <c r="O1891" s="6" t="s">
        <v>60</v>
      </c>
      <c r="P1891" s="6" t="n">
        <v>7</v>
      </c>
      <c r="Q1891" s="6" t="n">
        <v>-1.75</v>
      </c>
      <c r="R1891" s="20" t="n">
        <f aca="false">(L1891-K1891)/K1891</f>
        <v>0.0865231953087879</v>
      </c>
    </row>
    <row r="1892" customFormat="false" ht="15" hidden="false" customHeight="false" outlineLevel="0" collapsed="false">
      <c r="A1892" s="6" t="s">
        <v>2054</v>
      </c>
      <c r="B1892" s="6" t="n">
        <v>56</v>
      </c>
      <c r="C1892" s="6" t="s">
        <v>159</v>
      </c>
      <c r="D1892" s="6" t="s">
        <v>140</v>
      </c>
      <c r="E1892" s="6" t="s">
        <v>92</v>
      </c>
      <c r="F1892" s="6" t="s">
        <v>136</v>
      </c>
      <c r="G1892" s="6" t="n">
        <v>31</v>
      </c>
      <c r="H1892" s="6" t="s">
        <v>82</v>
      </c>
      <c r="I1892" s="6" t="s">
        <v>81</v>
      </c>
      <c r="J1892" s="6" t="s">
        <v>60</v>
      </c>
      <c r="K1892" s="6" t="n">
        <v>59164</v>
      </c>
      <c r="L1892" s="6" t="n">
        <v>60626</v>
      </c>
      <c r="M1892" s="6" t="s">
        <v>146</v>
      </c>
      <c r="N1892" s="6" t="n">
        <v>54</v>
      </c>
      <c r="O1892" s="6" t="s">
        <v>60</v>
      </c>
      <c r="P1892" s="6" t="n">
        <v>8</v>
      </c>
      <c r="Q1892" s="6" t="n">
        <v>-15.15</v>
      </c>
      <c r="R1892" s="20" t="n">
        <f aca="false">(L1892-K1892)/K1892</f>
        <v>0.0247109728889189</v>
      </c>
    </row>
    <row r="1893" customFormat="false" ht="15" hidden="false" customHeight="false" outlineLevel="0" collapsed="false">
      <c r="A1893" s="6" t="s">
        <v>2055</v>
      </c>
      <c r="B1893" s="6" t="n">
        <v>37</v>
      </c>
      <c r="C1893" s="6" t="s">
        <v>134</v>
      </c>
      <c r="D1893" s="6" t="s">
        <v>144</v>
      </c>
      <c r="E1893" s="6" t="s">
        <v>90</v>
      </c>
      <c r="F1893" s="6" t="s">
        <v>236</v>
      </c>
      <c r="G1893" s="6" t="n">
        <v>12</v>
      </c>
      <c r="H1893" s="6" t="s">
        <v>82</v>
      </c>
      <c r="I1893" s="6" t="s">
        <v>82</v>
      </c>
      <c r="J1893" s="6" t="s">
        <v>58</v>
      </c>
      <c r="K1893" s="6" t="n">
        <v>78599</v>
      </c>
      <c r="L1893" s="6" t="n">
        <v>90844</v>
      </c>
      <c r="M1893" s="6" t="s">
        <v>146</v>
      </c>
      <c r="N1893" s="6" t="n">
        <v>38</v>
      </c>
      <c r="O1893" s="6" t="s">
        <v>58</v>
      </c>
      <c r="P1893" s="6" t="n">
        <v>3</v>
      </c>
      <c r="Q1893" s="6" t="n">
        <v>25.36</v>
      </c>
      <c r="R1893" s="20" t="n">
        <f aca="false">(L1893-K1893)/K1893</f>
        <v>0.155790786142317</v>
      </c>
    </row>
    <row r="1894" customFormat="false" ht="15" hidden="false" customHeight="false" outlineLevel="0" collapsed="false">
      <c r="A1894" s="6" t="s">
        <v>2056</v>
      </c>
      <c r="B1894" s="6" t="n">
        <v>23</v>
      </c>
      <c r="C1894" s="6" t="s">
        <v>159</v>
      </c>
      <c r="D1894" s="6" t="s">
        <v>135</v>
      </c>
      <c r="E1894" s="6" t="s">
        <v>92</v>
      </c>
      <c r="F1894" s="6" t="s">
        <v>192</v>
      </c>
      <c r="G1894" s="6" t="n">
        <v>0</v>
      </c>
      <c r="H1894" s="6" t="s">
        <v>82</v>
      </c>
      <c r="I1894" s="6" t="s">
        <v>81</v>
      </c>
      <c r="J1894" s="6" t="s">
        <v>58</v>
      </c>
      <c r="K1894" s="6" t="n">
        <v>33577</v>
      </c>
      <c r="L1894" s="6" t="n">
        <v>44096</v>
      </c>
      <c r="M1894" s="6" t="s">
        <v>146</v>
      </c>
      <c r="N1894" s="6" t="n">
        <v>53</v>
      </c>
      <c r="O1894" s="6" t="s">
        <v>58</v>
      </c>
      <c r="P1894" s="6" t="n">
        <v>8</v>
      </c>
      <c r="Q1894" s="6" t="n">
        <v>-14.49</v>
      </c>
      <c r="R1894" s="20" t="n">
        <f aca="false">(L1894-K1894)/K1894</f>
        <v>0.313279923757334</v>
      </c>
    </row>
    <row r="1895" customFormat="false" ht="15" hidden="false" customHeight="false" outlineLevel="0" collapsed="false">
      <c r="A1895" s="6" t="s">
        <v>2057</v>
      </c>
      <c r="B1895" s="6" t="n">
        <v>45</v>
      </c>
      <c r="C1895" s="6" t="s">
        <v>159</v>
      </c>
      <c r="D1895" s="6" t="s">
        <v>144</v>
      </c>
      <c r="E1895" s="6" t="s">
        <v>91</v>
      </c>
      <c r="F1895" s="6" t="s">
        <v>206</v>
      </c>
      <c r="G1895" s="6" t="n">
        <v>20</v>
      </c>
      <c r="H1895" s="6" t="s">
        <v>82</v>
      </c>
      <c r="I1895" s="6" t="s">
        <v>82</v>
      </c>
      <c r="J1895" s="6" t="s">
        <v>58</v>
      </c>
      <c r="K1895" s="6" t="n">
        <v>86680</v>
      </c>
      <c r="L1895" s="6" t="n">
        <v>72785</v>
      </c>
      <c r="M1895" s="6" t="s">
        <v>146</v>
      </c>
      <c r="N1895" s="6" t="n">
        <v>53</v>
      </c>
      <c r="O1895" s="6" t="s">
        <v>60</v>
      </c>
      <c r="P1895" s="6" t="n">
        <v>9</v>
      </c>
      <c r="Q1895" s="6" t="n">
        <v>-7.04</v>
      </c>
      <c r="R1895" s="20" t="n">
        <f aca="false">(L1895-K1895)/K1895</f>
        <v>-0.160302261190586</v>
      </c>
    </row>
    <row r="1896" customFormat="false" ht="15" hidden="false" customHeight="false" outlineLevel="0" collapsed="false">
      <c r="A1896" s="6" t="s">
        <v>2058</v>
      </c>
      <c r="B1896" s="6" t="n">
        <v>40</v>
      </c>
      <c r="C1896" s="6" t="s">
        <v>159</v>
      </c>
      <c r="D1896" s="6" t="s">
        <v>144</v>
      </c>
      <c r="E1896" s="6" t="s">
        <v>92</v>
      </c>
      <c r="F1896" s="6" t="s">
        <v>192</v>
      </c>
      <c r="G1896" s="6" t="n">
        <v>18</v>
      </c>
      <c r="H1896" s="6" t="s">
        <v>80</v>
      </c>
      <c r="I1896" s="6" t="s">
        <v>81</v>
      </c>
      <c r="J1896" s="6" t="s">
        <v>60</v>
      </c>
      <c r="K1896" s="6" t="n">
        <v>102489</v>
      </c>
      <c r="L1896" s="6" t="n">
        <v>109507</v>
      </c>
      <c r="M1896" s="6" t="s">
        <v>146</v>
      </c>
      <c r="N1896" s="6" t="n">
        <v>40</v>
      </c>
      <c r="O1896" s="6" t="s">
        <v>60</v>
      </c>
      <c r="P1896" s="6" t="n">
        <v>6</v>
      </c>
      <c r="Q1896" s="6" t="n">
        <v>19.37</v>
      </c>
      <c r="R1896" s="20" t="n">
        <f aca="false">(L1896-K1896)/K1896</f>
        <v>0.0684756412883334</v>
      </c>
    </row>
    <row r="1897" customFormat="false" ht="15" hidden="false" customHeight="false" outlineLevel="0" collapsed="false">
      <c r="A1897" s="6" t="s">
        <v>2059</v>
      </c>
      <c r="B1897" s="6" t="n">
        <v>26</v>
      </c>
      <c r="C1897" s="6" t="s">
        <v>134</v>
      </c>
      <c r="D1897" s="6" t="s">
        <v>144</v>
      </c>
      <c r="E1897" s="6" t="s">
        <v>90</v>
      </c>
      <c r="F1897" s="6" t="s">
        <v>202</v>
      </c>
      <c r="G1897" s="6" t="n">
        <v>4</v>
      </c>
      <c r="H1897" s="6" t="s">
        <v>82</v>
      </c>
      <c r="I1897" s="6" t="s">
        <v>82</v>
      </c>
      <c r="J1897" s="6" t="s">
        <v>60</v>
      </c>
      <c r="K1897" s="6" t="n">
        <v>41094</v>
      </c>
      <c r="L1897" s="6" t="n">
        <v>43095</v>
      </c>
      <c r="M1897" s="6" t="s">
        <v>146</v>
      </c>
      <c r="N1897" s="6" t="n">
        <v>45</v>
      </c>
      <c r="O1897" s="6" t="s">
        <v>58</v>
      </c>
      <c r="P1897" s="6" t="n">
        <v>9</v>
      </c>
      <c r="Q1897" s="6" t="n">
        <v>30.53</v>
      </c>
      <c r="R1897" s="20" t="n">
        <f aca="false">(L1897-K1897)/K1897</f>
        <v>0.0486932398890349</v>
      </c>
    </row>
    <row r="1898" customFormat="false" ht="15" hidden="false" customHeight="false" outlineLevel="0" collapsed="false">
      <c r="A1898" s="6" t="s">
        <v>2060</v>
      </c>
      <c r="B1898" s="6" t="n">
        <v>32</v>
      </c>
      <c r="C1898" s="6" t="s">
        <v>159</v>
      </c>
      <c r="D1898" s="6" t="s">
        <v>144</v>
      </c>
      <c r="E1898" s="6" t="s">
        <v>87</v>
      </c>
      <c r="F1898" s="6" t="s">
        <v>155</v>
      </c>
      <c r="G1898" s="6" t="n">
        <v>6</v>
      </c>
      <c r="H1898" s="6" t="s">
        <v>81</v>
      </c>
      <c r="I1898" s="6" t="s">
        <v>82</v>
      </c>
      <c r="J1898" s="6" t="s">
        <v>60</v>
      </c>
      <c r="K1898" s="6" t="n">
        <v>89021</v>
      </c>
      <c r="L1898" s="6" t="n">
        <v>101668</v>
      </c>
      <c r="M1898" s="6" t="s">
        <v>142</v>
      </c>
      <c r="N1898" s="6" t="n">
        <v>52</v>
      </c>
      <c r="O1898" s="6" t="s">
        <v>58</v>
      </c>
      <c r="P1898" s="6" t="n">
        <v>5</v>
      </c>
      <c r="Q1898" s="6" t="n">
        <v>-2.36</v>
      </c>
      <c r="R1898" s="20" t="n">
        <f aca="false">(L1898-K1898)/K1898</f>
        <v>0.142067602026488</v>
      </c>
    </row>
    <row r="1899" customFormat="false" ht="15" hidden="false" customHeight="false" outlineLevel="0" collapsed="false">
      <c r="A1899" s="6" t="s">
        <v>2061</v>
      </c>
      <c r="B1899" s="6" t="n">
        <v>39</v>
      </c>
      <c r="C1899" s="6" t="s">
        <v>134</v>
      </c>
      <c r="D1899" s="6" t="s">
        <v>144</v>
      </c>
      <c r="E1899" s="6" t="s">
        <v>93</v>
      </c>
      <c r="F1899" s="6" t="s">
        <v>164</v>
      </c>
      <c r="G1899" s="6" t="n">
        <v>16</v>
      </c>
      <c r="H1899" s="6" t="s">
        <v>82</v>
      </c>
      <c r="I1899" s="6" t="s">
        <v>81</v>
      </c>
      <c r="J1899" s="6" t="s">
        <v>60</v>
      </c>
      <c r="K1899" s="6" t="n">
        <v>64555</v>
      </c>
      <c r="L1899" s="6" t="n">
        <v>75241</v>
      </c>
      <c r="M1899" s="6" t="s">
        <v>146</v>
      </c>
      <c r="N1899" s="6" t="n">
        <v>50</v>
      </c>
      <c r="O1899" s="6" t="s">
        <v>60</v>
      </c>
      <c r="P1899" s="6" t="n">
        <v>4</v>
      </c>
      <c r="Q1899" s="6" t="n">
        <v>-3.51</v>
      </c>
      <c r="R1899" s="20" t="n">
        <f aca="false">(L1899-K1899)/K1899</f>
        <v>0.16553326620711</v>
      </c>
    </row>
    <row r="1900" customFormat="false" ht="15" hidden="false" customHeight="false" outlineLevel="0" collapsed="false">
      <c r="A1900" s="6" t="s">
        <v>2062</v>
      </c>
      <c r="B1900" s="6" t="n">
        <v>51</v>
      </c>
      <c r="C1900" s="6" t="s">
        <v>134</v>
      </c>
      <c r="D1900" s="6" t="s">
        <v>140</v>
      </c>
      <c r="E1900" s="6" t="s">
        <v>91</v>
      </c>
      <c r="F1900" s="6" t="s">
        <v>206</v>
      </c>
      <c r="G1900" s="6" t="n">
        <v>28</v>
      </c>
      <c r="H1900" s="6" t="s">
        <v>81</v>
      </c>
      <c r="I1900" s="6" t="s">
        <v>80</v>
      </c>
      <c r="J1900" s="6" t="s">
        <v>60</v>
      </c>
      <c r="K1900" s="6" t="n">
        <v>42318</v>
      </c>
      <c r="L1900" s="6" t="n">
        <v>38408</v>
      </c>
      <c r="M1900" s="6" t="s">
        <v>142</v>
      </c>
      <c r="N1900" s="6" t="n">
        <v>51</v>
      </c>
      <c r="O1900" s="6" t="s">
        <v>58</v>
      </c>
      <c r="P1900" s="6" t="n">
        <v>4</v>
      </c>
      <c r="Q1900" s="6" t="n">
        <v>25.01</v>
      </c>
      <c r="R1900" s="20" t="n">
        <f aca="false">(L1900-K1900)/K1900</f>
        <v>-0.0923956708729146</v>
      </c>
    </row>
    <row r="1901" customFormat="false" ht="15" hidden="false" customHeight="false" outlineLevel="0" collapsed="false">
      <c r="A1901" s="6" t="s">
        <v>2063</v>
      </c>
      <c r="B1901" s="6" t="n">
        <v>56</v>
      </c>
      <c r="C1901" s="6" t="s">
        <v>159</v>
      </c>
      <c r="D1901" s="6" t="s">
        <v>140</v>
      </c>
      <c r="E1901" s="6" t="s">
        <v>88</v>
      </c>
      <c r="F1901" s="6" t="s">
        <v>234</v>
      </c>
      <c r="G1901" s="6" t="n">
        <v>33</v>
      </c>
      <c r="H1901" s="6" t="s">
        <v>81</v>
      </c>
      <c r="I1901" s="6" t="s">
        <v>80</v>
      </c>
      <c r="J1901" s="6" t="s">
        <v>58</v>
      </c>
      <c r="K1901" s="6" t="n">
        <v>109968</v>
      </c>
      <c r="L1901" s="6" t="n">
        <v>118009</v>
      </c>
      <c r="M1901" s="6" t="s">
        <v>142</v>
      </c>
      <c r="N1901" s="6" t="n">
        <v>54</v>
      </c>
      <c r="O1901" s="6" t="s">
        <v>58</v>
      </c>
      <c r="P1901" s="6" t="n">
        <v>9</v>
      </c>
      <c r="Q1901" s="6" t="n">
        <v>32.38</v>
      </c>
      <c r="R1901" s="20" t="n">
        <f aca="false">(L1901-K1901)/K1901</f>
        <v>0.0731212716426597</v>
      </c>
    </row>
    <row r="1902" customFormat="false" ht="15" hidden="false" customHeight="false" outlineLevel="0" collapsed="false">
      <c r="A1902" s="6" t="s">
        <v>2064</v>
      </c>
      <c r="B1902" s="6" t="n">
        <v>24</v>
      </c>
      <c r="C1902" s="6" t="s">
        <v>134</v>
      </c>
      <c r="D1902" s="6" t="s">
        <v>140</v>
      </c>
      <c r="E1902" s="6" t="s">
        <v>91</v>
      </c>
      <c r="F1902" s="6" t="s">
        <v>208</v>
      </c>
      <c r="G1902" s="6" t="n">
        <v>0</v>
      </c>
      <c r="H1902" s="6" t="s">
        <v>81</v>
      </c>
      <c r="I1902" s="6" t="s">
        <v>82</v>
      </c>
      <c r="J1902" s="6" t="s">
        <v>60</v>
      </c>
      <c r="K1902" s="6" t="n">
        <v>55727</v>
      </c>
      <c r="L1902" s="6" t="n">
        <v>57394</v>
      </c>
      <c r="M1902" s="6" t="s">
        <v>142</v>
      </c>
      <c r="N1902" s="6" t="n">
        <v>40</v>
      </c>
      <c r="O1902" s="6" t="s">
        <v>58</v>
      </c>
      <c r="P1902" s="6" t="n">
        <v>6</v>
      </c>
      <c r="Q1902" s="6" t="n">
        <v>-8.48</v>
      </c>
      <c r="R1902" s="20" t="n">
        <f aca="false">(L1902-K1902)/K1902</f>
        <v>0.0299136863638811</v>
      </c>
    </row>
    <row r="1903" customFormat="false" ht="15" hidden="false" customHeight="false" outlineLevel="0" collapsed="false">
      <c r="A1903" s="6" t="s">
        <v>2065</v>
      </c>
      <c r="B1903" s="6" t="n">
        <v>57</v>
      </c>
      <c r="C1903" s="6" t="s">
        <v>139</v>
      </c>
      <c r="D1903" s="6" t="s">
        <v>135</v>
      </c>
      <c r="E1903" s="6" t="s">
        <v>91</v>
      </c>
      <c r="F1903" s="6" t="s">
        <v>206</v>
      </c>
      <c r="G1903" s="6" t="n">
        <v>31</v>
      </c>
      <c r="H1903" s="6" t="s">
        <v>81</v>
      </c>
      <c r="I1903" s="6" t="s">
        <v>80</v>
      </c>
      <c r="J1903" s="6" t="s">
        <v>58</v>
      </c>
      <c r="K1903" s="6" t="n">
        <v>33881</v>
      </c>
      <c r="L1903" s="6" t="n">
        <v>32960</v>
      </c>
      <c r="M1903" s="6" t="s">
        <v>142</v>
      </c>
      <c r="N1903" s="6" t="n">
        <v>52</v>
      </c>
      <c r="O1903" s="6" t="s">
        <v>58</v>
      </c>
      <c r="P1903" s="6" t="n">
        <v>5</v>
      </c>
      <c r="Q1903" s="6" t="n">
        <v>-0.57</v>
      </c>
      <c r="R1903" s="20" t="n">
        <f aca="false">(L1903-K1903)/K1903</f>
        <v>-0.0271833771140167</v>
      </c>
    </row>
    <row r="1904" customFormat="false" ht="15" hidden="false" customHeight="false" outlineLevel="0" collapsed="false">
      <c r="A1904" s="6" t="s">
        <v>2066</v>
      </c>
      <c r="B1904" s="6" t="n">
        <v>23</v>
      </c>
      <c r="C1904" s="6" t="s">
        <v>139</v>
      </c>
      <c r="D1904" s="6" t="s">
        <v>140</v>
      </c>
      <c r="E1904" s="6" t="s">
        <v>93</v>
      </c>
      <c r="F1904" s="6" t="s">
        <v>164</v>
      </c>
      <c r="G1904" s="6" t="n">
        <v>0</v>
      </c>
      <c r="H1904" s="6" t="s">
        <v>80</v>
      </c>
      <c r="I1904" s="6" t="s">
        <v>80</v>
      </c>
      <c r="J1904" s="6" t="s">
        <v>60</v>
      </c>
      <c r="K1904" s="6" t="n">
        <v>89402</v>
      </c>
      <c r="L1904" s="6" t="n">
        <v>85711</v>
      </c>
      <c r="M1904" s="6" t="s">
        <v>142</v>
      </c>
      <c r="N1904" s="6" t="n">
        <v>49</v>
      </c>
      <c r="O1904" s="6" t="s">
        <v>58</v>
      </c>
      <c r="P1904" s="6" t="n">
        <v>5</v>
      </c>
      <c r="Q1904" s="6" t="n">
        <v>35.75</v>
      </c>
      <c r="R1904" s="20" t="n">
        <f aca="false">(L1904-K1904)/K1904</f>
        <v>-0.0412854298561553</v>
      </c>
    </row>
    <row r="1905" customFormat="false" ht="15" hidden="false" customHeight="false" outlineLevel="0" collapsed="false">
      <c r="A1905" s="6" t="s">
        <v>2067</v>
      </c>
      <c r="B1905" s="6" t="n">
        <v>32</v>
      </c>
      <c r="C1905" s="6" t="s">
        <v>159</v>
      </c>
      <c r="D1905" s="6" t="s">
        <v>135</v>
      </c>
      <c r="E1905" s="6" t="s">
        <v>93</v>
      </c>
      <c r="F1905" s="6" t="s">
        <v>164</v>
      </c>
      <c r="G1905" s="6" t="n">
        <v>7</v>
      </c>
      <c r="H1905" s="6" t="s">
        <v>82</v>
      </c>
      <c r="I1905" s="6" t="s">
        <v>82</v>
      </c>
      <c r="J1905" s="6" t="s">
        <v>58</v>
      </c>
      <c r="K1905" s="6" t="n">
        <v>34507</v>
      </c>
      <c r="L1905" s="6" t="n">
        <v>38929</v>
      </c>
      <c r="M1905" s="6" t="s">
        <v>137</v>
      </c>
      <c r="N1905" s="6" t="n">
        <v>45</v>
      </c>
      <c r="O1905" s="6" t="s">
        <v>60</v>
      </c>
      <c r="P1905" s="6" t="n">
        <v>5</v>
      </c>
      <c r="Q1905" s="6" t="n">
        <v>-8.77</v>
      </c>
      <c r="R1905" s="20" t="n">
        <f aca="false">(L1905-K1905)/K1905</f>
        <v>0.128147912017851</v>
      </c>
    </row>
    <row r="1906" customFormat="false" ht="15" hidden="false" customHeight="false" outlineLevel="0" collapsed="false">
      <c r="A1906" s="6" t="s">
        <v>2068</v>
      </c>
      <c r="B1906" s="6" t="n">
        <v>49</v>
      </c>
      <c r="C1906" s="6" t="s">
        <v>139</v>
      </c>
      <c r="D1906" s="6" t="s">
        <v>135</v>
      </c>
      <c r="E1906" s="6" t="s">
        <v>88</v>
      </c>
      <c r="F1906" s="6" t="s">
        <v>157</v>
      </c>
      <c r="G1906" s="6" t="n">
        <v>27</v>
      </c>
      <c r="H1906" s="6" t="s">
        <v>80</v>
      </c>
      <c r="I1906" s="6" t="s">
        <v>80</v>
      </c>
      <c r="J1906" s="6" t="s">
        <v>60</v>
      </c>
      <c r="K1906" s="6" t="n">
        <v>55530</v>
      </c>
      <c r="L1906" s="6" t="n">
        <v>54108</v>
      </c>
      <c r="M1906" s="6" t="s">
        <v>142</v>
      </c>
      <c r="N1906" s="6" t="n">
        <v>36</v>
      </c>
      <c r="O1906" s="6" t="s">
        <v>60</v>
      </c>
      <c r="P1906" s="6" t="n">
        <v>6</v>
      </c>
      <c r="Q1906" s="6" t="n">
        <v>4.46</v>
      </c>
      <c r="R1906" s="20" t="n">
        <f aca="false">(L1906-K1906)/K1906</f>
        <v>-0.0256077795786062</v>
      </c>
    </row>
    <row r="1907" customFormat="false" ht="15" hidden="false" customHeight="false" outlineLevel="0" collapsed="false">
      <c r="A1907" s="6" t="s">
        <v>2069</v>
      </c>
      <c r="B1907" s="6" t="n">
        <v>23</v>
      </c>
      <c r="C1907" s="6" t="s">
        <v>159</v>
      </c>
      <c r="D1907" s="6" t="s">
        <v>140</v>
      </c>
      <c r="E1907" s="6" t="s">
        <v>91</v>
      </c>
      <c r="F1907" s="6" t="s">
        <v>206</v>
      </c>
      <c r="G1907" s="6" t="n">
        <v>0</v>
      </c>
      <c r="H1907" s="6" t="s">
        <v>81</v>
      </c>
      <c r="I1907" s="6" t="s">
        <v>81</v>
      </c>
      <c r="J1907" s="6" t="s">
        <v>60</v>
      </c>
      <c r="K1907" s="6" t="n">
        <v>82044</v>
      </c>
      <c r="L1907" s="6" t="n">
        <v>86728</v>
      </c>
      <c r="M1907" s="6" t="s">
        <v>146</v>
      </c>
      <c r="N1907" s="6" t="n">
        <v>45</v>
      </c>
      <c r="O1907" s="6" t="s">
        <v>60</v>
      </c>
      <c r="P1907" s="6" t="n">
        <v>8</v>
      </c>
      <c r="Q1907" s="6" t="n">
        <v>9.12</v>
      </c>
      <c r="R1907" s="20" t="n">
        <f aca="false">(L1907-K1907)/K1907</f>
        <v>0.0570913168543708</v>
      </c>
    </row>
    <row r="1908" customFormat="false" ht="15" hidden="false" customHeight="false" outlineLevel="0" collapsed="false">
      <c r="A1908" s="6" t="s">
        <v>2070</v>
      </c>
      <c r="B1908" s="6" t="n">
        <v>51</v>
      </c>
      <c r="C1908" s="6" t="s">
        <v>139</v>
      </c>
      <c r="D1908" s="6" t="s">
        <v>144</v>
      </c>
      <c r="E1908" s="6" t="s">
        <v>90</v>
      </c>
      <c r="F1908" s="6" t="s">
        <v>236</v>
      </c>
      <c r="G1908" s="6" t="n">
        <v>28</v>
      </c>
      <c r="H1908" s="6" t="s">
        <v>80</v>
      </c>
      <c r="I1908" s="6" t="s">
        <v>81</v>
      </c>
      <c r="J1908" s="6" t="s">
        <v>60</v>
      </c>
      <c r="K1908" s="6" t="n">
        <v>52525</v>
      </c>
      <c r="L1908" s="6" t="n">
        <v>50627</v>
      </c>
      <c r="M1908" s="6" t="s">
        <v>146</v>
      </c>
      <c r="N1908" s="6" t="n">
        <v>51</v>
      </c>
      <c r="O1908" s="6" t="s">
        <v>58</v>
      </c>
      <c r="P1908" s="6" t="n">
        <v>8</v>
      </c>
      <c r="Q1908" s="6" t="n">
        <v>23.3</v>
      </c>
      <c r="R1908" s="20" t="n">
        <f aca="false">(L1908-K1908)/K1908</f>
        <v>-0.0361351737267968</v>
      </c>
    </row>
    <row r="1909" customFormat="false" ht="15" hidden="false" customHeight="false" outlineLevel="0" collapsed="false">
      <c r="A1909" s="6" t="s">
        <v>2071</v>
      </c>
      <c r="B1909" s="6" t="n">
        <v>40</v>
      </c>
      <c r="C1909" s="6" t="s">
        <v>159</v>
      </c>
      <c r="D1909" s="6" t="s">
        <v>140</v>
      </c>
      <c r="E1909" s="6" t="s">
        <v>90</v>
      </c>
      <c r="F1909" s="6" t="s">
        <v>236</v>
      </c>
      <c r="G1909" s="6" t="n">
        <v>18</v>
      </c>
      <c r="H1909" s="6" t="s">
        <v>81</v>
      </c>
      <c r="I1909" s="6" t="s">
        <v>81</v>
      </c>
      <c r="J1909" s="6" t="s">
        <v>58</v>
      </c>
      <c r="K1909" s="6" t="n">
        <v>85715</v>
      </c>
      <c r="L1909" s="6" t="n">
        <v>96176</v>
      </c>
      <c r="M1909" s="6" t="s">
        <v>146</v>
      </c>
      <c r="N1909" s="6" t="n">
        <v>48</v>
      </c>
      <c r="O1909" s="6" t="s">
        <v>60</v>
      </c>
      <c r="P1909" s="6" t="n">
        <v>5</v>
      </c>
      <c r="Q1909" s="6" t="n">
        <v>6.89</v>
      </c>
      <c r="R1909" s="20" t="n">
        <f aca="false">(L1909-K1909)/K1909</f>
        <v>0.122043982966809</v>
      </c>
    </row>
    <row r="1910" customFormat="false" ht="15" hidden="false" customHeight="false" outlineLevel="0" collapsed="false">
      <c r="A1910" s="6" t="s">
        <v>2072</v>
      </c>
      <c r="B1910" s="6" t="n">
        <v>57</v>
      </c>
      <c r="C1910" s="6" t="s">
        <v>134</v>
      </c>
      <c r="D1910" s="6" t="s">
        <v>148</v>
      </c>
      <c r="E1910" s="6" t="s">
        <v>92</v>
      </c>
      <c r="F1910" s="6" t="s">
        <v>136</v>
      </c>
      <c r="G1910" s="6" t="n">
        <v>32</v>
      </c>
      <c r="H1910" s="6" t="s">
        <v>80</v>
      </c>
      <c r="I1910" s="6" t="s">
        <v>81</v>
      </c>
      <c r="J1910" s="6" t="s">
        <v>60</v>
      </c>
      <c r="K1910" s="6" t="n">
        <v>35539</v>
      </c>
      <c r="L1910" s="6" t="n">
        <v>37454</v>
      </c>
      <c r="M1910" s="6" t="s">
        <v>146</v>
      </c>
      <c r="N1910" s="6" t="n">
        <v>46</v>
      </c>
      <c r="O1910" s="6" t="s">
        <v>60</v>
      </c>
      <c r="P1910" s="6" t="n">
        <v>7</v>
      </c>
      <c r="Q1910" s="6" t="n">
        <v>15.53</v>
      </c>
      <c r="R1910" s="20" t="n">
        <f aca="false">(L1910-K1910)/K1910</f>
        <v>0.0538844649539942</v>
      </c>
    </row>
    <row r="1911" customFormat="false" ht="15" hidden="false" customHeight="false" outlineLevel="0" collapsed="false">
      <c r="A1911" s="6" t="s">
        <v>2073</v>
      </c>
      <c r="B1911" s="6" t="n">
        <v>51</v>
      </c>
      <c r="C1911" s="6" t="s">
        <v>134</v>
      </c>
      <c r="D1911" s="6" t="s">
        <v>144</v>
      </c>
      <c r="E1911" s="6" t="s">
        <v>87</v>
      </c>
      <c r="F1911" s="6" t="s">
        <v>155</v>
      </c>
      <c r="G1911" s="6" t="n">
        <v>26</v>
      </c>
      <c r="H1911" s="6" t="s">
        <v>80</v>
      </c>
      <c r="I1911" s="6" t="s">
        <v>80</v>
      </c>
      <c r="J1911" s="6" t="s">
        <v>58</v>
      </c>
      <c r="K1911" s="6" t="n">
        <v>114766</v>
      </c>
      <c r="L1911" s="6" t="n">
        <v>109768</v>
      </c>
      <c r="M1911" s="6" t="s">
        <v>142</v>
      </c>
      <c r="N1911" s="6" t="n">
        <v>39</v>
      </c>
      <c r="O1911" s="6" t="s">
        <v>60</v>
      </c>
      <c r="P1911" s="6" t="n">
        <v>8</v>
      </c>
      <c r="Q1911" s="6" t="n">
        <v>32.2</v>
      </c>
      <c r="R1911" s="20" t="n">
        <f aca="false">(L1911-K1911)/K1911</f>
        <v>-0.0435494832964467</v>
      </c>
    </row>
    <row r="1912" customFormat="false" ht="15" hidden="false" customHeight="false" outlineLevel="0" collapsed="false">
      <c r="A1912" s="6" t="s">
        <v>2074</v>
      </c>
      <c r="B1912" s="6" t="n">
        <v>26</v>
      </c>
      <c r="C1912" s="6" t="s">
        <v>139</v>
      </c>
      <c r="D1912" s="6" t="s">
        <v>135</v>
      </c>
      <c r="E1912" s="6" t="s">
        <v>89</v>
      </c>
      <c r="F1912" s="6" t="s">
        <v>162</v>
      </c>
      <c r="G1912" s="6" t="n">
        <v>2</v>
      </c>
      <c r="H1912" s="6" t="s">
        <v>82</v>
      </c>
      <c r="I1912" s="6" t="s">
        <v>80</v>
      </c>
      <c r="J1912" s="6" t="s">
        <v>60</v>
      </c>
      <c r="K1912" s="6" t="n">
        <v>110730</v>
      </c>
      <c r="L1912" s="6" t="n">
        <v>134356</v>
      </c>
      <c r="M1912" s="6" t="s">
        <v>142</v>
      </c>
      <c r="N1912" s="6" t="n">
        <v>43</v>
      </c>
      <c r="O1912" s="6" t="s">
        <v>60</v>
      </c>
      <c r="P1912" s="6" t="n">
        <v>9</v>
      </c>
      <c r="Q1912" s="6" t="n">
        <v>-9.5</v>
      </c>
      <c r="R1912" s="20" t="n">
        <f aca="false">(L1912-K1912)/K1912</f>
        <v>0.213365844847828</v>
      </c>
    </row>
    <row r="1913" customFormat="false" ht="15" hidden="false" customHeight="false" outlineLevel="0" collapsed="false">
      <c r="A1913" s="6" t="s">
        <v>2075</v>
      </c>
      <c r="B1913" s="6" t="n">
        <v>53</v>
      </c>
      <c r="C1913" s="6" t="s">
        <v>139</v>
      </c>
      <c r="D1913" s="6" t="s">
        <v>140</v>
      </c>
      <c r="E1913" s="6" t="s">
        <v>91</v>
      </c>
      <c r="F1913" s="6" t="s">
        <v>208</v>
      </c>
      <c r="G1913" s="6" t="n">
        <v>29</v>
      </c>
      <c r="H1913" s="6" t="s">
        <v>81</v>
      </c>
      <c r="I1913" s="6" t="s">
        <v>82</v>
      </c>
      <c r="J1913" s="6" t="s">
        <v>58</v>
      </c>
      <c r="K1913" s="6" t="n">
        <v>107582</v>
      </c>
      <c r="L1913" s="6" t="n">
        <v>113537</v>
      </c>
      <c r="M1913" s="6" t="s">
        <v>142</v>
      </c>
      <c r="N1913" s="6" t="n">
        <v>53</v>
      </c>
      <c r="O1913" s="6" t="s">
        <v>60</v>
      </c>
      <c r="P1913" s="6" t="n">
        <v>3</v>
      </c>
      <c r="Q1913" s="6" t="n">
        <v>33.44</v>
      </c>
      <c r="R1913" s="20" t="n">
        <f aca="false">(L1913-K1913)/K1913</f>
        <v>0.0553531259876188</v>
      </c>
    </row>
    <row r="1914" customFormat="false" ht="15" hidden="false" customHeight="false" outlineLevel="0" collapsed="false">
      <c r="A1914" s="6" t="s">
        <v>2076</v>
      </c>
      <c r="B1914" s="6" t="n">
        <v>49</v>
      </c>
      <c r="C1914" s="6" t="s">
        <v>134</v>
      </c>
      <c r="D1914" s="6" t="s">
        <v>148</v>
      </c>
      <c r="E1914" s="6" t="s">
        <v>93</v>
      </c>
      <c r="F1914" s="6" t="s">
        <v>181</v>
      </c>
      <c r="G1914" s="6" t="n">
        <v>27</v>
      </c>
      <c r="H1914" s="6" t="s">
        <v>81</v>
      </c>
      <c r="I1914" s="6" t="s">
        <v>80</v>
      </c>
      <c r="J1914" s="6" t="s">
        <v>60</v>
      </c>
      <c r="K1914" s="6" t="n">
        <v>92866</v>
      </c>
      <c r="L1914" s="6" t="n">
        <v>92349</v>
      </c>
      <c r="M1914" s="6" t="s">
        <v>142</v>
      </c>
      <c r="N1914" s="6" t="n">
        <v>49</v>
      </c>
      <c r="O1914" s="6" t="s">
        <v>60</v>
      </c>
      <c r="P1914" s="6" t="n">
        <v>4</v>
      </c>
      <c r="Q1914" s="6" t="n">
        <v>-16.86</v>
      </c>
      <c r="R1914" s="20" t="n">
        <f aca="false">(L1914-K1914)/K1914</f>
        <v>-0.00556716128615424</v>
      </c>
    </row>
    <row r="1915" customFormat="false" ht="15" hidden="false" customHeight="false" outlineLevel="0" collapsed="false">
      <c r="A1915" s="6" t="s">
        <v>2077</v>
      </c>
      <c r="B1915" s="6" t="n">
        <v>44</v>
      </c>
      <c r="C1915" s="6" t="s">
        <v>134</v>
      </c>
      <c r="D1915" s="6" t="s">
        <v>140</v>
      </c>
      <c r="E1915" s="6" t="s">
        <v>90</v>
      </c>
      <c r="F1915" s="6" t="s">
        <v>202</v>
      </c>
      <c r="G1915" s="6" t="n">
        <v>20</v>
      </c>
      <c r="H1915" s="6" t="s">
        <v>82</v>
      </c>
      <c r="I1915" s="6" t="s">
        <v>80</v>
      </c>
      <c r="J1915" s="6" t="s">
        <v>58</v>
      </c>
      <c r="K1915" s="6" t="n">
        <v>111981</v>
      </c>
      <c r="L1915" s="6" t="n">
        <v>135008</v>
      </c>
      <c r="M1915" s="6" t="s">
        <v>142</v>
      </c>
      <c r="N1915" s="6" t="n">
        <v>54</v>
      </c>
      <c r="O1915" s="6" t="s">
        <v>58</v>
      </c>
      <c r="P1915" s="6" t="n">
        <v>4</v>
      </c>
      <c r="Q1915" s="6" t="n">
        <v>1.42</v>
      </c>
      <c r="R1915" s="20" t="n">
        <f aca="false">(L1915-K1915)/K1915</f>
        <v>0.205633098472062</v>
      </c>
    </row>
    <row r="1916" customFormat="false" ht="15" hidden="false" customHeight="false" outlineLevel="0" collapsed="false">
      <c r="A1916" s="6" t="s">
        <v>2078</v>
      </c>
      <c r="B1916" s="6" t="n">
        <v>50</v>
      </c>
      <c r="C1916" s="6" t="s">
        <v>139</v>
      </c>
      <c r="D1916" s="6" t="s">
        <v>144</v>
      </c>
      <c r="E1916" s="6" t="s">
        <v>89</v>
      </c>
      <c r="F1916" s="6" t="s">
        <v>162</v>
      </c>
      <c r="G1916" s="6" t="n">
        <v>27</v>
      </c>
      <c r="H1916" s="6" t="s">
        <v>80</v>
      </c>
      <c r="I1916" s="6" t="s">
        <v>80</v>
      </c>
      <c r="J1916" s="6" t="s">
        <v>58</v>
      </c>
      <c r="K1916" s="6" t="n">
        <v>119976</v>
      </c>
      <c r="L1916" s="6" t="n">
        <v>118542</v>
      </c>
      <c r="M1916" s="6" t="s">
        <v>142</v>
      </c>
      <c r="N1916" s="6" t="n">
        <v>54</v>
      </c>
      <c r="O1916" s="6" t="s">
        <v>58</v>
      </c>
      <c r="P1916" s="6" t="n">
        <v>7</v>
      </c>
      <c r="Q1916" s="6" t="n">
        <v>32.5</v>
      </c>
      <c r="R1916" s="20" t="n">
        <f aca="false">(L1916-K1916)/K1916</f>
        <v>-0.0119523904780956</v>
      </c>
    </row>
    <row r="1917" customFormat="false" ht="15" hidden="false" customHeight="false" outlineLevel="0" collapsed="false">
      <c r="A1917" s="6" t="s">
        <v>2079</v>
      </c>
      <c r="B1917" s="6" t="n">
        <v>53</v>
      </c>
      <c r="C1917" s="6" t="s">
        <v>134</v>
      </c>
      <c r="D1917" s="6" t="s">
        <v>148</v>
      </c>
      <c r="E1917" s="6" t="s">
        <v>92</v>
      </c>
      <c r="F1917" s="6" t="s">
        <v>192</v>
      </c>
      <c r="G1917" s="6" t="n">
        <v>30</v>
      </c>
      <c r="H1917" s="6" t="s">
        <v>82</v>
      </c>
      <c r="I1917" s="6" t="s">
        <v>80</v>
      </c>
      <c r="J1917" s="6" t="s">
        <v>60</v>
      </c>
      <c r="K1917" s="6" t="n">
        <v>86878</v>
      </c>
      <c r="L1917" s="6" t="n">
        <v>116176</v>
      </c>
      <c r="M1917" s="6" t="s">
        <v>142</v>
      </c>
      <c r="N1917" s="6" t="n">
        <v>38</v>
      </c>
      <c r="O1917" s="6" t="s">
        <v>60</v>
      </c>
      <c r="P1917" s="6" t="n">
        <v>6</v>
      </c>
      <c r="Q1917" s="6" t="n">
        <v>-16.97</v>
      </c>
      <c r="R1917" s="20" t="n">
        <f aca="false">(L1917-K1917)/K1917</f>
        <v>0.337231520062617</v>
      </c>
    </row>
    <row r="1918" customFormat="false" ht="15" hidden="false" customHeight="false" outlineLevel="0" collapsed="false">
      <c r="A1918" s="6" t="s">
        <v>2080</v>
      </c>
      <c r="B1918" s="6" t="n">
        <v>24</v>
      </c>
      <c r="C1918" s="6" t="s">
        <v>159</v>
      </c>
      <c r="D1918" s="6" t="s">
        <v>144</v>
      </c>
      <c r="E1918" s="6" t="s">
        <v>93</v>
      </c>
      <c r="F1918" s="6" t="s">
        <v>164</v>
      </c>
      <c r="G1918" s="6" t="n">
        <v>0</v>
      </c>
      <c r="H1918" s="6" t="s">
        <v>80</v>
      </c>
      <c r="I1918" s="6" t="s">
        <v>81</v>
      </c>
      <c r="J1918" s="6" t="s">
        <v>58</v>
      </c>
      <c r="K1918" s="6" t="n">
        <v>52580</v>
      </c>
      <c r="L1918" s="6" t="n">
        <v>54418</v>
      </c>
      <c r="M1918" s="6" t="s">
        <v>146</v>
      </c>
      <c r="N1918" s="6" t="n">
        <v>35</v>
      </c>
      <c r="O1918" s="6" t="s">
        <v>60</v>
      </c>
      <c r="P1918" s="6" t="n">
        <v>8</v>
      </c>
      <c r="Q1918" s="6" t="n">
        <v>-11.04</v>
      </c>
      <c r="R1918" s="20" t="n">
        <f aca="false">(L1918-K1918)/K1918</f>
        <v>0.0349562571319894</v>
      </c>
    </row>
    <row r="1919" customFormat="false" ht="15" hidden="false" customHeight="false" outlineLevel="0" collapsed="false">
      <c r="A1919" s="6" t="s">
        <v>2081</v>
      </c>
      <c r="B1919" s="6" t="n">
        <v>28</v>
      </c>
      <c r="C1919" s="6" t="s">
        <v>139</v>
      </c>
      <c r="D1919" s="6" t="s">
        <v>144</v>
      </c>
      <c r="E1919" s="6" t="s">
        <v>91</v>
      </c>
      <c r="F1919" s="6" t="s">
        <v>206</v>
      </c>
      <c r="G1919" s="6" t="n">
        <v>4</v>
      </c>
      <c r="H1919" s="6" t="s">
        <v>81</v>
      </c>
      <c r="I1919" s="6" t="s">
        <v>82</v>
      </c>
      <c r="J1919" s="6" t="s">
        <v>60</v>
      </c>
      <c r="K1919" s="6" t="n">
        <v>37851</v>
      </c>
      <c r="L1919" s="6" t="n">
        <v>37164</v>
      </c>
      <c r="M1919" s="6" t="s">
        <v>142</v>
      </c>
      <c r="N1919" s="6" t="n">
        <v>47</v>
      </c>
      <c r="O1919" s="6" t="s">
        <v>60</v>
      </c>
      <c r="P1919" s="6" t="n">
        <v>4</v>
      </c>
      <c r="Q1919" s="6" t="n">
        <v>-19.85</v>
      </c>
      <c r="R1919" s="20" t="n">
        <f aca="false">(L1919-K1919)/K1919</f>
        <v>-0.0181501149243085</v>
      </c>
    </row>
    <row r="1920" customFormat="false" ht="15" hidden="false" customHeight="false" outlineLevel="0" collapsed="false">
      <c r="A1920" s="6" t="s">
        <v>2082</v>
      </c>
      <c r="B1920" s="6" t="n">
        <v>33</v>
      </c>
      <c r="C1920" s="6" t="s">
        <v>139</v>
      </c>
      <c r="D1920" s="6" t="s">
        <v>144</v>
      </c>
      <c r="E1920" s="6" t="s">
        <v>89</v>
      </c>
      <c r="F1920" s="6" t="s">
        <v>151</v>
      </c>
      <c r="G1920" s="6" t="n">
        <v>7</v>
      </c>
      <c r="H1920" s="6" t="s">
        <v>80</v>
      </c>
      <c r="I1920" s="6" t="s">
        <v>80</v>
      </c>
      <c r="J1920" s="6" t="s">
        <v>60</v>
      </c>
      <c r="K1920" s="6" t="n">
        <v>92805</v>
      </c>
      <c r="L1920" s="6" t="n">
        <v>96941</v>
      </c>
      <c r="M1920" s="6" t="s">
        <v>142</v>
      </c>
      <c r="N1920" s="6" t="n">
        <v>46</v>
      </c>
      <c r="O1920" s="6" t="s">
        <v>58</v>
      </c>
      <c r="P1920" s="6" t="n">
        <v>5</v>
      </c>
      <c r="Q1920" s="6" t="n">
        <v>11.79</v>
      </c>
      <c r="R1920" s="20" t="n">
        <f aca="false">(L1920-K1920)/K1920</f>
        <v>0.0445665643014924</v>
      </c>
    </row>
    <row r="1921" customFormat="false" ht="15" hidden="false" customHeight="false" outlineLevel="0" collapsed="false">
      <c r="A1921" s="6" t="s">
        <v>2083</v>
      </c>
      <c r="B1921" s="6" t="n">
        <v>59</v>
      </c>
      <c r="C1921" s="6" t="s">
        <v>159</v>
      </c>
      <c r="D1921" s="6" t="s">
        <v>144</v>
      </c>
      <c r="E1921" s="6" t="s">
        <v>88</v>
      </c>
      <c r="F1921" s="6" t="s">
        <v>157</v>
      </c>
      <c r="G1921" s="6" t="n">
        <v>35</v>
      </c>
      <c r="H1921" s="6" t="s">
        <v>82</v>
      </c>
      <c r="I1921" s="6" t="s">
        <v>81</v>
      </c>
      <c r="J1921" s="6" t="s">
        <v>60</v>
      </c>
      <c r="K1921" s="6" t="n">
        <v>69423</v>
      </c>
      <c r="L1921" s="6" t="n">
        <v>94039</v>
      </c>
      <c r="M1921" s="6" t="s">
        <v>146</v>
      </c>
      <c r="N1921" s="6" t="n">
        <v>36</v>
      </c>
      <c r="O1921" s="6" t="s">
        <v>58</v>
      </c>
      <c r="P1921" s="6" t="n">
        <v>9</v>
      </c>
      <c r="Q1921" s="6" t="n">
        <v>22.74</v>
      </c>
      <c r="R1921" s="20" t="n">
        <f aca="false">(L1921-K1921)/K1921</f>
        <v>0.354579894271351</v>
      </c>
    </row>
    <row r="1922" customFormat="false" ht="15" hidden="false" customHeight="false" outlineLevel="0" collapsed="false">
      <c r="A1922" s="6" t="s">
        <v>2084</v>
      </c>
      <c r="B1922" s="6" t="n">
        <v>58</v>
      </c>
      <c r="C1922" s="6" t="s">
        <v>139</v>
      </c>
      <c r="D1922" s="6" t="s">
        <v>135</v>
      </c>
      <c r="E1922" s="6" t="s">
        <v>89</v>
      </c>
      <c r="F1922" s="6" t="s">
        <v>162</v>
      </c>
      <c r="G1922" s="6" t="n">
        <v>36</v>
      </c>
      <c r="H1922" s="6" t="s">
        <v>82</v>
      </c>
      <c r="I1922" s="6" t="s">
        <v>80</v>
      </c>
      <c r="J1922" s="6" t="s">
        <v>60</v>
      </c>
      <c r="K1922" s="6" t="n">
        <v>66725</v>
      </c>
      <c r="L1922" s="6" t="n">
        <v>69647</v>
      </c>
      <c r="M1922" s="6" t="s">
        <v>142</v>
      </c>
      <c r="N1922" s="6" t="n">
        <v>52</v>
      </c>
      <c r="O1922" s="6" t="s">
        <v>60</v>
      </c>
      <c r="P1922" s="6" t="n">
        <v>7</v>
      </c>
      <c r="Q1922" s="6" t="n">
        <v>-9.99</v>
      </c>
      <c r="R1922" s="20" t="n">
        <f aca="false">(L1922-K1922)/K1922</f>
        <v>0.0437916822780067</v>
      </c>
    </row>
    <row r="1923" customFormat="false" ht="15" hidden="false" customHeight="false" outlineLevel="0" collapsed="false">
      <c r="A1923" s="6" t="s">
        <v>2085</v>
      </c>
      <c r="B1923" s="6" t="n">
        <v>50</v>
      </c>
      <c r="C1923" s="6" t="s">
        <v>139</v>
      </c>
      <c r="D1923" s="6" t="s">
        <v>135</v>
      </c>
      <c r="E1923" s="6" t="s">
        <v>89</v>
      </c>
      <c r="F1923" s="6" t="s">
        <v>151</v>
      </c>
      <c r="G1923" s="6" t="n">
        <v>28</v>
      </c>
      <c r="H1923" s="6" t="s">
        <v>82</v>
      </c>
      <c r="I1923" s="6" t="s">
        <v>80</v>
      </c>
      <c r="J1923" s="6" t="s">
        <v>58</v>
      </c>
      <c r="K1923" s="6" t="n">
        <v>82433</v>
      </c>
      <c r="L1923" s="6" t="n">
        <v>72482</v>
      </c>
      <c r="M1923" s="6" t="s">
        <v>142</v>
      </c>
      <c r="N1923" s="6" t="n">
        <v>38</v>
      </c>
      <c r="O1923" s="6" t="s">
        <v>60</v>
      </c>
      <c r="P1923" s="6" t="n">
        <v>3</v>
      </c>
      <c r="Q1923" s="6" t="n">
        <v>15.73</v>
      </c>
      <c r="R1923" s="20" t="n">
        <f aca="false">(L1923-K1923)/K1923</f>
        <v>-0.120716218019482</v>
      </c>
    </row>
    <row r="1924" customFormat="false" ht="15" hidden="false" customHeight="false" outlineLevel="0" collapsed="false">
      <c r="A1924" s="6" t="s">
        <v>2086</v>
      </c>
      <c r="B1924" s="6" t="n">
        <v>44</v>
      </c>
      <c r="C1924" s="6" t="s">
        <v>134</v>
      </c>
      <c r="D1924" s="6" t="s">
        <v>140</v>
      </c>
      <c r="E1924" s="6" t="s">
        <v>87</v>
      </c>
      <c r="F1924" s="6" t="s">
        <v>160</v>
      </c>
      <c r="G1924" s="6" t="n">
        <v>18</v>
      </c>
      <c r="H1924" s="6" t="s">
        <v>81</v>
      </c>
      <c r="I1924" s="6" t="s">
        <v>81</v>
      </c>
      <c r="J1924" s="6" t="s">
        <v>58</v>
      </c>
      <c r="K1924" s="6" t="n">
        <v>48782</v>
      </c>
      <c r="L1924" s="6" t="n">
        <v>47585</v>
      </c>
      <c r="M1924" s="6" t="s">
        <v>146</v>
      </c>
      <c r="N1924" s="6" t="n">
        <v>49</v>
      </c>
      <c r="O1924" s="6" t="s">
        <v>60</v>
      </c>
      <c r="P1924" s="6" t="n">
        <v>7</v>
      </c>
      <c r="Q1924" s="6" t="n">
        <v>-3.68</v>
      </c>
      <c r="R1924" s="20" t="n">
        <f aca="false">(L1924-K1924)/K1924</f>
        <v>-0.0245377393300808</v>
      </c>
    </row>
    <row r="1925" customFormat="false" ht="15" hidden="false" customHeight="false" outlineLevel="0" collapsed="false">
      <c r="A1925" s="6" t="s">
        <v>2087</v>
      </c>
      <c r="B1925" s="6" t="n">
        <v>36</v>
      </c>
      <c r="C1925" s="6" t="s">
        <v>159</v>
      </c>
      <c r="D1925" s="6" t="s">
        <v>148</v>
      </c>
      <c r="E1925" s="6" t="s">
        <v>93</v>
      </c>
      <c r="F1925" s="6" t="s">
        <v>164</v>
      </c>
      <c r="G1925" s="6" t="n">
        <v>13</v>
      </c>
      <c r="H1925" s="6" t="s">
        <v>82</v>
      </c>
      <c r="I1925" s="6" t="s">
        <v>82</v>
      </c>
      <c r="J1925" s="6" t="s">
        <v>58</v>
      </c>
      <c r="K1925" s="6" t="n">
        <v>50977</v>
      </c>
      <c r="L1925" s="6" t="n">
        <v>42284</v>
      </c>
      <c r="M1925" s="6" t="s">
        <v>146</v>
      </c>
      <c r="N1925" s="6" t="n">
        <v>40</v>
      </c>
      <c r="O1925" s="6" t="s">
        <v>60</v>
      </c>
      <c r="P1925" s="6" t="n">
        <v>4</v>
      </c>
      <c r="Q1925" s="6" t="n">
        <v>0.08</v>
      </c>
      <c r="R1925" s="20" t="n">
        <f aca="false">(L1925-K1925)/K1925</f>
        <v>-0.170527885124664</v>
      </c>
    </row>
    <row r="1926" customFormat="false" ht="15" hidden="false" customHeight="false" outlineLevel="0" collapsed="false">
      <c r="A1926" s="6" t="s">
        <v>2088</v>
      </c>
      <c r="B1926" s="6" t="n">
        <v>48</v>
      </c>
      <c r="C1926" s="6" t="s">
        <v>134</v>
      </c>
      <c r="D1926" s="6" t="s">
        <v>144</v>
      </c>
      <c r="E1926" s="6" t="s">
        <v>89</v>
      </c>
      <c r="F1926" s="6" t="s">
        <v>153</v>
      </c>
      <c r="G1926" s="6" t="n">
        <v>26</v>
      </c>
      <c r="H1926" s="6" t="s">
        <v>80</v>
      </c>
      <c r="I1926" s="6" t="s">
        <v>80</v>
      </c>
      <c r="J1926" s="6" t="s">
        <v>60</v>
      </c>
      <c r="K1926" s="6" t="n">
        <v>96836</v>
      </c>
      <c r="L1926" s="6" t="n">
        <v>105235</v>
      </c>
      <c r="M1926" s="6" t="s">
        <v>142</v>
      </c>
      <c r="N1926" s="6" t="n">
        <v>36</v>
      </c>
      <c r="O1926" s="6" t="s">
        <v>58</v>
      </c>
      <c r="P1926" s="6" t="n">
        <v>8</v>
      </c>
      <c r="Q1926" s="6" t="n">
        <v>2.1</v>
      </c>
      <c r="R1926" s="20" t="n">
        <f aca="false">(L1926-K1926)/K1926</f>
        <v>0.0867342723780412</v>
      </c>
    </row>
    <row r="1927" customFormat="false" ht="15" hidden="false" customHeight="false" outlineLevel="0" collapsed="false">
      <c r="A1927" s="6" t="s">
        <v>2089</v>
      </c>
      <c r="B1927" s="6" t="n">
        <v>36</v>
      </c>
      <c r="C1927" s="6" t="s">
        <v>134</v>
      </c>
      <c r="D1927" s="6" t="s">
        <v>140</v>
      </c>
      <c r="E1927" s="6" t="s">
        <v>90</v>
      </c>
      <c r="F1927" s="6" t="s">
        <v>202</v>
      </c>
      <c r="G1927" s="6" t="n">
        <v>11</v>
      </c>
      <c r="H1927" s="6" t="s">
        <v>82</v>
      </c>
      <c r="I1927" s="6" t="s">
        <v>81</v>
      </c>
      <c r="J1927" s="6" t="s">
        <v>60</v>
      </c>
      <c r="K1927" s="6" t="n">
        <v>110291</v>
      </c>
      <c r="L1927" s="6" t="n">
        <v>124484</v>
      </c>
      <c r="M1927" s="6" t="s">
        <v>146</v>
      </c>
      <c r="N1927" s="6" t="n">
        <v>47</v>
      </c>
      <c r="O1927" s="6" t="s">
        <v>60</v>
      </c>
      <c r="P1927" s="6" t="n">
        <v>5</v>
      </c>
      <c r="Q1927" s="6" t="n">
        <v>24.6</v>
      </c>
      <c r="R1927" s="20" t="n">
        <f aca="false">(L1927-K1927)/K1927</f>
        <v>0.128686837547941</v>
      </c>
    </row>
    <row r="1928" customFormat="false" ht="15" hidden="false" customHeight="false" outlineLevel="0" collapsed="false">
      <c r="A1928" s="6" t="s">
        <v>2090</v>
      </c>
      <c r="B1928" s="6" t="n">
        <v>56</v>
      </c>
      <c r="C1928" s="6" t="s">
        <v>159</v>
      </c>
      <c r="D1928" s="6" t="s">
        <v>144</v>
      </c>
      <c r="E1928" s="6" t="s">
        <v>92</v>
      </c>
      <c r="F1928" s="6" t="s">
        <v>192</v>
      </c>
      <c r="G1928" s="6" t="n">
        <v>30</v>
      </c>
      <c r="H1928" s="6" t="s">
        <v>82</v>
      </c>
      <c r="I1928" s="6" t="s">
        <v>82</v>
      </c>
      <c r="J1928" s="6" t="s">
        <v>58</v>
      </c>
      <c r="K1928" s="6" t="n">
        <v>92670</v>
      </c>
      <c r="L1928" s="6" t="n">
        <v>95354</v>
      </c>
      <c r="M1928" s="6" t="s">
        <v>146</v>
      </c>
      <c r="N1928" s="6" t="n">
        <v>38</v>
      </c>
      <c r="O1928" s="6" t="s">
        <v>58</v>
      </c>
      <c r="P1928" s="6" t="n">
        <v>7</v>
      </c>
      <c r="Q1928" s="6" t="n">
        <v>17.08</v>
      </c>
      <c r="R1928" s="20" t="n">
        <f aca="false">(L1928-K1928)/K1928</f>
        <v>0.0289629869429157</v>
      </c>
    </row>
    <row r="1929" customFormat="false" ht="15" hidden="false" customHeight="false" outlineLevel="0" collapsed="false">
      <c r="A1929" s="6" t="s">
        <v>2091</v>
      </c>
      <c r="B1929" s="6" t="n">
        <v>24</v>
      </c>
      <c r="C1929" s="6" t="s">
        <v>159</v>
      </c>
      <c r="D1929" s="6" t="s">
        <v>140</v>
      </c>
      <c r="E1929" s="6" t="s">
        <v>91</v>
      </c>
      <c r="F1929" s="6" t="s">
        <v>206</v>
      </c>
      <c r="G1929" s="6" t="n">
        <v>1</v>
      </c>
      <c r="H1929" s="6" t="s">
        <v>80</v>
      </c>
      <c r="I1929" s="6" t="s">
        <v>82</v>
      </c>
      <c r="J1929" s="6" t="s">
        <v>58</v>
      </c>
      <c r="K1929" s="6" t="n">
        <v>104258</v>
      </c>
      <c r="L1929" s="6" t="n">
        <v>106088</v>
      </c>
      <c r="M1929" s="6" t="s">
        <v>142</v>
      </c>
      <c r="N1929" s="6" t="n">
        <v>47</v>
      </c>
      <c r="O1929" s="6" t="s">
        <v>58</v>
      </c>
      <c r="P1929" s="6" t="n">
        <v>9</v>
      </c>
      <c r="Q1929" s="6" t="n">
        <v>18.8</v>
      </c>
      <c r="R1929" s="20" t="n">
        <f aca="false">(L1929-K1929)/K1929</f>
        <v>0.0175526098716645</v>
      </c>
    </row>
    <row r="1930" customFormat="false" ht="15" hidden="false" customHeight="false" outlineLevel="0" collapsed="false">
      <c r="A1930" s="6" t="s">
        <v>2092</v>
      </c>
      <c r="B1930" s="6" t="n">
        <v>33</v>
      </c>
      <c r="C1930" s="6" t="s">
        <v>134</v>
      </c>
      <c r="D1930" s="6" t="s">
        <v>135</v>
      </c>
      <c r="E1930" s="6" t="s">
        <v>92</v>
      </c>
      <c r="F1930" s="6" t="s">
        <v>136</v>
      </c>
      <c r="G1930" s="6" t="n">
        <v>7</v>
      </c>
      <c r="H1930" s="6" t="s">
        <v>82</v>
      </c>
      <c r="I1930" s="6" t="s">
        <v>80</v>
      </c>
      <c r="J1930" s="6" t="s">
        <v>60</v>
      </c>
      <c r="K1930" s="6" t="n">
        <v>76221</v>
      </c>
      <c r="L1930" s="6" t="n">
        <v>76174</v>
      </c>
      <c r="M1930" s="6" t="s">
        <v>142</v>
      </c>
      <c r="N1930" s="6" t="n">
        <v>53</v>
      </c>
      <c r="O1930" s="6" t="s">
        <v>60</v>
      </c>
      <c r="P1930" s="6" t="n">
        <v>6</v>
      </c>
      <c r="Q1930" s="6" t="n">
        <v>8.23</v>
      </c>
      <c r="R1930" s="20" t="n">
        <f aca="false">(L1930-K1930)/K1930</f>
        <v>-0.000616627963422154</v>
      </c>
    </row>
    <row r="1931" customFormat="false" ht="15" hidden="false" customHeight="false" outlineLevel="0" collapsed="false">
      <c r="A1931" s="6" t="s">
        <v>2093</v>
      </c>
      <c r="B1931" s="6" t="n">
        <v>29</v>
      </c>
      <c r="C1931" s="6" t="s">
        <v>134</v>
      </c>
      <c r="D1931" s="6" t="s">
        <v>135</v>
      </c>
      <c r="E1931" s="6" t="s">
        <v>89</v>
      </c>
      <c r="F1931" s="6" t="s">
        <v>151</v>
      </c>
      <c r="G1931" s="6" t="n">
        <v>3</v>
      </c>
      <c r="H1931" s="6" t="s">
        <v>81</v>
      </c>
      <c r="I1931" s="6" t="s">
        <v>80</v>
      </c>
      <c r="J1931" s="6" t="s">
        <v>58</v>
      </c>
      <c r="K1931" s="6" t="n">
        <v>109538</v>
      </c>
      <c r="L1931" s="6" t="n">
        <v>131095</v>
      </c>
      <c r="M1931" s="6" t="s">
        <v>142</v>
      </c>
      <c r="N1931" s="6" t="n">
        <v>54</v>
      </c>
      <c r="O1931" s="6" t="s">
        <v>58</v>
      </c>
      <c r="P1931" s="6" t="n">
        <v>8</v>
      </c>
      <c r="Q1931" s="6" t="n">
        <v>-3.65</v>
      </c>
      <c r="R1931" s="20" t="n">
        <f aca="false">(L1931-K1931)/K1931</f>
        <v>0.196799284266647</v>
      </c>
    </row>
    <row r="1932" customFormat="false" ht="15" hidden="false" customHeight="false" outlineLevel="0" collapsed="false">
      <c r="A1932" s="6" t="s">
        <v>2094</v>
      </c>
      <c r="B1932" s="6" t="n">
        <v>52</v>
      </c>
      <c r="C1932" s="6" t="s">
        <v>134</v>
      </c>
      <c r="D1932" s="6" t="s">
        <v>144</v>
      </c>
      <c r="E1932" s="6" t="s">
        <v>89</v>
      </c>
      <c r="F1932" s="6" t="s">
        <v>153</v>
      </c>
      <c r="G1932" s="6" t="n">
        <v>28</v>
      </c>
      <c r="H1932" s="6" t="s">
        <v>80</v>
      </c>
      <c r="I1932" s="6" t="s">
        <v>82</v>
      </c>
      <c r="J1932" s="6" t="s">
        <v>58</v>
      </c>
      <c r="K1932" s="6" t="n">
        <v>77310</v>
      </c>
      <c r="L1932" s="6" t="n">
        <v>78197</v>
      </c>
      <c r="M1932" s="6" t="s">
        <v>142</v>
      </c>
      <c r="N1932" s="6" t="n">
        <v>44</v>
      </c>
      <c r="O1932" s="6" t="s">
        <v>58</v>
      </c>
      <c r="P1932" s="6" t="n">
        <v>4</v>
      </c>
      <c r="Q1932" s="6" t="n">
        <v>18.04</v>
      </c>
      <c r="R1932" s="20" t="n">
        <f aca="false">(L1932-K1932)/K1932</f>
        <v>0.0114732893545466</v>
      </c>
    </row>
    <row r="1933" customFormat="false" ht="15" hidden="false" customHeight="false" outlineLevel="0" collapsed="false">
      <c r="A1933" s="6" t="s">
        <v>2095</v>
      </c>
      <c r="B1933" s="6" t="n">
        <v>54</v>
      </c>
      <c r="C1933" s="6" t="s">
        <v>159</v>
      </c>
      <c r="D1933" s="6" t="s">
        <v>144</v>
      </c>
      <c r="E1933" s="6" t="s">
        <v>91</v>
      </c>
      <c r="F1933" s="6" t="s">
        <v>141</v>
      </c>
      <c r="G1933" s="6" t="n">
        <v>30</v>
      </c>
      <c r="H1933" s="6" t="s">
        <v>82</v>
      </c>
      <c r="I1933" s="6" t="s">
        <v>80</v>
      </c>
      <c r="J1933" s="6" t="s">
        <v>60</v>
      </c>
      <c r="K1933" s="6" t="n">
        <v>88249</v>
      </c>
      <c r="L1933" s="6" t="n">
        <v>116174</v>
      </c>
      <c r="M1933" s="6" t="s">
        <v>142</v>
      </c>
      <c r="N1933" s="6" t="n">
        <v>46</v>
      </c>
      <c r="O1933" s="6" t="s">
        <v>60</v>
      </c>
      <c r="P1933" s="6" t="n">
        <v>3</v>
      </c>
      <c r="Q1933" s="6" t="n">
        <v>37.18</v>
      </c>
      <c r="R1933" s="20" t="n">
        <f aca="false">(L1933-K1933)/K1933</f>
        <v>0.316434180557287</v>
      </c>
    </row>
    <row r="1934" customFormat="false" ht="15" hidden="false" customHeight="false" outlineLevel="0" collapsed="false">
      <c r="A1934" s="6" t="s">
        <v>2096</v>
      </c>
      <c r="B1934" s="6" t="n">
        <v>34</v>
      </c>
      <c r="C1934" s="6" t="s">
        <v>139</v>
      </c>
      <c r="D1934" s="6" t="s">
        <v>148</v>
      </c>
      <c r="E1934" s="6" t="s">
        <v>89</v>
      </c>
      <c r="F1934" s="6" t="s">
        <v>162</v>
      </c>
      <c r="G1934" s="6" t="n">
        <v>9</v>
      </c>
      <c r="H1934" s="6" t="s">
        <v>81</v>
      </c>
      <c r="I1934" s="6" t="s">
        <v>80</v>
      </c>
      <c r="J1934" s="6" t="s">
        <v>58</v>
      </c>
      <c r="K1934" s="6" t="n">
        <v>34920</v>
      </c>
      <c r="L1934" s="6" t="n">
        <v>36967</v>
      </c>
      <c r="M1934" s="6" t="s">
        <v>142</v>
      </c>
      <c r="N1934" s="6" t="n">
        <v>39</v>
      </c>
      <c r="O1934" s="6" t="s">
        <v>60</v>
      </c>
      <c r="P1934" s="6" t="n">
        <v>6</v>
      </c>
      <c r="Q1934" s="6" t="n">
        <v>25.23</v>
      </c>
      <c r="R1934" s="20" t="n">
        <f aca="false">(L1934-K1934)/K1934</f>
        <v>0.0586197021764032</v>
      </c>
    </row>
    <row r="1935" customFormat="false" ht="15" hidden="false" customHeight="false" outlineLevel="0" collapsed="false">
      <c r="A1935" s="6" t="s">
        <v>2097</v>
      </c>
      <c r="B1935" s="6" t="n">
        <v>42</v>
      </c>
      <c r="C1935" s="6" t="s">
        <v>139</v>
      </c>
      <c r="D1935" s="6" t="s">
        <v>148</v>
      </c>
      <c r="E1935" s="6" t="s">
        <v>90</v>
      </c>
      <c r="F1935" s="6" t="s">
        <v>145</v>
      </c>
      <c r="G1935" s="6" t="n">
        <v>17</v>
      </c>
      <c r="H1935" s="6" t="s">
        <v>81</v>
      </c>
      <c r="I1935" s="6" t="s">
        <v>81</v>
      </c>
      <c r="J1935" s="6" t="s">
        <v>58</v>
      </c>
      <c r="K1935" s="6" t="n">
        <v>36450</v>
      </c>
      <c r="L1935" s="6" t="n">
        <v>39871</v>
      </c>
      <c r="M1935" s="6" t="s">
        <v>146</v>
      </c>
      <c r="N1935" s="6" t="n">
        <v>45</v>
      </c>
      <c r="O1935" s="6" t="s">
        <v>58</v>
      </c>
      <c r="P1935" s="6" t="n">
        <v>8</v>
      </c>
      <c r="Q1935" s="6" t="n">
        <v>-17.91</v>
      </c>
      <c r="R1935" s="20" t="n">
        <f aca="false">(L1935-K1935)/K1935</f>
        <v>0.0938545953360768</v>
      </c>
    </row>
    <row r="1936" customFormat="false" ht="15" hidden="false" customHeight="false" outlineLevel="0" collapsed="false">
      <c r="A1936" s="6" t="s">
        <v>2098</v>
      </c>
      <c r="B1936" s="6" t="n">
        <v>27</v>
      </c>
      <c r="C1936" s="6" t="s">
        <v>134</v>
      </c>
      <c r="D1936" s="6" t="s">
        <v>135</v>
      </c>
      <c r="E1936" s="6" t="s">
        <v>91</v>
      </c>
      <c r="F1936" s="6" t="s">
        <v>208</v>
      </c>
      <c r="G1936" s="6" t="n">
        <v>5</v>
      </c>
      <c r="H1936" s="6" t="s">
        <v>80</v>
      </c>
      <c r="I1936" s="6" t="s">
        <v>80</v>
      </c>
      <c r="J1936" s="6" t="s">
        <v>60</v>
      </c>
      <c r="K1936" s="6" t="n">
        <v>39664</v>
      </c>
      <c r="L1936" s="6" t="n">
        <v>43048</v>
      </c>
      <c r="M1936" s="6" t="s">
        <v>142</v>
      </c>
      <c r="N1936" s="6" t="n">
        <v>35</v>
      </c>
      <c r="O1936" s="6" t="s">
        <v>60</v>
      </c>
      <c r="P1936" s="6" t="n">
        <v>8</v>
      </c>
      <c r="Q1936" s="6" t="n">
        <v>10.5</v>
      </c>
      <c r="R1936" s="20" t="n">
        <f aca="false">(L1936-K1936)/K1936</f>
        <v>0.0853166599435256</v>
      </c>
    </row>
    <row r="1937" customFormat="false" ht="15" hidden="false" customHeight="false" outlineLevel="0" collapsed="false">
      <c r="A1937" s="6" t="s">
        <v>2099</v>
      </c>
      <c r="B1937" s="6" t="n">
        <v>55</v>
      </c>
      <c r="C1937" s="6" t="s">
        <v>139</v>
      </c>
      <c r="D1937" s="6" t="s">
        <v>140</v>
      </c>
      <c r="E1937" s="6" t="s">
        <v>89</v>
      </c>
      <c r="F1937" s="6" t="s">
        <v>153</v>
      </c>
      <c r="G1937" s="6" t="n">
        <v>31</v>
      </c>
      <c r="H1937" s="6" t="s">
        <v>82</v>
      </c>
      <c r="I1937" s="6" t="s">
        <v>82</v>
      </c>
      <c r="J1937" s="6" t="s">
        <v>58</v>
      </c>
      <c r="K1937" s="6" t="n">
        <v>36402</v>
      </c>
      <c r="L1937" s="6" t="n">
        <v>49848</v>
      </c>
      <c r="M1937" s="6" t="s">
        <v>146</v>
      </c>
      <c r="N1937" s="6" t="n">
        <v>54</v>
      </c>
      <c r="O1937" s="6" t="s">
        <v>60</v>
      </c>
      <c r="P1937" s="6" t="n">
        <v>7</v>
      </c>
      <c r="Q1937" s="6" t="n">
        <v>36.41</v>
      </c>
      <c r="R1937" s="20" t="n">
        <f aca="false">(L1937-K1937)/K1937</f>
        <v>0.369375309048953</v>
      </c>
    </row>
    <row r="1938" customFormat="false" ht="15" hidden="false" customHeight="false" outlineLevel="0" collapsed="false">
      <c r="A1938" s="6" t="s">
        <v>2100</v>
      </c>
      <c r="B1938" s="6" t="n">
        <v>23</v>
      </c>
      <c r="C1938" s="6" t="s">
        <v>134</v>
      </c>
      <c r="D1938" s="6" t="s">
        <v>144</v>
      </c>
      <c r="E1938" s="6" t="s">
        <v>87</v>
      </c>
      <c r="F1938" s="6" t="s">
        <v>149</v>
      </c>
      <c r="G1938" s="6" t="n">
        <v>0</v>
      </c>
      <c r="H1938" s="6" t="s">
        <v>82</v>
      </c>
      <c r="I1938" s="6" t="s">
        <v>82</v>
      </c>
      <c r="J1938" s="6" t="s">
        <v>58</v>
      </c>
      <c r="K1938" s="6" t="n">
        <v>115470</v>
      </c>
      <c r="L1938" s="6" t="n">
        <v>138147</v>
      </c>
      <c r="M1938" s="6" t="s">
        <v>146</v>
      </c>
      <c r="N1938" s="6" t="n">
        <v>40</v>
      </c>
      <c r="O1938" s="6" t="s">
        <v>58</v>
      </c>
      <c r="P1938" s="6" t="n">
        <v>9</v>
      </c>
      <c r="Q1938" s="6" t="n">
        <v>1.87</v>
      </c>
      <c r="R1938" s="20" t="n">
        <f aca="false">(L1938-K1938)/K1938</f>
        <v>0.196388672382437</v>
      </c>
    </row>
    <row r="1939" customFormat="false" ht="15" hidden="false" customHeight="false" outlineLevel="0" collapsed="false">
      <c r="A1939" s="6" t="s">
        <v>2101</v>
      </c>
      <c r="B1939" s="6" t="n">
        <v>49</v>
      </c>
      <c r="C1939" s="6" t="s">
        <v>139</v>
      </c>
      <c r="D1939" s="6" t="s">
        <v>135</v>
      </c>
      <c r="E1939" s="6" t="s">
        <v>92</v>
      </c>
      <c r="F1939" s="6" t="s">
        <v>136</v>
      </c>
      <c r="G1939" s="6" t="n">
        <v>27</v>
      </c>
      <c r="H1939" s="6" t="s">
        <v>80</v>
      </c>
      <c r="I1939" s="6" t="s">
        <v>82</v>
      </c>
      <c r="J1939" s="6" t="s">
        <v>60</v>
      </c>
      <c r="K1939" s="6" t="n">
        <v>107853</v>
      </c>
      <c r="L1939" s="6" t="n">
        <v>114941</v>
      </c>
      <c r="M1939" s="6" t="s">
        <v>142</v>
      </c>
      <c r="N1939" s="6" t="n">
        <v>51</v>
      </c>
      <c r="O1939" s="6" t="s">
        <v>60</v>
      </c>
      <c r="P1939" s="6" t="n">
        <v>4</v>
      </c>
      <c r="Q1939" s="6" t="n">
        <v>-18.79</v>
      </c>
      <c r="R1939" s="20" t="n">
        <f aca="false">(L1939-K1939)/K1939</f>
        <v>0.0657190806004469</v>
      </c>
    </row>
    <row r="1940" customFormat="false" ht="15" hidden="false" customHeight="false" outlineLevel="0" collapsed="false">
      <c r="A1940" s="6" t="s">
        <v>2102</v>
      </c>
      <c r="B1940" s="6" t="n">
        <v>43</v>
      </c>
      <c r="C1940" s="6" t="s">
        <v>139</v>
      </c>
      <c r="D1940" s="6" t="s">
        <v>140</v>
      </c>
      <c r="E1940" s="6" t="s">
        <v>92</v>
      </c>
      <c r="F1940" s="6" t="s">
        <v>136</v>
      </c>
      <c r="G1940" s="6" t="n">
        <v>21</v>
      </c>
      <c r="H1940" s="6" t="s">
        <v>82</v>
      </c>
      <c r="I1940" s="6" t="s">
        <v>82</v>
      </c>
      <c r="J1940" s="6" t="s">
        <v>60</v>
      </c>
      <c r="K1940" s="6" t="n">
        <v>49727</v>
      </c>
      <c r="L1940" s="6" t="n">
        <v>57966</v>
      </c>
      <c r="M1940" s="6" t="s">
        <v>137</v>
      </c>
      <c r="N1940" s="6" t="n">
        <v>52</v>
      </c>
      <c r="O1940" s="6" t="s">
        <v>60</v>
      </c>
      <c r="P1940" s="6" t="n">
        <v>5</v>
      </c>
      <c r="Q1940" s="6" t="n">
        <v>2.07</v>
      </c>
      <c r="R1940" s="20" t="n">
        <f aca="false">(L1940-K1940)/K1940</f>
        <v>0.165684638124158</v>
      </c>
    </row>
    <row r="1941" customFormat="false" ht="15" hidden="false" customHeight="false" outlineLevel="0" collapsed="false">
      <c r="A1941" s="6" t="s">
        <v>2103</v>
      </c>
      <c r="B1941" s="6" t="n">
        <v>53</v>
      </c>
      <c r="C1941" s="6" t="s">
        <v>139</v>
      </c>
      <c r="D1941" s="6" t="s">
        <v>144</v>
      </c>
      <c r="E1941" s="6" t="s">
        <v>88</v>
      </c>
      <c r="F1941" s="6" t="s">
        <v>179</v>
      </c>
      <c r="G1941" s="6" t="n">
        <v>27</v>
      </c>
      <c r="H1941" s="6" t="s">
        <v>82</v>
      </c>
      <c r="I1941" s="6" t="s">
        <v>81</v>
      </c>
      <c r="J1941" s="6" t="s">
        <v>60</v>
      </c>
      <c r="K1941" s="6" t="n">
        <v>103678</v>
      </c>
      <c r="L1941" s="6" t="n">
        <v>94116</v>
      </c>
      <c r="M1941" s="6" t="s">
        <v>146</v>
      </c>
      <c r="N1941" s="6" t="n">
        <v>51</v>
      </c>
      <c r="O1941" s="6" t="s">
        <v>58</v>
      </c>
      <c r="P1941" s="6" t="n">
        <v>6</v>
      </c>
      <c r="Q1941" s="6" t="n">
        <v>19.76</v>
      </c>
      <c r="R1941" s="20" t="n">
        <f aca="false">(L1941-K1941)/K1941</f>
        <v>-0.0922278593337063</v>
      </c>
    </row>
    <row r="1942" customFormat="false" ht="15" hidden="false" customHeight="false" outlineLevel="0" collapsed="false">
      <c r="A1942" s="6" t="s">
        <v>2104</v>
      </c>
      <c r="B1942" s="6" t="n">
        <v>44</v>
      </c>
      <c r="C1942" s="6" t="s">
        <v>159</v>
      </c>
      <c r="D1942" s="6" t="s">
        <v>148</v>
      </c>
      <c r="E1942" s="6" t="s">
        <v>92</v>
      </c>
      <c r="F1942" s="6" t="s">
        <v>136</v>
      </c>
      <c r="G1942" s="6" t="n">
        <v>19</v>
      </c>
      <c r="H1942" s="6" t="s">
        <v>81</v>
      </c>
      <c r="I1942" s="6" t="s">
        <v>81</v>
      </c>
      <c r="J1942" s="6" t="s">
        <v>60</v>
      </c>
      <c r="K1942" s="6" t="n">
        <v>41202</v>
      </c>
      <c r="L1942" s="6" t="n">
        <v>46498</v>
      </c>
      <c r="M1942" s="6" t="s">
        <v>146</v>
      </c>
      <c r="N1942" s="6" t="n">
        <v>48</v>
      </c>
      <c r="O1942" s="6" t="s">
        <v>58</v>
      </c>
      <c r="P1942" s="6" t="n">
        <v>9</v>
      </c>
      <c r="Q1942" s="6" t="n">
        <v>-0.25</v>
      </c>
      <c r="R1942" s="20" t="n">
        <f aca="false">(L1942-K1942)/K1942</f>
        <v>0.128537449638367</v>
      </c>
    </row>
    <row r="1943" customFormat="false" ht="15" hidden="false" customHeight="false" outlineLevel="0" collapsed="false">
      <c r="A1943" s="6" t="s">
        <v>2105</v>
      </c>
      <c r="B1943" s="6" t="n">
        <v>38</v>
      </c>
      <c r="C1943" s="6" t="s">
        <v>134</v>
      </c>
      <c r="D1943" s="6" t="s">
        <v>144</v>
      </c>
      <c r="E1943" s="6" t="s">
        <v>87</v>
      </c>
      <c r="F1943" s="6" t="s">
        <v>155</v>
      </c>
      <c r="G1943" s="6" t="n">
        <v>12</v>
      </c>
      <c r="H1943" s="6" t="s">
        <v>81</v>
      </c>
      <c r="I1943" s="6" t="s">
        <v>82</v>
      </c>
      <c r="J1943" s="6" t="s">
        <v>58</v>
      </c>
      <c r="K1943" s="6" t="n">
        <v>110946</v>
      </c>
      <c r="L1943" s="6" t="n">
        <v>116021</v>
      </c>
      <c r="M1943" s="6" t="s">
        <v>142</v>
      </c>
      <c r="N1943" s="6" t="n">
        <v>49</v>
      </c>
      <c r="O1943" s="6" t="s">
        <v>60</v>
      </c>
      <c r="P1943" s="6" t="n">
        <v>3</v>
      </c>
      <c r="Q1943" s="6" t="n">
        <v>-14.84</v>
      </c>
      <c r="R1943" s="20" t="n">
        <f aca="false">(L1943-K1943)/K1943</f>
        <v>0.0457429740594523</v>
      </c>
    </row>
    <row r="1944" customFormat="false" ht="15" hidden="false" customHeight="false" outlineLevel="0" collapsed="false">
      <c r="A1944" s="6" t="s">
        <v>2106</v>
      </c>
      <c r="B1944" s="6" t="n">
        <v>45</v>
      </c>
      <c r="C1944" s="6" t="s">
        <v>134</v>
      </c>
      <c r="D1944" s="6" t="s">
        <v>135</v>
      </c>
      <c r="E1944" s="6" t="s">
        <v>92</v>
      </c>
      <c r="F1944" s="6" t="s">
        <v>222</v>
      </c>
      <c r="G1944" s="6" t="n">
        <v>20</v>
      </c>
      <c r="H1944" s="6" t="s">
        <v>82</v>
      </c>
      <c r="I1944" s="6" t="s">
        <v>82</v>
      </c>
      <c r="J1944" s="6" t="s">
        <v>60</v>
      </c>
      <c r="K1944" s="6" t="n">
        <v>98617</v>
      </c>
      <c r="L1944" s="6" t="n">
        <v>112128</v>
      </c>
      <c r="M1944" s="6" t="s">
        <v>146</v>
      </c>
      <c r="N1944" s="6" t="n">
        <v>45</v>
      </c>
      <c r="O1944" s="6" t="s">
        <v>58</v>
      </c>
      <c r="P1944" s="6" t="n">
        <v>8</v>
      </c>
      <c r="Q1944" s="6" t="n">
        <v>15.59</v>
      </c>
      <c r="R1944" s="20" t="n">
        <f aca="false">(L1944-K1944)/K1944</f>
        <v>0.13700477605281</v>
      </c>
    </row>
    <row r="1945" customFormat="false" ht="15" hidden="false" customHeight="false" outlineLevel="0" collapsed="false">
      <c r="A1945" s="6" t="s">
        <v>2107</v>
      </c>
      <c r="B1945" s="6" t="n">
        <v>37</v>
      </c>
      <c r="C1945" s="6" t="s">
        <v>134</v>
      </c>
      <c r="D1945" s="6" t="s">
        <v>144</v>
      </c>
      <c r="E1945" s="6" t="s">
        <v>90</v>
      </c>
      <c r="F1945" s="6" t="s">
        <v>236</v>
      </c>
      <c r="G1945" s="6" t="n">
        <v>11</v>
      </c>
      <c r="H1945" s="6" t="s">
        <v>80</v>
      </c>
      <c r="I1945" s="6" t="s">
        <v>81</v>
      </c>
      <c r="J1945" s="6" t="s">
        <v>60</v>
      </c>
      <c r="K1945" s="6" t="n">
        <v>101880</v>
      </c>
      <c r="L1945" s="6" t="n">
        <v>97256</v>
      </c>
      <c r="M1945" s="6" t="s">
        <v>146</v>
      </c>
      <c r="N1945" s="6" t="n">
        <v>43</v>
      </c>
      <c r="O1945" s="6" t="s">
        <v>58</v>
      </c>
      <c r="P1945" s="6" t="n">
        <v>6</v>
      </c>
      <c r="Q1945" s="6" t="n">
        <v>23.43</v>
      </c>
      <c r="R1945" s="20" t="n">
        <f aca="false">(L1945-K1945)/K1945</f>
        <v>-0.0453867294856694</v>
      </c>
    </row>
    <row r="1946" customFormat="false" ht="15" hidden="false" customHeight="false" outlineLevel="0" collapsed="false">
      <c r="A1946" s="6" t="s">
        <v>2108</v>
      </c>
      <c r="B1946" s="6" t="n">
        <v>47</v>
      </c>
      <c r="C1946" s="6" t="s">
        <v>159</v>
      </c>
      <c r="D1946" s="6" t="s">
        <v>144</v>
      </c>
      <c r="E1946" s="6" t="s">
        <v>87</v>
      </c>
      <c r="F1946" s="6" t="s">
        <v>160</v>
      </c>
      <c r="G1946" s="6" t="n">
        <v>23</v>
      </c>
      <c r="H1946" s="6" t="s">
        <v>81</v>
      </c>
      <c r="I1946" s="6" t="s">
        <v>80</v>
      </c>
      <c r="J1946" s="6" t="s">
        <v>60</v>
      </c>
      <c r="K1946" s="6" t="n">
        <v>66509</v>
      </c>
      <c r="L1946" s="6" t="n">
        <v>78192</v>
      </c>
      <c r="M1946" s="6" t="s">
        <v>142</v>
      </c>
      <c r="N1946" s="6" t="n">
        <v>46</v>
      </c>
      <c r="O1946" s="6" t="s">
        <v>60</v>
      </c>
      <c r="P1946" s="6" t="n">
        <v>9</v>
      </c>
      <c r="Q1946" s="6" t="n">
        <v>21.14</v>
      </c>
      <c r="R1946" s="20" t="n">
        <f aca="false">(L1946-K1946)/K1946</f>
        <v>0.175660436933347</v>
      </c>
    </row>
    <row r="1947" customFormat="false" ht="15" hidden="false" customHeight="false" outlineLevel="0" collapsed="false">
      <c r="A1947" s="6" t="s">
        <v>2109</v>
      </c>
      <c r="B1947" s="6" t="n">
        <v>25</v>
      </c>
      <c r="C1947" s="6" t="s">
        <v>134</v>
      </c>
      <c r="D1947" s="6" t="s">
        <v>140</v>
      </c>
      <c r="E1947" s="6" t="s">
        <v>88</v>
      </c>
      <c r="F1947" s="6" t="s">
        <v>234</v>
      </c>
      <c r="G1947" s="6" t="n">
        <v>0</v>
      </c>
      <c r="H1947" s="6" t="s">
        <v>80</v>
      </c>
      <c r="I1947" s="6" t="s">
        <v>82</v>
      </c>
      <c r="J1947" s="6" t="s">
        <v>58</v>
      </c>
      <c r="K1947" s="6" t="n">
        <v>30903</v>
      </c>
      <c r="L1947" s="6" t="n">
        <v>29952</v>
      </c>
      <c r="M1947" s="6" t="s">
        <v>142</v>
      </c>
      <c r="N1947" s="6" t="n">
        <v>38</v>
      </c>
      <c r="O1947" s="6" t="s">
        <v>60</v>
      </c>
      <c r="P1947" s="6" t="n">
        <v>7</v>
      </c>
      <c r="Q1947" s="6" t="n">
        <v>-4.09</v>
      </c>
      <c r="R1947" s="20" t="n">
        <f aca="false">(L1947-K1947)/K1947</f>
        <v>-0.030773711290166</v>
      </c>
    </row>
    <row r="1948" customFormat="false" ht="15" hidden="false" customHeight="false" outlineLevel="0" collapsed="false">
      <c r="A1948" s="6" t="s">
        <v>2110</v>
      </c>
      <c r="B1948" s="6" t="n">
        <v>32</v>
      </c>
      <c r="C1948" s="6" t="s">
        <v>159</v>
      </c>
      <c r="D1948" s="6" t="s">
        <v>148</v>
      </c>
      <c r="E1948" s="6" t="s">
        <v>89</v>
      </c>
      <c r="F1948" s="6" t="s">
        <v>162</v>
      </c>
      <c r="G1948" s="6" t="n">
        <v>6</v>
      </c>
      <c r="H1948" s="6" t="s">
        <v>82</v>
      </c>
      <c r="I1948" s="6" t="s">
        <v>81</v>
      </c>
      <c r="J1948" s="6" t="s">
        <v>60</v>
      </c>
      <c r="K1948" s="6" t="n">
        <v>117063</v>
      </c>
      <c r="L1948" s="6" t="n">
        <v>159754</v>
      </c>
      <c r="M1948" s="6" t="s">
        <v>146</v>
      </c>
      <c r="N1948" s="6" t="n">
        <v>47</v>
      </c>
      <c r="O1948" s="6" t="s">
        <v>60</v>
      </c>
      <c r="P1948" s="6" t="n">
        <v>7</v>
      </c>
      <c r="Q1948" s="6" t="n">
        <v>-6.37</v>
      </c>
      <c r="R1948" s="20" t="n">
        <f aca="false">(L1948-K1948)/K1948</f>
        <v>0.364683973586872</v>
      </c>
    </row>
    <row r="1949" customFormat="false" ht="15" hidden="false" customHeight="false" outlineLevel="0" collapsed="false">
      <c r="A1949" s="6" t="s">
        <v>2111</v>
      </c>
      <c r="B1949" s="6" t="n">
        <v>51</v>
      </c>
      <c r="C1949" s="6" t="s">
        <v>134</v>
      </c>
      <c r="D1949" s="6" t="s">
        <v>148</v>
      </c>
      <c r="E1949" s="6" t="s">
        <v>87</v>
      </c>
      <c r="F1949" s="6" t="s">
        <v>155</v>
      </c>
      <c r="G1949" s="6" t="n">
        <v>29</v>
      </c>
      <c r="H1949" s="6" t="s">
        <v>82</v>
      </c>
      <c r="I1949" s="6" t="s">
        <v>81</v>
      </c>
      <c r="J1949" s="6" t="s">
        <v>60</v>
      </c>
      <c r="K1949" s="6" t="n">
        <v>79581</v>
      </c>
      <c r="L1949" s="6" t="n">
        <v>64050</v>
      </c>
      <c r="M1949" s="6" t="s">
        <v>146</v>
      </c>
      <c r="N1949" s="6" t="n">
        <v>50</v>
      </c>
      <c r="O1949" s="6" t="s">
        <v>58</v>
      </c>
      <c r="P1949" s="6" t="n">
        <v>8</v>
      </c>
      <c r="Q1949" s="6" t="n">
        <v>6.25</v>
      </c>
      <c r="R1949" s="20" t="n">
        <f aca="false">(L1949-K1949)/K1949</f>
        <v>-0.195159648659856</v>
      </c>
    </row>
    <row r="1950" customFormat="false" ht="15" hidden="false" customHeight="false" outlineLevel="0" collapsed="false">
      <c r="A1950" s="6" t="s">
        <v>2112</v>
      </c>
      <c r="B1950" s="6" t="n">
        <v>33</v>
      </c>
      <c r="C1950" s="6" t="s">
        <v>139</v>
      </c>
      <c r="D1950" s="6" t="s">
        <v>144</v>
      </c>
      <c r="E1950" s="6" t="s">
        <v>89</v>
      </c>
      <c r="F1950" s="6" t="s">
        <v>162</v>
      </c>
      <c r="G1950" s="6" t="n">
        <v>8</v>
      </c>
      <c r="H1950" s="6" t="s">
        <v>81</v>
      </c>
      <c r="I1950" s="6" t="s">
        <v>81</v>
      </c>
      <c r="J1950" s="6" t="s">
        <v>60</v>
      </c>
      <c r="K1950" s="6" t="n">
        <v>80513</v>
      </c>
      <c r="L1950" s="6" t="n">
        <v>88430</v>
      </c>
      <c r="M1950" s="6" t="s">
        <v>146</v>
      </c>
      <c r="N1950" s="6" t="n">
        <v>47</v>
      </c>
      <c r="O1950" s="6" t="s">
        <v>60</v>
      </c>
      <c r="P1950" s="6" t="n">
        <v>5</v>
      </c>
      <c r="Q1950" s="6" t="n">
        <v>-17.36</v>
      </c>
      <c r="R1950" s="20" t="n">
        <f aca="false">(L1950-K1950)/K1950</f>
        <v>0.0983319463937501</v>
      </c>
    </row>
    <row r="1951" customFormat="false" ht="15" hidden="false" customHeight="false" outlineLevel="0" collapsed="false">
      <c r="A1951" s="6" t="s">
        <v>2113</v>
      </c>
      <c r="B1951" s="6" t="n">
        <v>38</v>
      </c>
      <c r="C1951" s="6" t="s">
        <v>139</v>
      </c>
      <c r="D1951" s="6" t="s">
        <v>144</v>
      </c>
      <c r="E1951" s="6" t="s">
        <v>87</v>
      </c>
      <c r="F1951" s="6" t="s">
        <v>160</v>
      </c>
      <c r="G1951" s="6" t="n">
        <v>12</v>
      </c>
      <c r="H1951" s="6" t="s">
        <v>82</v>
      </c>
      <c r="I1951" s="6" t="s">
        <v>82</v>
      </c>
      <c r="J1951" s="6" t="s">
        <v>58</v>
      </c>
      <c r="K1951" s="6" t="n">
        <v>55511</v>
      </c>
      <c r="L1951" s="6" t="n">
        <v>75444</v>
      </c>
      <c r="M1951" s="6" t="s">
        <v>146</v>
      </c>
      <c r="N1951" s="6" t="n">
        <v>52</v>
      </c>
      <c r="O1951" s="6" t="s">
        <v>58</v>
      </c>
      <c r="P1951" s="6" t="n">
        <v>4</v>
      </c>
      <c r="Q1951" s="6" t="n">
        <v>-2.84</v>
      </c>
      <c r="R1951" s="20" t="n">
        <f aca="false">(L1951-K1951)/K1951</f>
        <v>0.359081983750968</v>
      </c>
    </row>
    <row r="1952" customFormat="false" ht="15" hidden="false" customHeight="false" outlineLevel="0" collapsed="false">
      <c r="A1952" s="6" t="s">
        <v>2114</v>
      </c>
      <c r="B1952" s="6" t="n">
        <v>47</v>
      </c>
      <c r="C1952" s="6" t="s">
        <v>139</v>
      </c>
      <c r="D1952" s="6" t="s">
        <v>144</v>
      </c>
      <c r="E1952" s="6" t="s">
        <v>87</v>
      </c>
      <c r="F1952" s="6" t="s">
        <v>155</v>
      </c>
      <c r="G1952" s="6" t="n">
        <v>22</v>
      </c>
      <c r="H1952" s="6" t="s">
        <v>80</v>
      </c>
      <c r="I1952" s="6" t="s">
        <v>80</v>
      </c>
      <c r="J1952" s="6" t="s">
        <v>58</v>
      </c>
      <c r="K1952" s="6" t="n">
        <v>92151</v>
      </c>
      <c r="L1952" s="6" t="n">
        <v>91291</v>
      </c>
      <c r="M1952" s="6" t="s">
        <v>142</v>
      </c>
      <c r="N1952" s="6" t="n">
        <v>42</v>
      </c>
      <c r="O1952" s="6" t="s">
        <v>60</v>
      </c>
      <c r="P1952" s="6" t="n">
        <v>5</v>
      </c>
      <c r="Q1952" s="6" t="n">
        <v>-2.2</v>
      </c>
      <c r="R1952" s="20" t="n">
        <f aca="false">(L1952-K1952)/K1952</f>
        <v>-0.00933250860001519</v>
      </c>
    </row>
    <row r="1953" customFormat="false" ht="15" hidden="false" customHeight="false" outlineLevel="0" collapsed="false">
      <c r="A1953" s="6" t="s">
        <v>2115</v>
      </c>
      <c r="B1953" s="6" t="n">
        <v>59</v>
      </c>
      <c r="C1953" s="6" t="s">
        <v>139</v>
      </c>
      <c r="D1953" s="6" t="s">
        <v>148</v>
      </c>
      <c r="E1953" s="6" t="s">
        <v>87</v>
      </c>
      <c r="F1953" s="6" t="s">
        <v>160</v>
      </c>
      <c r="G1953" s="6" t="n">
        <v>33</v>
      </c>
      <c r="H1953" s="6" t="s">
        <v>81</v>
      </c>
      <c r="I1953" s="6" t="s">
        <v>81</v>
      </c>
      <c r="J1953" s="6" t="s">
        <v>60</v>
      </c>
      <c r="K1953" s="6" t="n">
        <v>114590</v>
      </c>
      <c r="L1953" s="6" t="n">
        <v>116671</v>
      </c>
      <c r="M1953" s="6" t="s">
        <v>146</v>
      </c>
      <c r="N1953" s="6" t="n">
        <v>35</v>
      </c>
      <c r="O1953" s="6" t="s">
        <v>60</v>
      </c>
      <c r="P1953" s="6" t="n">
        <v>9</v>
      </c>
      <c r="Q1953" s="6" t="n">
        <v>-2.1</v>
      </c>
      <c r="R1953" s="20" t="n">
        <f aca="false">(L1953-K1953)/K1953</f>
        <v>0.0181603979404835</v>
      </c>
    </row>
    <row r="1954" customFormat="false" ht="15" hidden="false" customHeight="false" outlineLevel="0" collapsed="false">
      <c r="A1954" s="6" t="s">
        <v>2116</v>
      </c>
      <c r="B1954" s="6" t="n">
        <v>50</v>
      </c>
      <c r="C1954" s="6" t="s">
        <v>134</v>
      </c>
      <c r="D1954" s="6" t="s">
        <v>148</v>
      </c>
      <c r="E1954" s="6" t="s">
        <v>88</v>
      </c>
      <c r="F1954" s="6" t="s">
        <v>234</v>
      </c>
      <c r="G1954" s="6" t="n">
        <v>26</v>
      </c>
      <c r="H1954" s="6" t="s">
        <v>81</v>
      </c>
      <c r="I1954" s="6" t="s">
        <v>82</v>
      </c>
      <c r="J1954" s="6" t="s">
        <v>60</v>
      </c>
      <c r="K1954" s="6" t="n">
        <v>81500</v>
      </c>
      <c r="L1954" s="6" t="n">
        <v>77915</v>
      </c>
      <c r="M1954" s="6" t="s">
        <v>142</v>
      </c>
      <c r="N1954" s="6" t="n">
        <v>45</v>
      </c>
      <c r="O1954" s="6" t="s">
        <v>58</v>
      </c>
      <c r="P1954" s="6" t="n">
        <v>8</v>
      </c>
      <c r="Q1954" s="6" t="n">
        <v>10.61</v>
      </c>
      <c r="R1954" s="20" t="n">
        <f aca="false">(L1954-K1954)/K1954</f>
        <v>-0.0439877300613497</v>
      </c>
    </row>
    <row r="1955" customFormat="false" ht="15" hidden="false" customHeight="false" outlineLevel="0" collapsed="false">
      <c r="A1955" s="6" t="s">
        <v>2117</v>
      </c>
      <c r="B1955" s="6" t="n">
        <v>39</v>
      </c>
      <c r="C1955" s="6" t="s">
        <v>139</v>
      </c>
      <c r="D1955" s="6" t="s">
        <v>135</v>
      </c>
      <c r="E1955" s="6" t="s">
        <v>92</v>
      </c>
      <c r="F1955" s="6" t="s">
        <v>192</v>
      </c>
      <c r="G1955" s="6" t="n">
        <v>15</v>
      </c>
      <c r="H1955" s="6" t="s">
        <v>80</v>
      </c>
      <c r="I1955" s="6" t="s">
        <v>81</v>
      </c>
      <c r="J1955" s="6" t="s">
        <v>60</v>
      </c>
      <c r="K1955" s="6" t="n">
        <v>33333</v>
      </c>
      <c r="L1955" s="6" t="n">
        <v>32821</v>
      </c>
      <c r="M1955" s="6" t="s">
        <v>146</v>
      </c>
      <c r="N1955" s="6" t="n">
        <v>53</v>
      </c>
      <c r="O1955" s="6" t="s">
        <v>58</v>
      </c>
      <c r="P1955" s="6" t="n">
        <v>6</v>
      </c>
      <c r="Q1955" s="6" t="n">
        <v>32.46</v>
      </c>
      <c r="R1955" s="20" t="n">
        <f aca="false">(L1955-K1955)/K1955</f>
        <v>-0.015360153601536</v>
      </c>
    </row>
    <row r="1956" customFormat="false" ht="15" hidden="false" customHeight="false" outlineLevel="0" collapsed="false">
      <c r="A1956" s="6" t="s">
        <v>2118</v>
      </c>
      <c r="B1956" s="6" t="n">
        <v>48</v>
      </c>
      <c r="C1956" s="6" t="s">
        <v>159</v>
      </c>
      <c r="D1956" s="6" t="s">
        <v>135</v>
      </c>
      <c r="E1956" s="6" t="s">
        <v>91</v>
      </c>
      <c r="F1956" s="6" t="s">
        <v>206</v>
      </c>
      <c r="G1956" s="6" t="n">
        <v>22</v>
      </c>
      <c r="H1956" s="6" t="s">
        <v>81</v>
      </c>
      <c r="I1956" s="6" t="s">
        <v>80</v>
      </c>
      <c r="J1956" s="6" t="s">
        <v>58</v>
      </c>
      <c r="K1956" s="6" t="n">
        <v>112172</v>
      </c>
      <c r="L1956" s="6" t="n">
        <v>111634</v>
      </c>
      <c r="M1956" s="6" t="s">
        <v>142</v>
      </c>
      <c r="N1956" s="6" t="n">
        <v>48</v>
      </c>
      <c r="O1956" s="6" t="s">
        <v>60</v>
      </c>
      <c r="P1956" s="6" t="n">
        <v>8</v>
      </c>
      <c r="Q1956" s="6" t="n">
        <v>37.77</v>
      </c>
      <c r="R1956" s="20" t="n">
        <f aca="false">(L1956-K1956)/K1956</f>
        <v>-0.00479620582676604</v>
      </c>
    </row>
    <row r="1957" customFormat="false" ht="15" hidden="false" customHeight="false" outlineLevel="0" collapsed="false">
      <c r="A1957" s="6" t="s">
        <v>2119</v>
      </c>
      <c r="B1957" s="6" t="n">
        <v>59</v>
      </c>
      <c r="C1957" s="6" t="s">
        <v>139</v>
      </c>
      <c r="D1957" s="6" t="s">
        <v>140</v>
      </c>
      <c r="E1957" s="6" t="s">
        <v>93</v>
      </c>
      <c r="F1957" s="6" t="s">
        <v>197</v>
      </c>
      <c r="G1957" s="6" t="n">
        <v>37</v>
      </c>
      <c r="H1957" s="6" t="s">
        <v>80</v>
      </c>
      <c r="I1957" s="6" t="s">
        <v>81</v>
      </c>
      <c r="J1957" s="6" t="s">
        <v>60</v>
      </c>
      <c r="K1957" s="6" t="n">
        <v>42270</v>
      </c>
      <c r="L1957" s="6" t="n">
        <v>46389</v>
      </c>
      <c r="M1957" s="6" t="s">
        <v>146</v>
      </c>
      <c r="N1957" s="6" t="n">
        <v>41</v>
      </c>
      <c r="O1957" s="6" t="s">
        <v>58</v>
      </c>
      <c r="P1957" s="6" t="n">
        <v>9</v>
      </c>
      <c r="Q1957" s="6" t="n">
        <v>14.78</v>
      </c>
      <c r="R1957" s="20" t="n">
        <f aca="false">(L1957-K1957)/K1957</f>
        <v>0.097444996451384</v>
      </c>
    </row>
    <row r="1958" customFormat="false" ht="15" hidden="false" customHeight="false" outlineLevel="0" collapsed="false">
      <c r="A1958" s="6" t="s">
        <v>2120</v>
      </c>
      <c r="B1958" s="6" t="n">
        <v>51</v>
      </c>
      <c r="C1958" s="6" t="s">
        <v>134</v>
      </c>
      <c r="D1958" s="6" t="s">
        <v>140</v>
      </c>
      <c r="E1958" s="6" t="s">
        <v>93</v>
      </c>
      <c r="F1958" s="6" t="s">
        <v>181</v>
      </c>
      <c r="G1958" s="6" t="n">
        <v>25</v>
      </c>
      <c r="H1958" s="6" t="s">
        <v>82</v>
      </c>
      <c r="I1958" s="6" t="s">
        <v>80</v>
      </c>
      <c r="J1958" s="6" t="s">
        <v>60</v>
      </c>
      <c r="K1958" s="6" t="n">
        <v>47408</v>
      </c>
      <c r="L1958" s="6" t="n">
        <v>48337</v>
      </c>
      <c r="M1958" s="6" t="s">
        <v>142</v>
      </c>
      <c r="N1958" s="6" t="n">
        <v>42</v>
      </c>
      <c r="O1958" s="6" t="s">
        <v>60</v>
      </c>
      <c r="P1958" s="6" t="n">
        <v>7</v>
      </c>
      <c r="Q1958" s="6" t="n">
        <v>29.75</v>
      </c>
      <c r="R1958" s="20" t="n">
        <f aca="false">(L1958-K1958)/K1958</f>
        <v>0.01959584880189</v>
      </c>
    </row>
    <row r="1959" customFormat="false" ht="15" hidden="false" customHeight="false" outlineLevel="0" collapsed="false">
      <c r="A1959" s="6" t="s">
        <v>2121</v>
      </c>
      <c r="B1959" s="6" t="n">
        <v>51</v>
      </c>
      <c r="C1959" s="6" t="s">
        <v>159</v>
      </c>
      <c r="D1959" s="6" t="s">
        <v>144</v>
      </c>
      <c r="E1959" s="6" t="s">
        <v>87</v>
      </c>
      <c r="F1959" s="6" t="s">
        <v>149</v>
      </c>
      <c r="G1959" s="6" t="n">
        <v>27</v>
      </c>
      <c r="H1959" s="6" t="s">
        <v>81</v>
      </c>
      <c r="I1959" s="6" t="s">
        <v>80</v>
      </c>
      <c r="J1959" s="6" t="s">
        <v>60</v>
      </c>
      <c r="K1959" s="6" t="n">
        <v>72864</v>
      </c>
      <c r="L1959" s="6" t="n">
        <v>77509</v>
      </c>
      <c r="M1959" s="6" t="s">
        <v>142</v>
      </c>
      <c r="N1959" s="6" t="n">
        <v>49</v>
      </c>
      <c r="O1959" s="6" t="s">
        <v>58</v>
      </c>
      <c r="P1959" s="6" t="n">
        <v>6</v>
      </c>
      <c r="Q1959" s="6" t="n">
        <v>0.29</v>
      </c>
      <c r="R1959" s="20" t="n">
        <f aca="false">(L1959-K1959)/K1959</f>
        <v>0.0637489020641195</v>
      </c>
    </row>
    <row r="1960" customFormat="false" ht="15" hidden="false" customHeight="false" outlineLevel="0" collapsed="false">
      <c r="A1960" s="6" t="s">
        <v>2122</v>
      </c>
      <c r="B1960" s="6" t="n">
        <v>48</v>
      </c>
      <c r="C1960" s="6" t="s">
        <v>134</v>
      </c>
      <c r="D1960" s="6" t="s">
        <v>144</v>
      </c>
      <c r="E1960" s="6" t="s">
        <v>87</v>
      </c>
      <c r="F1960" s="6" t="s">
        <v>160</v>
      </c>
      <c r="G1960" s="6" t="n">
        <v>22</v>
      </c>
      <c r="H1960" s="6" t="s">
        <v>81</v>
      </c>
      <c r="I1960" s="6" t="s">
        <v>80</v>
      </c>
      <c r="J1960" s="6" t="s">
        <v>60</v>
      </c>
      <c r="K1960" s="6" t="n">
        <v>45797</v>
      </c>
      <c r="L1960" s="6" t="n">
        <v>53328</v>
      </c>
      <c r="M1960" s="6" t="s">
        <v>142</v>
      </c>
      <c r="N1960" s="6" t="n">
        <v>47</v>
      </c>
      <c r="O1960" s="6" t="s">
        <v>60</v>
      </c>
      <c r="P1960" s="6" t="n">
        <v>4</v>
      </c>
      <c r="Q1960" s="6" t="n">
        <v>11.97</v>
      </c>
      <c r="R1960" s="20" t="n">
        <f aca="false">(L1960-K1960)/K1960</f>
        <v>0.164443085791646</v>
      </c>
    </row>
    <row r="1961" customFormat="false" ht="15" hidden="false" customHeight="false" outlineLevel="0" collapsed="false">
      <c r="A1961" s="6" t="s">
        <v>2123</v>
      </c>
      <c r="B1961" s="6" t="n">
        <v>37</v>
      </c>
      <c r="C1961" s="6" t="s">
        <v>139</v>
      </c>
      <c r="D1961" s="6" t="s">
        <v>135</v>
      </c>
      <c r="E1961" s="6" t="s">
        <v>88</v>
      </c>
      <c r="F1961" s="6" t="s">
        <v>234</v>
      </c>
      <c r="G1961" s="6" t="n">
        <v>12</v>
      </c>
      <c r="H1961" s="6" t="s">
        <v>82</v>
      </c>
      <c r="I1961" s="6" t="s">
        <v>80</v>
      </c>
      <c r="J1961" s="6" t="s">
        <v>58</v>
      </c>
      <c r="K1961" s="6" t="n">
        <v>102134</v>
      </c>
      <c r="L1961" s="6" t="n">
        <v>88678</v>
      </c>
      <c r="M1961" s="6" t="s">
        <v>142</v>
      </c>
      <c r="N1961" s="6" t="n">
        <v>47</v>
      </c>
      <c r="O1961" s="6" t="s">
        <v>60</v>
      </c>
      <c r="P1961" s="6" t="n">
        <v>7</v>
      </c>
      <c r="Q1961" s="6" t="n">
        <v>-11.67</v>
      </c>
      <c r="R1961" s="20" t="n">
        <f aca="false">(L1961-K1961)/K1961</f>
        <v>-0.131748487281415</v>
      </c>
    </row>
    <row r="1962" customFormat="false" ht="15" hidden="false" customHeight="false" outlineLevel="0" collapsed="false">
      <c r="A1962" s="6" t="s">
        <v>2124</v>
      </c>
      <c r="B1962" s="6" t="n">
        <v>56</v>
      </c>
      <c r="C1962" s="6" t="s">
        <v>159</v>
      </c>
      <c r="D1962" s="6" t="s">
        <v>135</v>
      </c>
      <c r="E1962" s="6" t="s">
        <v>87</v>
      </c>
      <c r="F1962" s="6" t="s">
        <v>160</v>
      </c>
      <c r="G1962" s="6" t="n">
        <v>31</v>
      </c>
      <c r="H1962" s="6" t="s">
        <v>81</v>
      </c>
      <c r="I1962" s="6" t="s">
        <v>80</v>
      </c>
      <c r="J1962" s="6" t="s">
        <v>58</v>
      </c>
      <c r="K1962" s="6" t="n">
        <v>44306</v>
      </c>
      <c r="L1962" s="6" t="n">
        <v>50050</v>
      </c>
      <c r="M1962" s="6" t="s">
        <v>142</v>
      </c>
      <c r="N1962" s="6" t="n">
        <v>52</v>
      </c>
      <c r="O1962" s="6" t="s">
        <v>60</v>
      </c>
      <c r="P1962" s="6" t="n">
        <v>5</v>
      </c>
      <c r="Q1962" s="6" t="n">
        <v>-15.85</v>
      </c>
      <c r="R1962" s="20" t="n">
        <f aca="false">(L1962-K1962)/K1962</f>
        <v>0.129643840563355</v>
      </c>
    </row>
    <row r="1963" customFormat="false" ht="15" hidden="false" customHeight="false" outlineLevel="0" collapsed="false">
      <c r="A1963" s="6" t="s">
        <v>2125</v>
      </c>
      <c r="B1963" s="6" t="n">
        <v>41</v>
      </c>
      <c r="C1963" s="6" t="s">
        <v>159</v>
      </c>
      <c r="D1963" s="6" t="s">
        <v>144</v>
      </c>
      <c r="E1963" s="6" t="s">
        <v>90</v>
      </c>
      <c r="F1963" s="6" t="s">
        <v>236</v>
      </c>
      <c r="G1963" s="6" t="n">
        <v>15</v>
      </c>
      <c r="H1963" s="6" t="s">
        <v>80</v>
      </c>
      <c r="I1963" s="6" t="s">
        <v>81</v>
      </c>
      <c r="J1963" s="6" t="s">
        <v>60</v>
      </c>
      <c r="K1963" s="6" t="n">
        <v>119447</v>
      </c>
      <c r="L1963" s="6" t="n">
        <v>117457</v>
      </c>
      <c r="M1963" s="6" t="s">
        <v>146</v>
      </c>
      <c r="N1963" s="6" t="n">
        <v>54</v>
      </c>
      <c r="O1963" s="6" t="s">
        <v>60</v>
      </c>
      <c r="P1963" s="6" t="n">
        <v>4</v>
      </c>
      <c r="Q1963" s="6" t="n">
        <v>-16.8</v>
      </c>
      <c r="R1963" s="20" t="n">
        <f aca="false">(L1963-K1963)/K1963</f>
        <v>-0.0166601086674425</v>
      </c>
    </row>
    <row r="1964" customFormat="false" ht="15" hidden="false" customHeight="false" outlineLevel="0" collapsed="false">
      <c r="A1964" s="6" t="s">
        <v>2126</v>
      </c>
      <c r="B1964" s="6" t="n">
        <v>36</v>
      </c>
      <c r="C1964" s="6" t="s">
        <v>134</v>
      </c>
      <c r="D1964" s="6" t="s">
        <v>135</v>
      </c>
      <c r="E1964" s="6" t="s">
        <v>93</v>
      </c>
      <c r="F1964" s="6" t="s">
        <v>181</v>
      </c>
      <c r="G1964" s="6" t="n">
        <v>11</v>
      </c>
      <c r="H1964" s="6" t="s">
        <v>81</v>
      </c>
      <c r="I1964" s="6" t="s">
        <v>80</v>
      </c>
      <c r="J1964" s="6" t="s">
        <v>60</v>
      </c>
      <c r="K1964" s="6" t="n">
        <v>60932</v>
      </c>
      <c r="L1964" s="6" t="n">
        <v>63523</v>
      </c>
      <c r="M1964" s="6" t="s">
        <v>142</v>
      </c>
      <c r="N1964" s="6" t="n">
        <v>52</v>
      </c>
      <c r="O1964" s="6" t="s">
        <v>60</v>
      </c>
      <c r="P1964" s="6" t="n">
        <v>9</v>
      </c>
      <c r="Q1964" s="6" t="n">
        <v>-6.56</v>
      </c>
      <c r="R1964" s="20" t="n">
        <f aca="false">(L1964-K1964)/K1964</f>
        <v>0.042522812315368</v>
      </c>
    </row>
    <row r="1965" customFormat="false" ht="15" hidden="false" customHeight="false" outlineLevel="0" collapsed="false">
      <c r="A1965" s="6" t="s">
        <v>2127</v>
      </c>
      <c r="B1965" s="6" t="n">
        <v>34</v>
      </c>
      <c r="C1965" s="6" t="s">
        <v>139</v>
      </c>
      <c r="D1965" s="6" t="s">
        <v>135</v>
      </c>
      <c r="E1965" s="6" t="s">
        <v>93</v>
      </c>
      <c r="F1965" s="6" t="s">
        <v>197</v>
      </c>
      <c r="G1965" s="6" t="n">
        <v>12</v>
      </c>
      <c r="H1965" s="6" t="s">
        <v>82</v>
      </c>
      <c r="I1965" s="6" t="s">
        <v>80</v>
      </c>
      <c r="J1965" s="6" t="s">
        <v>60</v>
      </c>
      <c r="K1965" s="6" t="n">
        <v>111032</v>
      </c>
      <c r="L1965" s="6" t="n">
        <v>97608</v>
      </c>
      <c r="M1965" s="6" t="s">
        <v>142</v>
      </c>
      <c r="N1965" s="6" t="n">
        <v>35</v>
      </c>
      <c r="O1965" s="6" t="s">
        <v>58</v>
      </c>
      <c r="P1965" s="6" t="n">
        <v>4</v>
      </c>
      <c r="Q1965" s="6" t="n">
        <v>19.86</v>
      </c>
      <c r="R1965" s="20" t="n">
        <f aca="false">(L1965-K1965)/K1965</f>
        <v>-0.120902082282585</v>
      </c>
    </row>
    <row r="1966" customFormat="false" ht="15" hidden="false" customHeight="false" outlineLevel="0" collapsed="false">
      <c r="A1966" s="6" t="s">
        <v>2128</v>
      </c>
      <c r="B1966" s="6" t="n">
        <v>25</v>
      </c>
      <c r="C1966" s="6" t="s">
        <v>134</v>
      </c>
      <c r="D1966" s="6" t="s">
        <v>148</v>
      </c>
      <c r="E1966" s="6" t="s">
        <v>89</v>
      </c>
      <c r="F1966" s="6" t="s">
        <v>162</v>
      </c>
      <c r="G1966" s="6" t="n">
        <v>0</v>
      </c>
      <c r="H1966" s="6" t="s">
        <v>82</v>
      </c>
      <c r="I1966" s="6" t="s">
        <v>82</v>
      </c>
      <c r="J1966" s="6" t="s">
        <v>58</v>
      </c>
      <c r="K1966" s="6" t="n">
        <v>51695</v>
      </c>
      <c r="L1966" s="6" t="n">
        <v>50114</v>
      </c>
      <c r="M1966" s="6" t="s">
        <v>137</v>
      </c>
      <c r="N1966" s="6" t="n">
        <v>51</v>
      </c>
      <c r="O1966" s="6" t="s">
        <v>58</v>
      </c>
      <c r="P1966" s="6" t="n">
        <v>6</v>
      </c>
      <c r="Q1966" s="6" t="n">
        <v>-2.26</v>
      </c>
      <c r="R1966" s="20" t="n">
        <f aca="false">(L1966-K1966)/K1966</f>
        <v>-0.0305832285520843</v>
      </c>
    </row>
    <row r="1967" customFormat="false" ht="15" hidden="false" customHeight="false" outlineLevel="0" collapsed="false">
      <c r="A1967" s="6" t="s">
        <v>2129</v>
      </c>
      <c r="B1967" s="6" t="n">
        <v>42</v>
      </c>
      <c r="C1967" s="6" t="s">
        <v>139</v>
      </c>
      <c r="D1967" s="6" t="s">
        <v>148</v>
      </c>
      <c r="E1967" s="6" t="s">
        <v>87</v>
      </c>
      <c r="F1967" s="6" t="s">
        <v>155</v>
      </c>
      <c r="G1967" s="6" t="n">
        <v>16</v>
      </c>
      <c r="H1967" s="6" t="s">
        <v>82</v>
      </c>
      <c r="I1967" s="6" t="s">
        <v>82</v>
      </c>
      <c r="J1967" s="6" t="s">
        <v>58</v>
      </c>
      <c r="K1967" s="6" t="n">
        <v>80281</v>
      </c>
      <c r="L1967" s="6" t="n">
        <v>71091</v>
      </c>
      <c r="M1967" s="6" t="s">
        <v>146</v>
      </c>
      <c r="N1967" s="6" t="n">
        <v>37</v>
      </c>
      <c r="O1967" s="6" t="s">
        <v>58</v>
      </c>
      <c r="P1967" s="6" t="n">
        <v>3</v>
      </c>
      <c r="Q1967" s="6" t="n">
        <v>30.3</v>
      </c>
      <c r="R1967" s="20" t="n">
        <f aca="false">(L1967-K1967)/K1967</f>
        <v>-0.114472913889962</v>
      </c>
    </row>
    <row r="1968" customFormat="false" ht="15" hidden="false" customHeight="false" outlineLevel="0" collapsed="false">
      <c r="A1968" s="6" t="s">
        <v>2130</v>
      </c>
      <c r="B1968" s="6" t="n">
        <v>36</v>
      </c>
      <c r="C1968" s="6" t="s">
        <v>159</v>
      </c>
      <c r="D1968" s="6" t="s">
        <v>148</v>
      </c>
      <c r="E1968" s="6" t="s">
        <v>92</v>
      </c>
      <c r="F1968" s="6" t="s">
        <v>222</v>
      </c>
      <c r="G1968" s="6" t="n">
        <v>10</v>
      </c>
      <c r="H1968" s="6" t="s">
        <v>81</v>
      </c>
      <c r="I1968" s="6" t="s">
        <v>81</v>
      </c>
      <c r="J1968" s="6" t="s">
        <v>60</v>
      </c>
      <c r="K1968" s="6" t="n">
        <v>62602</v>
      </c>
      <c r="L1968" s="6" t="n">
        <v>74128</v>
      </c>
      <c r="M1968" s="6" t="s">
        <v>146</v>
      </c>
      <c r="N1968" s="6" t="n">
        <v>52</v>
      </c>
      <c r="O1968" s="6" t="s">
        <v>58</v>
      </c>
      <c r="P1968" s="6" t="n">
        <v>9</v>
      </c>
      <c r="Q1968" s="6" t="n">
        <v>16.17</v>
      </c>
      <c r="R1968" s="20" t="n">
        <f aca="false">(L1968-K1968)/K1968</f>
        <v>0.184115523465704</v>
      </c>
    </row>
    <row r="1969" customFormat="false" ht="15" hidden="false" customHeight="false" outlineLevel="0" collapsed="false">
      <c r="A1969" s="6" t="s">
        <v>2131</v>
      </c>
      <c r="B1969" s="6" t="n">
        <v>58</v>
      </c>
      <c r="C1969" s="6" t="s">
        <v>139</v>
      </c>
      <c r="D1969" s="6" t="s">
        <v>148</v>
      </c>
      <c r="E1969" s="6" t="s">
        <v>91</v>
      </c>
      <c r="F1969" s="6" t="s">
        <v>141</v>
      </c>
      <c r="G1969" s="6" t="n">
        <v>36</v>
      </c>
      <c r="H1969" s="6" t="s">
        <v>80</v>
      </c>
      <c r="I1969" s="6" t="s">
        <v>81</v>
      </c>
      <c r="J1969" s="6" t="s">
        <v>58</v>
      </c>
      <c r="K1969" s="6" t="n">
        <v>92497</v>
      </c>
      <c r="L1969" s="6" t="n">
        <v>96691</v>
      </c>
      <c r="M1969" s="6" t="s">
        <v>146</v>
      </c>
      <c r="N1969" s="6" t="n">
        <v>51</v>
      </c>
      <c r="O1969" s="6" t="s">
        <v>60</v>
      </c>
      <c r="P1969" s="6" t="n">
        <v>8</v>
      </c>
      <c r="Q1969" s="6" t="n">
        <v>-11.1</v>
      </c>
      <c r="R1969" s="20" t="n">
        <f aca="false">(L1969-K1969)/K1969</f>
        <v>0.0453420110922516</v>
      </c>
    </row>
    <row r="1970" customFormat="false" ht="15" hidden="false" customHeight="false" outlineLevel="0" collapsed="false">
      <c r="A1970" s="6" t="s">
        <v>2132</v>
      </c>
      <c r="B1970" s="6" t="n">
        <v>35</v>
      </c>
      <c r="C1970" s="6" t="s">
        <v>159</v>
      </c>
      <c r="D1970" s="6" t="s">
        <v>140</v>
      </c>
      <c r="E1970" s="6" t="s">
        <v>88</v>
      </c>
      <c r="F1970" s="6" t="s">
        <v>234</v>
      </c>
      <c r="G1970" s="6" t="n">
        <v>11</v>
      </c>
      <c r="H1970" s="6" t="s">
        <v>80</v>
      </c>
      <c r="I1970" s="6" t="s">
        <v>81</v>
      </c>
      <c r="J1970" s="6" t="s">
        <v>60</v>
      </c>
      <c r="K1970" s="6" t="n">
        <v>69023</v>
      </c>
      <c r="L1970" s="6" t="n">
        <v>74750</v>
      </c>
      <c r="M1970" s="6" t="s">
        <v>146</v>
      </c>
      <c r="N1970" s="6" t="n">
        <v>51</v>
      </c>
      <c r="O1970" s="6" t="s">
        <v>58</v>
      </c>
      <c r="P1970" s="6" t="n">
        <v>6</v>
      </c>
      <c r="Q1970" s="6" t="n">
        <v>23.79</v>
      </c>
      <c r="R1970" s="20" t="n">
        <f aca="false">(L1970-K1970)/K1970</f>
        <v>0.0829723425524825</v>
      </c>
    </row>
    <row r="1971" customFormat="false" ht="15" hidden="false" customHeight="false" outlineLevel="0" collapsed="false">
      <c r="A1971" s="6" t="s">
        <v>2133</v>
      </c>
      <c r="B1971" s="6" t="n">
        <v>47</v>
      </c>
      <c r="C1971" s="6" t="s">
        <v>134</v>
      </c>
      <c r="D1971" s="6" t="s">
        <v>140</v>
      </c>
      <c r="E1971" s="6" t="s">
        <v>87</v>
      </c>
      <c r="F1971" s="6" t="s">
        <v>155</v>
      </c>
      <c r="G1971" s="6" t="n">
        <v>24</v>
      </c>
      <c r="H1971" s="6" t="s">
        <v>81</v>
      </c>
      <c r="I1971" s="6" t="s">
        <v>81</v>
      </c>
      <c r="J1971" s="6" t="s">
        <v>60</v>
      </c>
      <c r="K1971" s="6" t="n">
        <v>74858</v>
      </c>
      <c r="L1971" s="6" t="n">
        <v>80629</v>
      </c>
      <c r="M1971" s="6" t="s">
        <v>146</v>
      </c>
      <c r="N1971" s="6" t="n">
        <v>50</v>
      </c>
      <c r="O1971" s="6" t="s">
        <v>58</v>
      </c>
      <c r="P1971" s="6" t="n">
        <v>4</v>
      </c>
      <c r="Q1971" s="6" t="n">
        <v>24.58</v>
      </c>
      <c r="R1971" s="20" t="n">
        <f aca="false">(L1971-K1971)/K1971</f>
        <v>0.0770926287103583</v>
      </c>
    </row>
    <row r="1972" customFormat="false" ht="15" hidden="false" customHeight="false" outlineLevel="0" collapsed="false">
      <c r="A1972" s="6" t="s">
        <v>2134</v>
      </c>
      <c r="B1972" s="6" t="n">
        <v>31</v>
      </c>
      <c r="C1972" s="6" t="s">
        <v>139</v>
      </c>
      <c r="D1972" s="6" t="s">
        <v>148</v>
      </c>
      <c r="E1972" s="6" t="s">
        <v>88</v>
      </c>
      <c r="F1972" s="6" t="s">
        <v>157</v>
      </c>
      <c r="G1972" s="6" t="n">
        <v>6</v>
      </c>
      <c r="H1972" s="6" t="s">
        <v>80</v>
      </c>
      <c r="I1972" s="6" t="s">
        <v>81</v>
      </c>
      <c r="J1972" s="6" t="s">
        <v>60</v>
      </c>
      <c r="K1972" s="6" t="n">
        <v>68805</v>
      </c>
      <c r="L1972" s="6" t="n">
        <v>72785</v>
      </c>
      <c r="M1972" s="6" t="s">
        <v>146</v>
      </c>
      <c r="N1972" s="6" t="n">
        <v>53</v>
      </c>
      <c r="O1972" s="6" t="s">
        <v>58</v>
      </c>
      <c r="P1972" s="6" t="n">
        <v>3</v>
      </c>
      <c r="Q1972" s="6" t="n">
        <v>28.05</v>
      </c>
      <c r="R1972" s="20" t="n">
        <f aca="false">(L1972-K1972)/K1972</f>
        <v>0.0578446333842017</v>
      </c>
    </row>
    <row r="1973" customFormat="false" ht="15" hidden="false" customHeight="false" outlineLevel="0" collapsed="false">
      <c r="A1973" s="6" t="s">
        <v>2135</v>
      </c>
      <c r="B1973" s="6" t="n">
        <v>48</v>
      </c>
      <c r="C1973" s="6" t="s">
        <v>159</v>
      </c>
      <c r="D1973" s="6" t="s">
        <v>135</v>
      </c>
      <c r="E1973" s="6" t="s">
        <v>87</v>
      </c>
      <c r="F1973" s="6" t="s">
        <v>149</v>
      </c>
      <c r="G1973" s="6" t="n">
        <v>24</v>
      </c>
      <c r="H1973" s="6" t="s">
        <v>82</v>
      </c>
      <c r="I1973" s="6" t="s">
        <v>80</v>
      </c>
      <c r="J1973" s="6" t="s">
        <v>60</v>
      </c>
      <c r="K1973" s="6" t="n">
        <v>45115</v>
      </c>
      <c r="L1973" s="6" t="n">
        <v>40014</v>
      </c>
      <c r="M1973" s="6" t="s">
        <v>142</v>
      </c>
      <c r="N1973" s="6" t="n">
        <v>39</v>
      </c>
      <c r="O1973" s="6" t="s">
        <v>58</v>
      </c>
      <c r="P1973" s="6" t="n">
        <v>3</v>
      </c>
      <c r="Q1973" s="6" t="n">
        <v>-9.36</v>
      </c>
      <c r="R1973" s="20" t="n">
        <f aca="false">(L1973-K1973)/K1973</f>
        <v>-0.113066607558462</v>
      </c>
    </row>
    <row r="1974" customFormat="false" ht="15" hidden="false" customHeight="false" outlineLevel="0" collapsed="false">
      <c r="A1974" s="6" t="s">
        <v>2136</v>
      </c>
      <c r="B1974" s="6" t="n">
        <v>25</v>
      </c>
      <c r="C1974" s="6" t="s">
        <v>134</v>
      </c>
      <c r="D1974" s="6" t="s">
        <v>144</v>
      </c>
      <c r="E1974" s="6" t="s">
        <v>93</v>
      </c>
      <c r="F1974" s="6" t="s">
        <v>197</v>
      </c>
      <c r="G1974" s="6" t="n">
        <v>1</v>
      </c>
      <c r="H1974" s="6" t="s">
        <v>81</v>
      </c>
      <c r="I1974" s="6" t="s">
        <v>82</v>
      </c>
      <c r="J1974" s="6" t="s">
        <v>60</v>
      </c>
      <c r="K1974" s="6" t="n">
        <v>73098</v>
      </c>
      <c r="L1974" s="6" t="n">
        <v>83315</v>
      </c>
      <c r="M1974" s="6" t="s">
        <v>142</v>
      </c>
      <c r="N1974" s="6" t="n">
        <v>49</v>
      </c>
      <c r="O1974" s="6" t="s">
        <v>58</v>
      </c>
      <c r="P1974" s="6" t="n">
        <v>5</v>
      </c>
      <c r="Q1974" s="6" t="n">
        <v>-12</v>
      </c>
      <c r="R1974" s="20" t="n">
        <f aca="false">(L1974-K1974)/K1974</f>
        <v>0.139771265971709</v>
      </c>
    </row>
    <row r="1975" customFormat="false" ht="15" hidden="false" customHeight="false" outlineLevel="0" collapsed="false">
      <c r="A1975" s="6" t="s">
        <v>2137</v>
      </c>
      <c r="B1975" s="6" t="n">
        <v>52</v>
      </c>
      <c r="C1975" s="6" t="s">
        <v>134</v>
      </c>
      <c r="D1975" s="6" t="s">
        <v>148</v>
      </c>
      <c r="E1975" s="6" t="s">
        <v>88</v>
      </c>
      <c r="F1975" s="6" t="s">
        <v>179</v>
      </c>
      <c r="G1975" s="6" t="n">
        <v>29</v>
      </c>
      <c r="H1975" s="6" t="s">
        <v>80</v>
      </c>
      <c r="I1975" s="6" t="s">
        <v>82</v>
      </c>
      <c r="J1975" s="6" t="s">
        <v>60</v>
      </c>
      <c r="K1975" s="6" t="n">
        <v>81843</v>
      </c>
      <c r="L1975" s="6" t="n">
        <v>87061</v>
      </c>
      <c r="M1975" s="6" t="s">
        <v>142</v>
      </c>
      <c r="N1975" s="6" t="n">
        <v>49</v>
      </c>
      <c r="O1975" s="6" t="s">
        <v>60</v>
      </c>
      <c r="P1975" s="6" t="n">
        <v>5</v>
      </c>
      <c r="Q1975" s="6" t="n">
        <v>2.31</v>
      </c>
      <c r="R1975" s="20" t="n">
        <f aca="false">(L1975-K1975)/K1975</f>
        <v>0.063756216169984</v>
      </c>
    </row>
    <row r="1976" customFormat="false" ht="15" hidden="false" customHeight="false" outlineLevel="0" collapsed="false">
      <c r="A1976" s="6" t="s">
        <v>2138</v>
      </c>
      <c r="B1976" s="6" t="n">
        <v>59</v>
      </c>
      <c r="C1976" s="6" t="s">
        <v>134</v>
      </c>
      <c r="D1976" s="6" t="s">
        <v>144</v>
      </c>
      <c r="E1976" s="6" t="s">
        <v>90</v>
      </c>
      <c r="F1976" s="6" t="s">
        <v>236</v>
      </c>
      <c r="G1976" s="6" t="n">
        <v>37</v>
      </c>
      <c r="H1976" s="6" t="s">
        <v>80</v>
      </c>
      <c r="I1976" s="6" t="s">
        <v>81</v>
      </c>
      <c r="J1976" s="6" t="s">
        <v>60</v>
      </c>
      <c r="K1976" s="6" t="n">
        <v>68349</v>
      </c>
      <c r="L1976" s="6" t="n">
        <v>74992</v>
      </c>
      <c r="M1976" s="6" t="s">
        <v>146</v>
      </c>
      <c r="N1976" s="6" t="n">
        <v>42</v>
      </c>
      <c r="O1976" s="6" t="s">
        <v>58</v>
      </c>
      <c r="P1976" s="6" t="n">
        <v>4</v>
      </c>
      <c r="Q1976" s="6" t="n">
        <v>0.97</v>
      </c>
      <c r="R1976" s="20" t="n">
        <f aca="false">(L1976-K1976)/K1976</f>
        <v>0.0971923510219608</v>
      </c>
    </row>
    <row r="1977" customFormat="false" ht="15" hidden="false" customHeight="false" outlineLevel="0" collapsed="false">
      <c r="A1977" s="6" t="s">
        <v>2139</v>
      </c>
      <c r="B1977" s="6" t="n">
        <v>37</v>
      </c>
      <c r="C1977" s="6" t="s">
        <v>139</v>
      </c>
      <c r="D1977" s="6" t="s">
        <v>148</v>
      </c>
      <c r="E1977" s="6" t="s">
        <v>88</v>
      </c>
      <c r="F1977" s="6" t="s">
        <v>157</v>
      </c>
      <c r="G1977" s="6" t="n">
        <v>14</v>
      </c>
      <c r="H1977" s="6" t="s">
        <v>80</v>
      </c>
      <c r="I1977" s="6" t="s">
        <v>81</v>
      </c>
      <c r="J1977" s="6" t="s">
        <v>60</v>
      </c>
      <c r="K1977" s="6" t="n">
        <v>44633</v>
      </c>
      <c r="L1977" s="6" t="n">
        <v>45308</v>
      </c>
      <c r="M1977" s="6" t="s">
        <v>146</v>
      </c>
      <c r="N1977" s="6" t="n">
        <v>54</v>
      </c>
      <c r="O1977" s="6" t="s">
        <v>58</v>
      </c>
      <c r="P1977" s="6" t="n">
        <v>3</v>
      </c>
      <c r="Q1977" s="6" t="n">
        <v>-11.89</v>
      </c>
      <c r="R1977" s="20" t="n">
        <f aca="false">(L1977-K1977)/K1977</f>
        <v>0.0151233392333027</v>
      </c>
    </row>
    <row r="1978" customFormat="false" ht="15" hidden="false" customHeight="false" outlineLevel="0" collapsed="false">
      <c r="A1978" s="6" t="s">
        <v>2140</v>
      </c>
      <c r="B1978" s="6" t="n">
        <v>35</v>
      </c>
      <c r="C1978" s="6" t="s">
        <v>139</v>
      </c>
      <c r="D1978" s="6" t="s">
        <v>140</v>
      </c>
      <c r="E1978" s="6" t="s">
        <v>93</v>
      </c>
      <c r="F1978" s="6" t="s">
        <v>197</v>
      </c>
      <c r="G1978" s="6" t="n">
        <v>11</v>
      </c>
      <c r="H1978" s="6" t="s">
        <v>82</v>
      </c>
      <c r="I1978" s="6" t="s">
        <v>80</v>
      </c>
      <c r="J1978" s="6" t="s">
        <v>58</v>
      </c>
      <c r="K1978" s="6" t="n">
        <v>107084</v>
      </c>
      <c r="L1978" s="6" t="n">
        <v>131157</v>
      </c>
      <c r="M1978" s="6" t="s">
        <v>142</v>
      </c>
      <c r="N1978" s="6" t="n">
        <v>36</v>
      </c>
      <c r="O1978" s="6" t="s">
        <v>60</v>
      </c>
      <c r="P1978" s="6" t="n">
        <v>4</v>
      </c>
      <c r="Q1978" s="6" t="n">
        <v>32.11</v>
      </c>
      <c r="R1978" s="20" t="n">
        <f aca="false">(L1978-K1978)/K1978</f>
        <v>0.224804826117814</v>
      </c>
    </row>
    <row r="1979" customFormat="false" ht="15" hidden="false" customHeight="false" outlineLevel="0" collapsed="false">
      <c r="A1979" s="6" t="s">
        <v>2141</v>
      </c>
      <c r="B1979" s="6" t="n">
        <v>38</v>
      </c>
      <c r="C1979" s="6" t="s">
        <v>159</v>
      </c>
      <c r="D1979" s="6" t="s">
        <v>140</v>
      </c>
      <c r="E1979" s="6" t="s">
        <v>87</v>
      </c>
      <c r="F1979" s="6" t="s">
        <v>149</v>
      </c>
      <c r="G1979" s="6" t="n">
        <v>15</v>
      </c>
      <c r="H1979" s="6" t="s">
        <v>81</v>
      </c>
      <c r="I1979" s="6" t="s">
        <v>80</v>
      </c>
      <c r="J1979" s="6" t="s">
        <v>58</v>
      </c>
      <c r="K1979" s="6" t="n">
        <v>30594</v>
      </c>
      <c r="L1979" s="6" t="n">
        <v>34186</v>
      </c>
      <c r="M1979" s="6" t="s">
        <v>142</v>
      </c>
      <c r="N1979" s="6" t="n">
        <v>38</v>
      </c>
      <c r="O1979" s="6" t="s">
        <v>58</v>
      </c>
      <c r="P1979" s="6" t="n">
        <v>3</v>
      </c>
      <c r="Q1979" s="6" t="n">
        <v>0.99</v>
      </c>
      <c r="R1979" s="20" t="n">
        <f aca="false">(L1979-K1979)/K1979</f>
        <v>0.117408642217428</v>
      </c>
    </row>
    <row r="1980" customFormat="false" ht="15" hidden="false" customHeight="false" outlineLevel="0" collapsed="false">
      <c r="A1980" s="6" t="s">
        <v>2142</v>
      </c>
      <c r="B1980" s="6" t="n">
        <v>57</v>
      </c>
      <c r="C1980" s="6" t="s">
        <v>139</v>
      </c>
      <c r="D1980" s="6" t="s">
        <v>144</v>
      </c>
      <c r="E1980" s="6" t="s">
        <v>91</v>
      </c>
      <c r="F1980" s="6" t="s">
        <v>141</v>
      </c>
      <c r="G1980" s="6" t="n">
        <v>34</v>
      </c>
      <c r="H1980" s="6" t="s">
        <v>81</v>
      </c>
      <c r="I1980" s="6" t="s">
        <v>81</v>
      </c>
      <c r="J1980" s="6" t="s">
        <v>58</v>
      </c>
      <c r="K1980" s="6" t="n">
        <v>63682</v>
      </c>
      <c r="L1980" s="6" t="n">
        <v>69042</v>
      </c>
      <c r="M1980" s="6" t="s">
        <v>146</v>
      </c>
      <c r="N1980" s="6" t="n">
        <v>47</v>
      </c>
      <c r="O1980" s="6" t="s">
        <v>58</v>
      </c>
      <c r="P1980" s="6" t="n">
        <v>7</v>
      </c>
      <c r="Q1980" s="6" t="n">
        <v>-1.3</v>
      </c>
      <c r="R1980" s="20" t="n">
        <f aca="false">(L1980-K1980)/K1980</f>
        <v>0.0841682107973996</v>
      </c>
    </row>
    <row r="1981" customFormat="false" ht="15" hidden="false" customHeight="false" outlineLevel="0" collapsed="false">
      <c r="A1981" s="6" t="s">
        <v>2143</v>
      </c>
      <c r="B1981" s="6" t="n">
        <v>43</v>
      </c>
      <c r="C1981" s="6" t="s">
        <v>139</v>
      </c>
      <c r="D1981" s="6" t="s">
        <v>135</v>
      </c>
      <c r="E1981" s="6" t="s">
        <v>89</v>
      </c>
      <c r="F1981" s="6" t="s">
        <v>162</v>
      </c>
      <c r="G1981" s="6" t="n">
        <v>18</v>
      </c>
      <c r="H1981" s="6" t="s">
        <v>81</v>
      </c>
      <c r="I1981" s="6" t="s">
        <v>80</v>
      </c>
      <c r="J1981" s="6" t="s">
        <v>58</v>
      </c>
      <c r="K1981" s="6" t="n">
        <v>84486</v>
      </c>
      <c r="L1981" s="6" t="n">
        <v>95392</v>
      </c>
      <c r="M1981" s="6" t="s">
        <v>142</v>
      </c>
      <c r="N1981" s="6" t="n">
        <v>54</v>
      </c>
      <c r="O1981" s="6" t="s">
        <v>58</v>
      </c>
      <c r="P1981" s="6" t="n">
        <v>7</v>
      </c>
      <c r="Q1981" s="6" t="n">
        <v>21.28</v>
      </c>
      <c r="R1981" s="20" t="n">
        <f aca="false">(L1981-K1981)/K1981</f>
        <v>0.129086475865824</v>
      </c>
    </row>
    <row r="1982" customFormat="false" ht="15" hidden="false" customHeight="false" outlineLevel="0" collapsed="false">
      <c r="A1982" s="6" t="s">
        <v>2144</v>
      </c>
      <c r="B1982" s="6" t="n">
        <v>29</v>
      </c>
      <c r="C1982" s="6" t="s">
        <v>159</v>
      </c>
      <c r="D1982" s="6" t="s">
        <v>140</v>
      </c>
      <c r="E1982" s="6" t="s">
        <v>93</v>
      </c>
      <c r="F1982" s="6" t="s">
        <v>181</v>
      </c>
      <c r="G1982" s="6" t="n">
        <v>6</v>
      </c>
      <c r="H1982" s="6" t="s">
        <v>80</v>
      </c>
      <c r="I1982" s="6" t="s">
        <v>82</v>
      </c>
      <c r="J1982" s="6" t="s">
        <v>58</v>
      </c>
      <c r="K1982" s="6" t="n">
        <v>108533</v>
      </c>
      <c r="L1982" s="6" t="n">
        <v>103974</v>
      </c>
      <c r="M1982" s="6" t="s">
        <v>142</v>
      </c>
      <c r="N1982" s="6" t="n">
        <v>39</v>
      </c>
      <c r="O1982" s="6" t="s">
        <v>60</v>
      </c>
      <c r="P1982" s="6" t="n">
        <v>9</v>
      </c>
      <c r="Q1982" s="6" t="n">
        <v>30.85</v>
      </c>
      <c r="R1982" s="20" t="n">
        <f aca="false">(L1982-K1982)/K1982</f>
        <v>-0.0420056572655321</v>
      </c>
    </row>
    <row r="1983" customFormat="false" ht="15" hidden="false" customHeight="false" outlineLevel="0" collapsed="false">
      <c r="A1983" s="6" t="s">
        <v>2145</v>
      </c>
      <c r="B1983" s="6" t="n">
        <v>30</v>
      </c>
      <c r="C1983" s="6" t="s">
        <v>134</v>
      </c>
      <c r="D1983" s="6" t="s">
        <v>135</v>
      </c>
      <c r="E1983" s="6" t="s">
        <v>92</v>
      </c>
      <c r="F1983" s="6" t="s">
        <v>136</v>
      </c>
      <c r="G1983" s="6" t="n">
        <v>8</v>
      </c>
      <c r="H1983" s="6" t="s">
        <v>81</v>
      </c>
      <c r="I1983" s="6" t="s">
        <v>81</v>
      </c>
      <c r="J1983" s="6" t="s">
        <v>58</v>
      </c>
      <c r="K1983" s="6" t="n">
        <v>119043</v>
      </c>
      <c r="L1983" s="6" t="n">
        <v>117743</v>
      </c>
      <c r="M1983" s="6" t="s">
        <v>146</v>
      </c>
      <c r="N1983" s="6" t="n">
        <v>40</v>
      </c>
      <c r="O1983" s="6" t="s">
        <v>60</v>
      </c>
      <c r="P1983" s="6" t="n">
        <v>8</v>
      </c>
      <c r="Q1983" s="6" t="n">
        <v>27.49</v>
      </c>
      <c r="R1983" s="20" t="n">
        <f aca="false">(L1983-K1983)/K1983</f>
        <v>-0.01092042371244</v>
      </c>
    </row>
    <row r="1984" customFormat="false" ht="15" hidden="false" customHeight="false" outlineLevel="0" collapsed="false">
      <c r="A1984" s="6" t="s">
        <v>2146</v>
      </c>
      <c r="B1984" s="6" t="n">
        <v>22</v>
      </c>
      <c r="C1984" s="6" t="s">
        <v>134</v>
      </c>
      <c r="D1984" s="6" t="s">
        <v>148</v>
      </c>
      <c r="E1984" s="6" t="s">
        <v>89</v>
      </c>
      <c r="F1984" s="6" t="s">
        <v>153</v>
      </c>
      <c r="G1984" s="6" t="n">
        <v>0</v>
      </c>
      <c r="H1984" s="6" t="s">
        <v>81</v>
      </c>
      <c r="I1984" s="6" t="s">
        <v>81</v>
      </c>
      <c r="J1984" s="6" t="s">
        <v>60</v>
      </c>
      <c r="K1984" s="6" t="n">
        <v>56732</v>
      </c>
      <c r="L1984" s="6" t="n">
        <v>56256</v>
      </c>
      <c r="M1984" s="6" t="s">
        <v>146</v>
      </c>
      <c r="N1984" s="6" t="n">
        <v>45</v>
      </c>
      <c r="O1984" s="6" t="s">
        <v>58</v>
      </c>
      <c r="P1984" s="6" t="n">
        <v>5</v>
      </c>
      <c r="Q1984" s="6" t="n">
        <v>35.53</v>
      </c>
      <c r="R1984" s="20" t="n">
        <f aca="false">(L1984-K1984)/K1984</f>
        <v>-0.00839032644715504</v>
      </c>
    </row>
    <row r="1985" customFormat="false" ht="15" hidden="false" customHeight="false" outlineLevel="0" collapsed="false">
      <c r="A1985" s="6" t="s">
        <v>2147</v>
      </c>
      <c r="B1985" s="6" t="n">
        <v>33</v>
      </c>
      <c r="C1985" s="6" t="s">
        <v>159</v>
      </c>
      <c r="D1985" s="6" t="s">
        <v>144</v>
      </c>
      <c r="E1985" s="6" t="s">
        <v>89</v>
      </c>
      <c r="F1985" s="6" t="s">
        <v>153</v>
      </c>
      <c r="G1985" s="6" t="n">
        <v>7</v>
      </c>
      <c r="H1985" s="6" t="s">
        <v>81</v>
      </c>
      <c r="I1985" s="6" t="s">
        <v>81</v>
      </c>
      <c r="J1985" s="6" t="s">
        <v>58</v>
      </c>
      <c r="K1985" s="6" t="n">
        <v>106034</v>
      </c>
      <c r="L1985" s="6" t="n">
        <v>117827</v>
      </c>
      <c r="M1985" s="6" t="s">
        <v>146</v>
      </c>
      <c r="N1985" s="6" t="n">
        <v>48</v>
      </c>
      <c r="O1985" s="6" t="s">
        <v>60</v>
      </c>
      <c r="P1985" s="6" t="n">
        <v>5</v>
      </c>
      <c r="Q1985" s="6" t="n">
        <v>-4.39</v>
      </c>
      <c r="R1985" s="20" t="n">
        <f aca="false">(L1985-K1985)/K1985</f>
        <v>0.111219042948488</v>
      </c>
    </row>
    <row r="1986" customFormat="false" ht="15" hidden="false" customHeight="false" outlineLevel="0" collapsed="false">
      <c r="A1986" s="6" t="s">
        <v>2148</v>
      </c>
      <c r="B1986" s="6" t="n">
        <v>27</v>
      </c>
      <c r="C1986" s="6" t="s">
        <v>134</v>
      </c>
      <c r="D1986" s="6" t="s">
        <v>135</v>
      </c>
      <c r="E1986" s="6" t="s">
        <v>91</v>
      </c>
      <c r="F1986" s="6" t="s">
        <v>141</v>
      </c>
      <c r="G1986" s="6" t="n">
        <v>4</v>
      </c>
      <c r="H1986" s="6" t="s">
        <v>81</v>
      </c>
      <c r="I1986" s="6" t="s">
        <v>81</v>
      </c>
      <c r="J1986" s="6" t="s">
        <v>60</v>
      </c>
      <c r="K1986" s="6" t="n">
        <v>51159</v>
      </c>
      <c r="L1986" s="6" t="n">
        <v>47581</v>
      </c>
      <c r="M1986" s="6" t="s">
        <v>146</v>
      </c>
      <c r="N1986" s="6" t="n">
        <v>38</v>
      </c>
      <c r="O1986" s="6" t="s">
        <v>60</v>
      </c>
      <c r="P1986" s="6" t="n">
        <v>7</v>
      </c>
      <c r="Q1986" s="6" t="n">
        <v>20.42</v>
      </c>
      <c r="R1986" s="20" t="n">
        <f aca="false">(L1986-K1986)/K1986</f>
        <v>-0.0699388181942571</v>
      </c>
    </row>
    <row r="1987" customFormat="false" ht="15" hidden="false" customHeight="false" outlineLevel="0" collapsed="false">
      <c r="A1987" s="6" t="s">
        <v>2149</v>
      </c>
      <c r="B1987" s="6" t="n">
        <v>58</v>
      </c>
      <c r="C1987" s="6" t="s">
        <v>134</v>
      </c>
      <c r="D1987" s="6" t="s">
        <v>148</v>
      </c>
      <c r="E1987" s="6" t="s">
        <v>89</v>
      </c>
      <c r="F1987" s="6" t="s">
        <v>151</v>
      </c>
      <c r="G1987" s="6" t="n">
        <v>33</v>
      </c>
      <c r="H1987" s="6" t="s">
        <v>81</v>
      </c>
      <c r="I1987" s="6" t="s">
        <v>80</v>
      </c>
      <c r="J1987" s="6" t="s">
        <v>58</v>
      </c>
      <c r="K1987" s="6" t="n">
        <v>86955</v>
      </c>
      <c r="L1987" s="6" t="n">
        <v>94625</v>
      </c>
      <c r="M1987" s="6" t="s">
        <v>142</v>
      </c>
      <c r="N1987" s="6" t="n">
        <v>52</v>
      </c>
      <c r="O1987" s="6" t="s">
        <v>60</v>
      </c>
      <c r="P1987" s="6" t="n">
        <v>3</v>
      </c>
      <c r="Q1987" s="6" t="n">
        <v>38.77</v>
      </c>
      <c r="R1987" s="20" t="n">
        <f aca="false">(L1987-K1987)/K1987</f>
        <v>0.0882065436145133</v>
      </c>
    </row>
    <row r="1988" customFormat="false" ht="15" hidden="false" customHeight="false" outlineLevel="0" collapsed="false">
      <c r="A1988" s="6" t="s">
        <v>2150</v>
      </c>
      <c r="B1988" s="6" t="n">
        <v>46</v>
      </c>
      <c r="C1988" s="6" t="s">
        <v>159</v>
      </c>
      <c r="D1988" s="6" t="s">
        <v>135</v>
      </c>
      <c r="E1988" s="6" t="s">
        <v>92</v>
      </c>
      <c r="F1988" s="6" t="s">
        <v>192</v>
      </c>
      <c r="G1988" s="6" t="n">
        <v>24</v>
      </c>
      <c r="H1988" s="6" t="s">
        <v>80</v>
      </c>
      <c r="I1988" s="6" t="s">
        <v>81</v>
      </c>
      <c r="J1988" s="6" t="s">
        <v>60</v>
      </c>
      <c r="K1988" s="6" t="n">
        <v>39461</v>
      </c>
      <c r="L1988" s="6" t="n">
        <v>42737</v>
      </c>
      <c r="M1988" s="6" t="s">
        <v>146</v>
      </c>
      <c r="N1988" s="6" t="n">
        <v>50</v>
      </c>
      <c r="O1988" s="6" t="s">
        <v>60</v>
      </c>
      <c r="P1988" s="6" t="n">
        <v>6</v>
      </c>
      <c r="Q1988" s="6" t="n">
        <v>5.57</v>
      </c>
      <c r="R1988" s="20" t="n">
        <f aca="false">(L1988-K1988)/K1988</f>
        <v>0.0830186766681027</v>
      </c>
    </row>
    <row r="1989" customFormat="false" ht="15" hidden="false" customHeight="false" outlineLevel="0" collapsed="false">
      <c r="A1989" s="6" t="s">
        <v>2151</v>
      </c>
      <c r="B1989" s="6" t="n">
        <v>58</v>
      </c>
      <c r="C1989" s="6" t="s">
        <v>139</v>
      </c>
      <c r="D1989" s="6" t="s">
        <v>135</v>
      </c>
      <c r="E1989" s="6" t="s">
        <v>92</v>
      </c>
      <c r="F1989" s="6" t="s">
        <v>222</v>
      </c>
      <c r="G1989" s="6" t="n">
        <v>34</v>
      </c>
      <c r="H1989" s="6" t="s">
        <v>82</v>
      </c>
      <c r="I1989" s="6" t="s">
        <v>81</v>
      </c>
      <c r="J1989" s="6" t="s">
        <v>60</v>
      </c>
      <c r="K1989" s="6" t="n">
        <v>78469</v>
      </c>
      <c r="L1989" s="6" t="n">
        <v>88434</v>
      </c>
      <c r="M1989" s="6" t="s">
        <v>146</v>
      </c>
      <c r="N1989" s="6" t="n">
        <v>37</v>
      </c>
      <c r="O1989" s="6" t="s">
        <v>58</v>
      </c>
      <c r="P1989" s="6" t="n">
        <v>3</v>
      </c>
      <c r="Q1989" s="6" t="n">
        <v>-6.57</v>
      </c>
      <c r="R1989" s="20" t="n">
        <f aca="false">(L1989-K1989)/K1989</f>
        <v>0.126992825192114</v>
      </c>
    </row>
    <row r="1990" customFormat="false" ht="15" hidden="false" customHeight="false" outlineLevel="0" collapsed="false">
      <c r="A1990" s="6" t="s">
        <v>2152</v>
      </c>
      <c r="B1990" s="6" t="n">
        <v>45</v>
      </c>
      <c r="C1990" s="6" t="s">
        <v>159</v>
      </c>
      <c r="D1990" s="6" t="s">
        <v>140</v>
      </c>
      <c r="E1990" s="6" t="s">
        <v>87</v>
      </c>
      <c r="F1990" s="6" t="s">
        <v>155</v>
      </c>
      <c r="G1990" s="6" t="n">
        <v>21</v>
      </c>
      <c r="H1990" s="6" t="s">
        <v>80</v>
      </c>
      <c r="I1990" s="6" t="s">
        <v>80</v>
      </c>
      <c r="J1990" s="6" t="s">
        <v>58</v>
      </c>
      <c r="K1990" s="6" t="n">
        <v>37532</v>
      </c>
      <c r="L1990" s="6" t="n">
        <v>38005</v>
      </c>
      <c r="M1990" s="6" t="s">
        <v>142</v>
      </c>
      <c r="N1990" s="6" t="n">
        <v>49</v>
      </c>
      <c r="O1990" s="6" t="s">
        <v>60</v>
      </c>
      <c r="P1990" s="6" t="n">
        <v>7</v>
      </c>
      <c r="Q1990" s="6" t="n">
        <v>25.48</v>
      </c>
      <c r="R1990" s="20" t="n">
        <f aca="false">(L1990-K1990)/K1990</f>
        <v>0.0126025791324736</v>
      </c>
    </row>
    <row r="1991" customFormat="false" ht="15" hidden="false" customHeight="false" outlineLevel="0" collapsed="false">
      <c r="A1991" s="6" t="s">
        <v>2153</v>
      </c>
      <c r="B1991" s="6" t="n">
        <v>50</v>
      </c>
      <c r="C1991" s="6" t="s">
        <v>139</v>
      </c>
      <c r="D1991" s="6" t="s">
        <v>148</v>
      </c>
      <c r="E1991" s="6" t="s">
        <v>88</v>
      </c>
      <c r="F1991" s="6" t="s">
        <v>234</v>
      </c>
      <c r="G1991" s="6" t="n">
        <v>27</v>
      </c>
      <c r="H1991" s="6" t="s">
        <v>82</v>
      </c>
      <c r="I1991" s="6" t="s">
        <v>82</v>
      </c>
      <c r="J1991" s="6" t="s">
        <v>60</v>
      </c>
      <c r="K1991" s="6" t="n">
        <v>115078</v>
      </c>
      <c r="L1991" s="6" t="n">
        <v>93786</v>
      </c>
      <c r="M1991" s="6" t="s">
        <v>137</v>
      </c>
      <c r="N1991" s="6" t="n">
        <v>42</v>
      </c>
      <c r="O1991" s="6" t="s">
        <v>60</v>
      </c>
      <c r="P1991" s="6" t="n">
        <v>8</v>
      </c>
      <c r="Q1991" s="6" t="n">
        <v>3.97</v>
      </c>
      <c r="R1991" s="20" t="n">
        <f aca="false">(L1991-K1991)/K1991</f>
        <v>-0.185022332678705</v>
      </c>
    </row>
    <row r="1992" customFormat="false" ht="15" hidden="false" customHeight="false" outlineLevel="0" collapsed="false">
      <c r="A1992" s="6" t="s">
        <v>2154</v>
      </c>
      <c r="B1992" s="6" t="n">
        <v>25</v>
      </c>
      <c r="C1992" s="6" t="s">
        <v>134</v>
      </c>
      <c r="D1992" s="6" t="s">
        <v>140</v>
      </c>
      <c r="E1992" s="6" t="s">
        <v>88</v>
      </c>
      <c r="F1992" s="6" t="s">
        <v>234</v>
      </c>
      <c r="G1992" s="6" t="n">
        <v>0</v>
      </c>
      <c r="H1992" s="6" t="s">
        <v>81</v>
      </c>
      <c r="I1992" s="6" t="s">
        <v>81</v>
      </c>
      <c r="J1992" s="6" t="s">
        <v>58</v>
      </c>
      <c r="K1992" s="6" t="n">
        <v>119627</v>
      </c>
      <c r="L1992" s="6" t="n">
        <v>118687</v>
      </c>
      <c r="M1992" s="6" t="s">
        <v>146</v>
      </c>
      <c r="N1992" s="6" t="n">
        <v>35</v>
      </c>
      <c r="O1992" s="6" t="s">
        <v>58</v>
      </c>
      <c r="P1992" s="6" t="n">
        <v>6</v>
      </c>
      <c r="Q1992" s="6" t="n">
        <v>34.31</v>
      </c>
      <c r="R1992" s="20" t="n">
        <f aca="false">(L1992-K1992)/K1992</f>
        <v>-0.00785775786402735</v>
      </c>
    </row>
    <row r="1993" customFormat="false" ht="15" hidden="false" customHeight="false" outlineLevel="0" collapsed="false">
      <c r="A1993" s="6" t="s">
        <v>2155</v>
      </c>
      <c r="B1993" s="6" t="n">
        <v>49</v>
      </c>
      <c r="C1993" s="6" t="s">
        <v>139</v>
      </c>
      <c r="D1993" s="6" t="s">
        <v>135</v>
      </c>
      <c r="E1993" s="6" t="s">
        <v>89</v>
      </c>
      <c r="F1993" s="6" t="s">
        <v>151</v>
      </c>
      <c r="G1993" s="6" t="n">
        <v>27</v>
      </c>
      <c r="H1993" s="6" t="s">
        <v>81</v>
      </c>
      <c r="I1993" s="6" t="s">
        <v>81</v>
      </c>
      <c r="J1993" s="6" t="s">
        <v>58</v>
      </c>
      <c r="K1993" s="6" t="n">
        <v>47032</v>
      </c>
      <c r="L1993" s="6" t="n">
        <v>46269</v>
      </c>
      <c r="M1993" s="6" t="s">
        <v>146</v>
      </c>
      <c r="N1993" s="6" t="n">
        <v>47</v>
      </c>
      <c r="O1993" s="6" t="s">
        <v>58</v>
      </c>
      <c r="P1993" s="6" t="n">
        <v>9</v>
      </c>
      <c r="Q1993" s="6" t="n">
        <v>35.88</v>
      </c>
      <c r="R1993" s="20" t="n">
        <f aca="false">(L1993-K1993)/K1993</f>
        <v>-0.0162229971083518</v>
      </c>
    </row>
    <row r="1994" customFormat="false" ht="15" hidden="false" customHeight="false" outlineLevel="0" collapsed="false">
      <c r="A1994" s="6" t="s">
        <v>2156</v>
      </c>
      <c r="B1994" s="6" t="n">
        <v>31</v>
      </c>
      <c r="C1994" s="6" t="s">
        <v>139</v>
      </c>
      <c r="D1994" s="6" t="s">
        <v>135</v>
      </c>
      <c r="E1994" s="6" t="s">
        <v>92</v>
      </c>
      <c r="F1994" s="6" t="s">
        <v>136</v>
      </c>
      <c r="G1994" s="6" t="n">
        <v>7</v>
      </c>
      <c r="H1994" s="6" t="s">
        <v>82</v>
      </c>
      <c r="I1994" s="6" t="s">
        <v>80</v>
      </c>
      <c r="J1994" s="6" t="s">
        <v>58</v>
      </c>
      <c r="K1994" s="6" t="n">
        <v>36259</v>
      </c>
      <c r="L1994" s="6" t="n">
        <v>33695</v>
      </c>
      <c r="M1994" s="6" t="s">
        <v>142</v>
      </c>
      <c r="N1994" s="6" t="n">
        <v>49</v>
      </c>
      <c r="O1994" s="6" t="s">
        <v>60</v>
      </c>
      <c r="P1994" s="6" t="n">
        <v>6</v>
      </c>
      <c r="Q1994" s="6" t="n">
        <v>39.91</v>
      </c>
      <c r="R1994" s="20" t="n">
        <f aca="false">(L1994-K1994)/K1994</f>
        <v>-0.0707134780330401</v>
      </c>
    </row>
    <row r="1995" customFormat="false" ht="15" hidden="false" customHeight="false" outlineLevel="0" collapsed="false">
      <c r="A1995" s="6" t="s">
        <v>2157</v>
      </c>
      <c r="B1995" s="6" t="n">
        <v>34</v>
      </c>
      <c r="C1995" s="6" t="s">
        <v>159</v>
      </c>
      <c r="D1995" s="6" t="s">
        <v>135</v>
      </c>
      <c r="E1995" s="6" t="s">
        <v>87</v>
      </c>
      <c r="F1995" s="6" t="s">
        <v>160</v>
      </c>
      <c r="G1995" s="6" t="n">
        <v>11</v>
      </c>
      <c r="H1995" s="6" t="s">
        <v>81</v>
      </c>
      <c r="I1995" s="6" t="s">
        <v>81</v>
      </c>
      <c r="J1995" s="6" t="s">
        <v>58</v>
      </c>
      <c r="K1995" s="6" t="n">
        <v>95907</v>
      </c>
      <c r="L1995" s="6" t="n">
        <v>98030</v>
      </c>
      <c r="M1995" s="6" t="s">
        <v>146</v>
      </c>
      <c r="N1995" s="6" t="n">
        <v>40</v>
      </c>
      <c r="O1995" s="6" t="s">
        <v>58</v>
      </c>
      <c r="P1995" s="6" t="n">
        <v>7</v>
      </c>
      <c r="Q1995" s="6" t="n">
        <v>39.28</v>
      </c>
      <c r="R1995" s="20" t="n">
        <f aca="false">(L1995-K1995)/K1995</f>
        <v>0.0221360276100806</v>
      </c>
    </row>
    <row r="1996" customFormat="false" ht="15" hidden="false" customHeight="false" outlineLevel="0" collapsed="false">
      <c r="A1996" s="6" t="s">
        <v>2158</v>
      </c>
      <c r="B1996" s="6" t="n">
        <v>38</v>
      </c>
      <c r="C1996" s="6" t="s">
        <v>139</v>
      </c>
      <c r="D1996" s="6" t="s">
        <v>144</v>
      </c>
      <c r="E1996" s="6" t="s">
        <v>93</v>
      </c>
      <c r="F1996" s="6" t="s">
        <v>164</v>
      </c>
      <c r="G1996" s="6" t="n">
        <v>13</v>
      </c>
      <c r="H1996" s="6" t="s">
        <v>82</v>
      </c>
      <c r="I1996" s="6" t="s">
        <v>80</v>
      </c>
      <c r="J1996" s="6" t="s">
        <v>60</v>
      </c>
      <c r="K1996" s="6" t="n">
        <v>118078</v>
      </c>
      <c r="L1996" s="6" t="n">
        <v>133969</v>
      </c>
      <c r="M1996" s="6" t="s">
        <v>142</v>
      </c>
      <c r="N1996" s="6" t="n">
        <v>38</v>
      </c>
      <c r="O1996" s="6" t="s">
        <v>60</v>
      </c>
      <c r="P1996" s="6" t="n">
        <v>5</v>
      </c>
      <c r="Q1996" s="6" t="n">
        <v>14.61</v>
      </c>
      <c r="R1996" s="20" t="n">
        <f aca="false">(L1996-K1996)/K1996</f>
        <v>0.134580531513068</v>
      </c>
    </row>
    <row r="1997" customFormat="false" ht="15" hidden="false" customHeight="false" outlineLevel="0" collapsed="false">
      <c r="A1997" s="6" t="s">
        <v>2159</v>
      </c>
      <c r="B1997" s="6" t="n">
        <v>55</v>
      </c>
      <c r="C1997" s="6" t="s">
        <v>159</v>
      </c>
      <c r="D1997" s="6" t="s">
        <v>148</v>
      </c>
      <c r="E1997" s="6" t="s">
        <v>89</v>
      </c>
      <c r="F1997" s="6" t="s">
        <v>153</v>
      </c>
      <c r="G1997" s="6" t="n">
        <v>30</v>
      </c>
      <c r="H1997" s="6" t="s">
        <v>81</v>
      </c>
      <c r="I1997" s="6" t="s">
        <v>80</v>
      </c>
      <c r="J1997" s="6" t="s">
        <v>60</v>
      </c>
      <c r="K1997" s="6" t="n">
        <v>99082</v>
      </c>
      <c r="L1997" s="6" t="n">
        <v>101090</v>
      </c>
      <c r="M1997" s="6" t="s">
        <v>142</v>
      </c>
      <c r="N1997" s="6" t="n">
        <v>52</v>
      </c>
      <c r="O1997" s="6" t="s">
        <v>60</v>
      </c>
      <c r="P1997" s="6" t="n">
        <v>7</v>
      </c>
      <c r="Q1997" s="6" t="n">
        <v>25.67</v>
      </c>
      <c r="R1997" s="20" t="n">
        <f aca="false">(L1997-K1997)/K1997</f>
        <v>0.0202660422680204</v>
      </c>
    </row>
    <row r="1998" customFormat="false" ht="15" hidden="false" customHeight="false" outlineLevel="0" collapsed="false">
      <c r="A1998" s="6" t="s">
        <v>2160</v>
      </c>
      <c r="B1998" s="6" t="n">
        <v>31</v>
      </c>
      <c r="C1998" s="6" t="s">
        <v>139</v>
      </c>
      <c r="D1998" s="6" t="s">
        <v>148</v>
      </c>
      <c r="E1998" s="6" t="s">
        <v>88</v>
      </c>
      <c r="F1998" s="6" t="s">
        <v>234</v>
      </c>
      <c r="G1998" s="6" t="n">
        <v>9</v>
      </c>
      <c r="H1998" s="6" t="s">
        <v>82</v>
      </c>
      <c r="I1998" s="6" t="s">
        <v>81</v>
      </c>
      <c r="J1998" s="6" t="s">
        <v>60</v>
      </c>
      <c r="K1998" s="6" t="n">
        <v>32379</v>
      </c>
      <c r="L1998" s="6" t="n">
        <v>44653</v>
      </c>
      <c r="M1998" s="6" t="s">
        <v>146</v>
      </c>
      <c r="N1998" s="6" t="n">
        <v>52</v>
      </c>
      <c r="O1998" s="6" t="s">
        <v>60</v>
      </c>
      <c r="P1998" s="6" t="n">
        <v>8</v>
      </c>
      <c r="Q1998" s="6" t="n">
        <v>9.38</v>
      </c>
      <c r="R1998" s="20" t="n">
        <f aca="false">(L1998-K1998)/K1998</f>
        <v>0.379072855863368</v>
      </c>
    </row>
    <row r="1999" customFormat="false" ht="15" hidden="false" customHeight="false" outlineLevel="0" collapsed="false">
      <c r="A1999" s="6" t="s">
        <v>2161</v>
      </c>
      <c r="B1999" s="6" t="n">
        <v>43</v>
      </c>
      <c r="C1999" s="6" t="s">
        <v>134</v>
      </c>
      <c r="D1999" s="6" t="s">
        <v>135</v>
      </c>
      <c r="E1999" s="6" t="s">
        <v>93</v>
      </c>
      <c r="F1999" s="6" t="s">
        <v>197</v>
      </c>
      <c r="G1999" s="6" t="n">
        <v>17</v>
      </c>
      <c r="H1999" s="6" t="s">
        <v>82</v>
      </c>
      <c r="I1999" s="6" t="s">
        <v>82</v>
      </c>
      <c r="J1999" s="6" t="s">
        <v>58</v>
      </c>
      <c r="K1999" s="6" t="n">
        <v>53424</v>
      </c>
      <c r="L1999" s="6" t="n">
        <v>74715</v>
      </c>
      <c r="M1999" s="6" t="s">
        <v>146</v>
      </c>
      <c r="N1999" s="6" t="n">
        <v>49</v>
      </c>
      <c r="O1999" s="6" t="s">
        <v>60</v>
      </c>
      <c r="P1999" s="6" t="n">
        <v>6</v>
      </c>
      <c r="Q1999" s="6" t="n">
        <v>-0.57</v>
      </c>
      <c r="R1999" s="20" t="n">
        <f aca="false">(L1999-K1999)/K1999</f>
        <v>0.398528751123091</v>
      </c>
    </row>
    <row r="2000" customFormat="false" ht="15" hidden="false" customHeight="false" outlineLevel="0" collapsed="false">
      <c r="A2000" s="6" t="s">
        <v>2162</v>
      </c>
      <c r="B2000" s="6" t="n">
        <v>43</v>
      </c>
      <c r="C2000" s="6" t="s">
        <v>134</v>
      </c>
      <c r="D2000" s="6" t="s">
        <v>135</v>
      </c>
      <c r="E2000" s="6" t="s">
        <v>92</v>
      </c>
      <c r="F2000" s="6" t="s">
        <v>192</v>
      </c>
      <c r="G2000" s="6" t="n">
        <v>20</v>
      </c>
      <c r="H2000" s="6" t="s">
        <v>81</v>
      </c>
      <c r="I2000" s="6" t="s">
        <v>80</v>
      </c>
      <c r="J2000" s="6" t="s">
        <v>58</v>
      </c>
      <c r="K2000" s="6" t="n">
        <v>57821</v>
      </c>
      <c r="L2000" s="6" t="n">
        <v>68499</v>
      </c>
      <c r="M2000" s="6" t="s">
        <v>142</v>
      </c>
      <c r="N2000" s="6" t="n">
        <v>41</v>
      </c>
      <c r="O2000" s="6" t="s">
        <v>58</v>
      </c>
      <c r="P2000" s="6" t="n">
        <v>9</v>
      </c>
      <c r="Q2000" s="6" t="n">
        <v>9.31</v>
      </c>
      <c r="R2000" s="20" t="n">
        <f aca="false">(L2000-K2000)/K2000</f>
        <v>0.184673388561249</v>
      </c>
    </row>
    <row r="2001" customFormat="false" ht="15" hidden="false" customHeight="false" outlineLevel="0" collapsed="false">
      <c r="A2001" s="6" t="s">
        <v>2163</v>
      </c>
      <c r="B2001" s="6" t="n">
        <v>23</v>
      </c>
      <c r="C2001" s="6" t="s">
        <v>159</v>
      </c>
      <c r="D2001" s="6" t="s">
        <v>144</v>
      </c>
      <c r="E2001" s="6" t="s">
        <v>92</v>
      </c>
      <c r="F2001" s="6" t="s">
        <v>222</v>
      </c>
      <c r="G2001" s="6" t="n">
        <v>0</v>
      </c>
      <c r="H2001" s="6" t="s">
        <v>82</v>
      </c>
      <c r="I2001" s="6" t="s">
        <v>82</v>
      </c>
      <c r="J2001" s="6" t="s">
        <v>60</v>
      </c>
      <c r="K2001" s="6" t="n">
        <v>33830</v>
      </c>
      <c r="L2001" s="6" t="n">
        <v>34809</v>
      </c>
      <c r="M2001" s="6" t="s">
        <v>146</v>
      </c>
      <c r="N2001" s="6" t="n">
        <v>37</v>
      </c>
      <c r="O2001" s="6" t="s">
        <v>60</v>
      </c>
      <c r="P2001" s="6" t="n">
        <v>9</v>
      </c>
      <c r="Q2001" s="6" t="n">
        <v>24.4</v>
      </c>
      <c r="R2001" s="20" t="n">
        <f aca="false">(L2001-K2001)/K2001</f>
        <v>0.0289388117055868</v>
      </c>
    </row>
  </sheetData>
  <autoFilter ref="A1:R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2026-09-30T10:31:14Z</dcterms:created>
  <dc:creator>openpyxl</dc:creator>
  <dc:description/>
  <dc:language>en-US</dc:language>
  <cp:lastModifiedBy/>
  <dcterms:modified xsi:type="dcterms:W3CDTF">2026-09-30T10:31:20Z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